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geshyrihu\Downloads\"/>
    </mc:Choice>
  </mc:AlternateContent>
  <xr:revisionPtr revIDLastSave="0" documentId="13_ncr:1_{FB149800-2103-4267-A95F-8684F1851A3F}" xr6:coauthVersionLast="47" xr6:coauthVersionMax="47" xr10:uidLastSave="{00000000-0000-0000-0000-000000000000}"/>
  <bookViews>
    <workbookView xWindow="-120" yWindow="-120" windowWidth="29040" windowHeight="15720" activeTab="3" xr2:uid="{9E1CC4DA-FB8B-412B-B8F5-98247CD142F5}"/>
  </bookViews>
  <sheets>
    <sheet name="Hoja4" sheetId="4" r:id="rId1"/>
    <sheet name="sueldo actual " sheetId="1" r:id="rId2"/>
    <sheet name="sueldo 12000" sheetId="2" r:id="rId3"/>
    <sheet name="sueldo 13000" sheetId="3" r:id="rId4"/>
    <sheet name="Hoja5" sheetId="5" r:id="rId5"/>
    <sheet name="Documentación" sheetId="6" r:id="rId6"/>
  </sheets>
  <definedNames>
    <definedName name="_xlnm._FilterDatabase" localSheetId="1" hidden="1">'sueldo actual '!$A$5:$AK$51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3" i="3" l="1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K45" i="3" s="1"/>
  <c r="H46" i="3"/>
  <c r="K46" i="3" s="1"/>
  <c r="H2" i="3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2" i="2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K49" i="1" s="1"/>
  <c r="H50" i="1"/>
  <c r="K50" i="1" s="1"/>
  <c r="H6" i="1"/>
  <c r="T28" i="3"/>
  <c r="T42" i="3"/>
  <c r="S42" i="3"/>
  <c r="T9" i="2"/>
  <c r="T10" i="2"/>
  <c r="T11" i="2"/>
  <c r="T12" i="2"/>
  <c r="T13" i="2"/>
  <c r="T14" i="2"/>
  <c r="T15" i="2"/>
  <c r="T16" i="2"/>
  <c r="T17" i="2"/>
  <c r="T18" i="2"/>
  <c r="T19" i="2"/>
  <c r="T20" i="2"/>
  <c r="T28" i="2"/>
  <c r="T29" i="2"/>
  <c r="T30" i="2"/>
  <c r="T31" i="2"/>
  <c r="T32" i="2"/>
  <c r="T33" i="2"/>
  <c r="T34" i="2"/>
  <c r="T35" i="2"/>
  <c r="T36" i="2"/>
  <c r="T37" i="2"/>
  <c r="T38" i="2"/>
  <c r="T39" i="2"/>
  <c r="T40" i="2"/>
  <c r="T41" i="2"/>
  <c r="T42" i="2"/>
  <c r="T45" i="2"/>
  <c r="T46" i="2"/>
  <c r="V47" i="3"/>
  <c r="I47" i="3"/>
  <c r="M46" i="3"/>
  <c r="L46" i="3"/>
  <c r="J46" i="3"/>
  <c r="M45" i="3"/>
  <c r="L45" i="3"/>
  <c r="J45" i="3"/>
  <c r="M44" i="3"/>
  <c r="L44" i="3"/>
  <c r="J44" i="3"/>
  <c r="G44" i="3"/>
  <c r="M43" i="3"/>
  <c r="L43" i="3"/>
  <c r="J43" i="3"/>
  <c r="G43" i="3"/>
  <c r="L42" i="3"/>
  <c r="M41" i="3"/>
  <c r="L41" i="3"/>
  <c r="J41" i="3"/>
  <c r="G41" i="3"/>
  <c r="M40" i="3"/>
  <c r="L40" i="3"/>
  <c r="J40" i="3"/>
  <c r="G40" i="3"/>
  <c r="M39" i="3"/>
  <c r="L39" i="3"/>
  <c r="J39" i="3"/>
  <c r="G39" i="3"/>
  <c r="M38" i="3"/>
  <c r="L38" i="3"/>
  <c r="J38" i="3"/>
  <c r="G38" i="3"/>
  <c r="M37" i="3"/>
  <c r="L37" i="3"/>
  <c r="J37" i="3"/>
  <c r="G37" i="3"/>
  <c r="M36" i="3"/>
  <c r="L36" i="3"/>
  <c r="J36" i="3"/>
  <c r="G36" i="3"/>
  <c r="M35" i="3"/>
  <c r="L35" i="3"/>
  <c r="J35" i="3"/>
  <c r="G35" i="3"/>
  <c r="M34" i="3"/>
  <c r="L34" i="3"/>
  <c r="J34" i="3"/>
  <c r="G34" i="3"/>
  <c r="L33" i="3"/>
  <c r="J33" i="3"/>
  <c r="G33" i="3"/>
  <c r="M32" i="3"/>
  <c r="L32" i="3"/>
  <c r="J32" i="3"/>
  <c r="N32" i="3" s="1"/>
  <c r="G32" i="3"/>
  <c r="M31" i="3"/>
  <c r="L31" i="3"/>
  <c r="J31" i="3"/>
  <c r="G31" i="3"/>
  <c r="M30" i="3"/>
  <c r="L30" i="3"/>
  <c r="J30" i="3"/>
  <c r="G30" i="3"/>
  <c r="M29" i="3"/>
  <c r="L29" i="3"/>
  <c r="J29" i="3"/>
  <c r="G29" i="3"/>
  <c r="U28" i="3"/>
  <c r="M28" i="3"/>
  <c r="L28" i="3"/>
  <c r="J28" i="3"/>
  <c r="G28" i="3"/>
  <c r="L27" i="3"/>
  <c r="J27" i="3"/>
  <c r="G27" i="3"/>
  <c r="M26" i="3"/>
  <c r="L26" i="3"/>
  <c r="J26" i="3"/>
  <c r="G26" i="3"/>
  <c r="M25" i="3"/>
  <c r="L25" i="3"/>
  <c r="J25" i="3"/>
  <c r="G25" i="3"/>
  <c r="M24" i="3"/>
  <c r="L24" i="3"/>
  <c r="J24" i="3"/>
  <c r="G24" i="3"/>
  <c r="M23" i="3"/>
  <c r="L23" i="3"/>
  <c r="J23" i="3"/>
  <c r="G23" i="3"/>
  <c r="L22" i="3"/>
  <c r="J22" i="3"/>
  <c r="G22" i="3"/>
  <c r="M21" i="3"/>
  <c r="L21" i="3"/>
  <c r="J21" i="3"/>
  <c r="G21" i="3"/>
  <c r="M20" i="3"/>
  <c r="L20" i="3"/>
  <c r="J20" i="3"/>
  <c r="N20" i="3" s="1"/>
  <c r="G20" i="3"/>
  <c r="M19" i="3"/>
  <c r="L19" i="3"/>
  <c r="J19" i="3"/>
  <c r="G19" i="3"/>
  <c r="M18" i="3"/>
  <c r="L18" i="3"/>
  <c r="J18" i="3"/>
  <c r="G18" i="3"/>
  <c r="M17" i="3"/>
  <c r="L17" i="3"/>
  <c r="J17" i="3"/>
  <c r="G17" i="3"/>
  <c r="M16" i="3"/>
  <c r="L16" i="3"/>
  <c r="J16" i="3"/>
  <c r="G16" i="3"/>
  <c r="M15" i="3"/>
  <c r="L15" i="3"/>
  <c r="J15" i="3"/>
  <c r="G15" i="3"/>
  <c r="M14" i="3"/>
  <c r="L14" i="3"/>
  <c r="J14" i="3"/>
  <c r="G14" i="3"/>
  <c r="M13" i="3"/>
  <c r="L13" i="3"/>
  <c r="J13" i="3"/>
  <c r="G13" i="3"/>
  <c r="M12" i="3"/>
  <c r="L12" i="3"/>
  <c r="J12" i="3"/>
  <c r="G12" i="3"/>
  <c r="M11" i="3"/>
  <c r="L11" i="3"/>
  <c r="J11" i="3"/>
  <c r="G11" i="3"/>
  <c r="M10" i="3"/>
  <c r="L10" i="3"/>
  <c r="J10" i="3"/>
  <c r="G10" i="3"/>
  <c r="M9" i="3"/>
  <c r="L9" i="3"/>
  <c r="J9" i="3"/>
  <c r="G9" i="3"/>
  <c r="K9" i="3" s="1"/>
  <c r="M8" i="3"/>
  <c r="L8" i="3"/>
  <c r="J8" i="3"/>
  <c r="G8" i="3"/>
  <c r="K8" i="3" s="1"/>
  <c r="S8" i="3" s="1"/>
  <c r="T8" i="3" s="1"/>
  <c r="M7" i="3"/>
  <c r="L7" i="3"/>
  <c r="J7" i="3"/>
  <c r="G7" i="3"/>
  <c r="K7" i="3" s="1"/>
  <c r="S7" i="3" s="1"/>
  <c r="T7" i="3" s="1"/>
  <c r="M6" i="3"/>
  <c r="L6" i="3"/>
  <c r="J6" i="3"/>
  <c r="G6" i="3"/>
  <c r="K6" i="3" s="1"/>
  <c r="S6" i="3" s="1"/>
  <c r="T6" i="3" s="1"/>
  <c r="L5" i="3"/>
  <c r="J5" i="3"/>
  <c r="G5" i="3"/>
  <c r="K5" i="3" s="1"/>
  <c r="S5" i="3" s="1"/>
  <c r="T5" i="3" s="1"/>
  <c r="N4" i="3"/>
  <c r="M4" i="3"/>
  <c r="L4" i="3"/>
  <c r="J4" i="3"/>
  <c r="G4" i="3"/>
  <c r="K4" i="3" s="1"/>
  <c r="S4" i="3" s="1"/>
  <c r="T4" i="3" s="1"/>
  <c r="M3" i="3"/>
  <c r="L3" i="3"/>
  <c r="J3" i="3"/>
  <c r="G3" i="3"/>
  <c r="K3" i="3" s="1"/>
  <c r="S3" i="3" s="1"/>
  <c r="T3" i="3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B33" i="3" s="1"/>
  <c r="B34" i="3" s="1"/>
  <c r="B35" i="3" s="1"/>
  <c r="B36" i="3" s="1"/>
  <c r="B37" i="3" s="1"/>
  <c r="B38" i="3" s="1"/>
  <c r="B39" i="3" s="1"/>
  <c r="B40" i="3" s="1"/>
  <c r="B41" i="3" s="1"/>
  <c r="B42" i="3" s="1"/>
  <c r="B43" i="3" s="1"/>
  <c r="B44" i="3" s="1"/>
  <c r="B45" i="3" s="1"/>
  <c r="B46" i="3" s="1"/>
  <c r="J2" i="3"/>
  <c r="G2" i="3"/>
  <c r="V47" i="2"/>
  <c r="I47" i="2"/>
  <c r="L40" i="2"/>
  <c r="L41" i="2"/>
  <c r="L42" i="2"/>
  <c r="L43" i="2"/>
  <c r="L44" i="2"/>
  <c r="L45" i="2"/>
  <c r="L46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M46" i="2"/>
  <c r="J46" i="2"/>
  <c r="K46" i="2"/>
  <c r="M45" i="2"/>
  <c r="J45" i="2"/>
  <c r="K45" i="2"/>
  <c r="M41" i="2"/>
  <c r="J41" i="2"/>
  <c r="G41" i="2"/>
  <c r="K41" i="2" s="1"/>
  <c r="M12" i="2"/>
  <c r="J12" i="2"/>
  <c r="G12" i="2"/>
  <c r="K12" i="2" s="1"/>
  <c r="M40" i="2"/>
  <c r="J40" i="2"/>
  <c r="G40" i="2"/>
  <c r="K40" i="2" s="1"/>
  <c r="U28" i="2"/>
  <c r="M28" i="2"/>
  <c r="J28" i="2"/>
  <c r="N28" i="2" s="1"/>
  <c r="G28" i="2"/>
  <c r="K28" i="2" s="1"/>
  <c r="M43" i="2"/>
  <c r="J43" i="2"/>
  <c r="G43" i="2"/>
  <c r="K43" i="2" s="1"/>
  <c r="M20" i="2"/>
  <c r="J20" i="2"/>
  <c r="G20" i="2"/>
  <c r="K20" i="2" s="1"/>
  <c r="M19" i="2"/>
  <c r="J19" i="2"/>
  <c r="G19" i="2"/>
  <c r="K19" i="2" s="1"/>
  <c r="M18" i="2"/>
  <c r="J18" i="2"/>
  <c r="G18" i="2"/>
  <c r="K18" i="2" s="1"/>
  <c r="M39" i="2"/>
  <c r="J39" i="2"/>
  <c r="G39" i="2"/>
  <c r="K39" i="2" s="1"/>
  <c r="M38" i="2"/>
  <c r="J38" i="2"/>
  <c r="G38" i="2"/>
  <c r="K38" i="2" s="1"/>
  <c r="M37" i="2"/>
  <c r="J37" i="2"/>
  <c r="G37" i="2"/>
  <c r="K37" i="2" s="1"/>
  <c r="M36" i="2"/>
  <c r="J36" i="2"/>
  <c r="G36" i="2"/>
  <c r="K36" i="2" s="1"/>
  <c r="M35" i="2"/>
  <c r="J35" i="2"/>
  <c r="G35" i="2"/>
  <c r="K35" i="2" s="1"/>
  <c r="M34" i="2"/>
  <c r="J34" i="2"/>
  <c r="G34" i="2"/>
  <c r="K34" i="2" s="1"/>
  <c r="J27" i="2"/>
  <c r="G27" i="2"/>
  <c r="K27" i="2" s="1"/>
  <c r="M26" i="2"/>
  <c r="J26" i="2"/>
  <c r="G26" i="2"/>
  <c r="K26" i="2" s="1"/>
  <c r="M25" i="2"/>
  <c r="J25" i="2"/>
  <c r="G25" i="2"/>
  <c r="K25" i="2" s="1"/>
  <c r="J33" i="2"/>
  <c r="G33" i="2"/>
  <c r="K33" i="2" s="1"/>
  <c r="M8" i="2"/>
  <c r="J8" i="2"/>
  <c r="G8" i="2"/>
  <c r="K8" i="2" s="1"/>
  <c r="M24" i="2"/>
  <c r="J24" i="2"/>
  <c r="G24" i="2"/>
  <c r="K24" i="2" s="1"/>
  <c r="M7" i="2"/>
  <c r="J7" i="2"/>
  <c r="G7" i="2"/>
  <c r="K7" i="2" s="1"/>
  <c r="M9" i="2"/>
  <c r="J9" i="2"/>
  <c r="G9" i="2"/>
  <c r="K9" i="2" s="1"/>
  <c r="M6" i="2"/>
  <c r="J6" i="2"/>
  <c r="G6" i="2"/>
  <c r="K6" i="2" s="1"/>
  <c r="M17" i="2"/>
  <c r="J17" i="2"/>
  <c r="G17" i="2"/>
  <c r="K17" i="2" s="1"/>
  <c r="M32" i="2"/>
  <c r="J32" i="2"/>
  <c r="G32" i="2"/>
  <c r="K32" i="2" s="1"/>
  <c r="M31" i="2"/>
  <c r="J31" i="2"/>
  <c r="G31" i="2"/>
  <c r="K31" i="2" s="1"/>
  <c r="M30" i="2"/>
  <c r="J30" i="2"/>
  <c r="G30" i="2"/>
  <c r="K30" i="2" s="1"/>
  <c r="J5" i="2"/>
  <c r="G5" i="2"/>
  <c r="K5" i="2" s="1"/>
  <c r="M11" i="2"/>
  <c r="J11" i="2"/>
  <c r="G11" i="2"/>
  <c r="K11" i="2" s="1"/>
  <c r="M4" i="2"/>
  <c r="J4" i="2"/>
  <c r="G4" i="2"/>
  <c r="K4" i="2" s="1"/>
  <c r="M44" i="2"/>
  <c r="J44" i="2"/>
  <c r="G44" i="2"/>
  <c r="K44" i="2" s="1"/>
  <c r="M10" i="2"/>
  <c r="J10" i="2"/>
  <c r="G10" i="2"/>
  <c r="K10" i="2" s="1"/>
  <c r="J22" i="2"/>
  <c r="G22" i="2"/>
  <c r="K22" i="2" s="1"/>
  <c r="M3" i="2"/>
  <c r="L3" i="2"/>
  <c r="L47" i="2" s="1"/>
  <c r="J3" i="2"/>
  <c r="G3" i="2"/>
  <c r="K3" i="2" s="1"/>
  <c r="M16" i="2"/>
  <c r="J16" i="2"/>
  <c r="G16" i="2"/>
  <c r="K16" i="2" s="1"/>
  <c r="M15" i="2"/>
  <c r="J15" i="2"/>
  <c r="G15" i="2"/>
  <c r="K15" i="2" s="1"/>
  <c r="M23" i="2"/>
  <c r="J23" i="2"/>
  <c r="G23" i="2"/>
  <c r="K23" i="2" s="1"/>
  <c r="M14" i="2"/>
  <c r="J14" i="2"/>
  <c r="G14" i="2"/>
  <c r="K14" i="2" s="1"/>
  <c r="M13" i="2"/>
  <c r="J13" i="2"/>
  <c r="G13" i="2"/>
  <c r="K13" i="2" s="1"/>
  <c r="M29" i="2"/>
  <c r="J29" i="2"/>
  <c r="G29" i="2"/>
  <c r="K29" i="2" s="1"/>
  <c r="M21" i="2"/>
  <c r="J21" i="2"/>
  <c r="G21" i="2"/>
  <c r="K21" i="2" s="1"/>
  <c r="J2" i="2"/>
  <c r="J47" i="2" s="1"/>
  <c r="G2" i="2"/>
  <c r="V51" i="1"/>
  <c r="R51" i="1"/>
  <c r="Q51" i="1"/>
  <c r="P51" i="1"/>
  <c r="M50" i="1"/>
  <c r="L50" i="1"/>
  <c r="J50" i="1"/>
  <c r="M49" i="1"/>
  <c r="L49" i="1"/>
  <c r="J49" i="1"/>
  <c r="M48" i="1"/>
  <c r="L48" i="1"/>
  <c r="J48" i="1"/>
  <c r="G48" i="1"/>
  <c r="M47" i="1"/>
  <c r="L47" i="1"/>
  <c r="J47" i="1"/>
  <c r="G47" i="1"/>
  <c r="M46" i="1"/>
  <c r="L46" i="1"/>
  <c r="J46" i="1"/>
  <c r="G46" i="1"/>
  <c r="M45" i="1"/>
  <c r="L45" i="1"/>
  <c r="J45" i="1"/>
  <c r="G45" i="1"/>
  <c r="U44" i="1"/>
  <c r="U51" i="1" s="1"/>
  <c r="M44" i="1"/>
  <c r="L44" i="1"/>
  <c r="J44" i="1"/>
  <c r="G44" i="1"/>
  <c r="M43" i="1"/>
  <c r="L43" i="1"/>
  <c r="J43" i="1"/>
  <c r="G43" i="1"/>
  <c r="M42" i="1"/>
  <c r="L42" i="1"/>
  <c r="J42" i="1"/>
  <c r="G42" i="1"/>
  <c r="M41" i="1"/>
  <c r="L41" i="1"/>
  <c r="J41" i="1"/>
  <c r="G41" i="1"/>
  <c r="M40" i="1"/>
  <c r="L40" i="1"/>
  <c r="J40" i="1"/>
  <c r="G40" i="1"/>
  <c r="M39" i="1"/>
  <c r="L39" i="1"/>
  <c r="J39" i="1"/>
  <c r="G39" i="1"/>
  <c r="M38" i="1"/>
  <c r="L38" i="1"/>
  <c r="J38" i="1"/>
  <c r="G38" i="1"/>
  <c r="M37" i="1"/>
  <c r="L37" i="1"/>
  <c r="J37" i="1"/>
  <c r="G37" i="1"/>
  <c r="M36" i="1"/>
  <c r="J36" i="1"/>
  <c r="G36" i="1"/>
  <c r="M35" i="1"/>
  <c r="L35" i="1"/>
  <c r="J35" i="1"/>
  <c r="N35" i="1" s="1"/>
  <c r="G35" i="1"/>
  <c r="M34" i="1"/>
  <c r="L34" i="1"/>
  <c r="J34" i="1"/>
  <c r="G34" i="1"/>
  <c r="J33" i="1"/>
  <c r="G33" i="1"/>
  <c r="M32" i="1"/>
  <c r="L32" i="1"/>
  <c r="J32" i="1"/>
  <c r="G32" i="1"/>
  <c r="M31" i="1"/>
  <c r="L31" i="1"/>
  <c r="J31" i="1"/>
  <c r="G31" i="1"/>
  <c r="J30" i="1"/>
  <c r="G30" i="1"/>
  <c r="M29" i="1"/>
  <c r="L29" i="1"/>
  <c r="J29" i="1"/>
  <c r="G29" i="1"/>
  <c r="M28" i="1"/>
  <c r="L28" i="1"/>
  <c r="J28" i="1"/>
  <c r="G28" i="1"/>
  <c r="M27" i="1"/>
  <c r="L27" i="1"/>
  <c r="J27" i="1"/>
  <c r="G27" i="1"/>
  <c r="M26" i="1"/>
  <c r="L26" i="1"/>
  <c r="J26" i="1"/>
  <c r="G26" i="1"/>
  <c r="M25" i="1"/>
  <c r="L25" i="1"/>
  <c r="J25" i="1"/>
  <c r="G25" i="1"/>
  <c r="M24" i="1"/>
  <c r="L24" i="1"/>
  <c r="J24" i="1"/>
  <c r="G24" i="1"/>
  <c r="M23" i="1"/>
  <c r="L23" i="1"/>
  <c r="J23" i="1"/>
  <c r="G23" i="1"/>
  <c r="M22" i="1"/>
  <c r="J22" i="1"/>
  <c r="G22" i="1"/>
  <c r="M21" i="1"/>
  <c r="L21" i="1"/>
  <c r="J21" i="1"/>
  <c r="G21" i="1"/>
  <c r="J20" i="1"/>
  <c r="G20" i="1"/>
  <c r="M19" i="1"/>
  <c r="L19" i="1"/>
  <c r="J19" i="1"/>
  <c r="G19" i="1"/>
  <c r="M18" i="1"/>
  <c r="L18" i="1"/>
  <c r="J18" i="1"/>
  <c r="N18" i="1" s="1"/>
  <c r="G18" i="1"/>
  <c r="M17" i="1"/>
  <c r="L17" i="1"/>
  <c r="J17" i="1"/>
  <c r="G17" i="1"/>
  <c r="M16" i="1"/>
  <c r="L16" i="1"/>
  <c r="J16" i="1"/>
  <c r="G16" i="1"/>
  <c r="J15" i="1"/>
  <c r="G15" i="1"/>
  <c r="M14" i="1"/>
  <c r="L14" i="1"/>
  <c r="J14" i="1"/>
  <c r="G14" i="1"/>
  <c r="M13" i="1"/>
  <c r="L13" i="1"/>
  <c r="J13" i="1"/>
  <c r="G13" i="1"/>
  <c r="K13" i="1" s="1"/>
  <c r="M12" i="1"/>
  <c r="L12" i="1"/>
  <c r="J12" i="1"/>
  <c r="G12" i="1"/>
  <c r="K12" i="1" s="1"/>
  <c r="M11" i="1"/>
  <c r="L11" i="1"/>
  <c r="J11" i="1"/>
  <c r="G11" i="1"/>
  <c r="K11" i="1" s="1"/>
  <c r="M10" i="1"/>
  <c r="L10" i="1"/>
  <c r="J10" i="1"/>
  <c r="G10" i="1"/>
  <c r="K10" i="1" s="1"/>
  <c r="M9" i="1"/>
  <c r="L9" i="1"/>
  <c r="J9" i="1"/>
  <c r="G9" i="1"/>
  <c r="K9" i="1" s="1"/>
  <c r="M8" i="1"/>
  <c r="L8" i="1"/>
  <c r="J8" i="1"/>
  <c r="G8" i="1"/>
  <c r="K8" i="1" s="1"/>
  <c r="M7" i="1"/>
  <c r="M51" i="1" s="1"/>
  <c r="L7" i="1"/>
  <c r="L51" i="1" s="1"/>
  <c r="J7" i="1"/>
  <c r="G7" i="1"/>
  <c r="K7" i="1" s="1"/>
  <c r="B7" i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49" i="1" s="1"/>
  <c r="B50" i="1" s="1"/>
  <c r="J6" i="1"/>
  <c r="G6" i="1"/>
  <c r="K44" i="3" l="1"/>
  <c r="K43" i="3"/>
  <c r="K41" i="3"/>
  <c r="K40" i="3"/>
  <c r="K39" i="3"/>
  <c r="K38" i="3"/>
  <c r="K37" i="3"/>
  <c r="K36" i="3"/>
  <c r="K35" i="3"/>
  <c r="K34" i="3"/>
  <c r="K33" i="3"/>
  <c r="K32" i="3"/>
  <c r="K31" i="3"/>
  <c r="K30" i="3"/>
  <c r="K29" i="3"/>
  <c r="K28" i="3"/>
  <c r="K27" i="3"/>
  <c r="S27" i="3" s="1"/>
  <c r="T27" i="3" s="1"/>
  <c r="K26" i="3"/>
  <c r="S26" i="3" s="1"/>
  <c r="T26" i="3" s="1"/>
  <c r="K25" i="3"/>
  <c r="S25" i="3" s="1"/>
  <c r="T25" i="3" s="1"/>
  <c r="K24" i="3"/>
  <c r="S24" i="3" s="1"/>
  <c r="T24" i="3" s="1"/>
  <c r="K23" i="3"/>
  <c r="S23" i="3" s="1"/>
  <c r="T23" i="3" s="1"/>
  <c r="K22" i="3"/>
  <c r="S22" i="3" s="1"/>
  <c r="T22" i="3" s="1"/>
  <c r="K21" i="3"/>
  <c r="S21" i="3" s="1"/>
  <c r="T21" i="3" s="1"/>
  <c r="K20" i="3"/>
  <c r="K19" i="3"/>
  <c r="K18" i="3"/>
  <c r="K17" i="3"/>
  <c r="K16" i="3"/>
  <c r="K15" i="3"/>
  <c r="K14" i="3"/>
  <c r="K13" i="3"/>
  <c r="K12" i="3"/>
  <c r="K11" i="3"/>
  <c r="K10" i="3"/>
  <c r="K2" i="3"/>
  <c r="K2" i="2"/>
  <c r="K47" i="2" s="1"/>
  <c r="K48" i="1"/>
  <c r="K47" i="1"/>
  <c r="K46" i="1"/>
  <c r="K45" i="1"/>
  <c r="K44" i="1"/>
  <c r="K43" i="1"/>
  <c r="K42" i="1"/>
  <c r="K41" i="1"/>
  <c r="K40" i="1"/>
  <c r="K39" i="1"/>
  <c r="K38" i="1"/>
  <c r="K37" i="1"/>
  <c r="K36" i="1"/>
  <c r="K35" i="1"/>
  <c r="K34" i="1"/>
  <c r="K33" i="1"/>
  <c r="K32" i="1"/>
  <c r="K31" i="1"/>
  <c r="K30" i="1"/>
  <c r="K29" i="1"/>
  <c r="K28" i="1"/>
  <c r="K27" i="1"/>
  <c r="K26" i="1"/>
  <c r="K25" i="1"/>
  <c r="K24" i="1"/>
  <c r="K23" i="1"/>
  <c r="K22" i="1"/>
  <c r="K21" i="1"/>
  <c r="K20" i="1"/>
  <c r="K19" i="1"/>
  <c r="K18" i="1"/>
  <c r="K17" i="1"/>
  <c r="K16" i="1"/>
  <c r="K15" i="1"/>
  <c r="K14" i="1"/>
  <c r="K6" i="1"/>
  <c r="M47" i="2"/>
  <c r="L47" i="3"/>
  <c r="M47" i="3"/>
  <c r="N46" i="3"/>
  <c r="N45" i="3"/>
  <c r="O45" i="3"/>
  <c r="S45" i="3" s="1"/>
  <c r="T45" i="3" s="1"/>
  <c r="N44" i="3"/>
  <c r="N43" i="3"/>
  <c r="N41" i="3"/>
  <c r="N40" i="3"/>
  <c r="N39" i="3"/>
  <c r="O39" i="3"/>
  <c r="S39" i="3" s="1"/>
  <c r="T39" i="3" s="1"/>
  <c r="N38" i="3"/>
  <c r="O38" i="3"/>
  <c r="S38" i="3" s="1"/>
  <c r="T38" i="3" s="1"/>
  <c r="N37" i="3"/>
  <c r="N36" i="3"/>
  <c r="N35" i="3"/>
  <c r="O35" i="3"/>
  <c r="S35" i="3" s="1"/>
  <c r="T35" i="3" s="1"/>
  <c r="N34" i="3"/>
  <c r="N33" i="3"/>
  <c r="O32" i="3"/>
  <c r="S32" i="3" s="1"/>
  <c r="T32" i="3" s="1"/>
  <c r="N31" i="3"/>
  <c r="O31" i="3"/>
  <c r="S31" i="3" s="1"/>
  <c r="T31" i="3" s="1"/>
  <c r="N30" i="3"/>
  <c r="O30" i="3"/>
  <c r="S30" i="3" s="1"/>
  <c r="T30" i="3" s="1"/>
  <c r="N29" i="3"/>
  <c r="O29" i="3"/>
  <c r="S29" i="3" s="1"/>
  <c r="T29" i="3" s="1"/>
  <c r="N28" i="3"/>
  <c r="O28" i="3"/>
  <c r="N27" i="3"/>
  <c r="N26" i="3"/>
  <c r="O26" i="3"/>
  <c r="N25" i="3"/>
  <c r="N24" i="3"/>
  <c r="N23" i="3"/>
  <c r="N22" i="3"/>
  <c r="N21" i="3"/>
  <c r="O21" i="3"/>
  <c r="O20" i="3"/>
  <c r="S20" i="3" s="1"/>
  <c r="T20" i="3" s="1"/>
  <c r="N19" i="3"/>
  <c r="N18" i="3"/>
  <c r="N17" i="3"/>
  <c r="N16" i="3"/>
  <c r="N15" i="3"/>
  <c r="O15" i="3"/>
  <c r="S15" i="3" s="1"/>
  <c r="T15" i="3" s="1"/>
  <c r="N14" i="3"/>
  <c r="J47" i="3"/>
  <c r="N13" i="3"/>
  <c r="N12" i="3"/>
  <c r="N11" i="3"/>
  <c r="O11" i="3"/>
  <c r="S11" i="3" s="1"/>
  <c r="T11" i="3" s="1"/>
  <c r="N10" i="3"/>
  <c r="O10" i="3"/>
  <c r="S10" i="3" s="1"/>
  <c r="T10" i="3" s="1"/>
  <c r="N9" i="3"/>
  <c r="O9" i="3"/>
  <c r="S9" i="3" s="1"/>
  <c r="T9" i="3" s="1"/>
  <c r="N8" i="3"/>
  <c r="O8" i="3"/>
  <c r="N7" i="3"/>
  <c r="O7" i="3"/>
  <c r="N6" i="3"/>
  <c r="N5" i="3"/>
  <c r="O4" i="3"/>
  <c r="N3" i="3"/>
  <c r="N2" i="3"/>
  <c r="N46" i="2"/>
  <c r="N45" i="2"/>
  <c r="N41" i="2"/>
  <c r="N12" i="2"/>
  <c r="N40" i="2"/>
  <c r="O28" i="2"/>
  <c r="N43" i="2"/>
  <c r="S43" i="2" s="1"/>
  <c r="T43" i="2" s="1"/>
  <c r="O43" i="2"/>
  <c r="N20" i="2"/>
  <c r="O20" i="2"/>
  <c r="N19" i="2"/>
  <c r="N18" i="2"/>
  <c r="O18" i="2"/>
  <c r="N39" i="2"/>
  <c r="O39" i="2"/>
  <c r="N38" i="2"/>
  <c r="N37" i="2"/>
  <c r="N36" i="2"/>
  <c r="N35" i="2"/>
  <c r="N34" i="2"/>
  <c r="N27" i="2"/>
  <c r="N26" i="2"/>
  <c r="S26" i="2" s="1"/>
  <c r="T26" i="2" s="1"/>
  <c r="O26" i="2"/>
  <c r="N25" i="2"/>
  <c r="S25" i="2" s="1"/>
  <c r="T25" i="2" s="1"/>
  <c r="N33" i="2"/>
  <c r="O33" i="2"/>
  <c r="N8" i="2"/>
  <c r="N24" i="2"/>
  <c r="N7" i="2"/>
  <c r="N9" i="2"/>
  <c r="N6" i="2"/>
  <c r="N17" i="2"/>
  <c r="N32" i="2"/>
  <c r="N31" i="2"/>
  <c r="N30" i="2"/>
  <c r="N5" i="2"/>
  <c r="S5" i="2" s="1"/>
  <c r="T5" i="2" s="1"/>
  <c r="O5" i="2"/>
  <c r="N11" i="2"/>
  <c r="O11" i="2"/>
  <c r="N4" i="2"/>
  <c r="S4" i="2" s="1"/>
  <c r="T4" i="2" s="1"/>
  <c r="O4" i="2"/>
  <c r="N44" i="2"/>
  <c r="N10" i="2"/>
  <c r="N22" i="2"/>
  <c r="N3" i="2"/>
  <c r="N16" i="2"/>
  <c r="O16" i="2"/>
  <c r="N15" i="2"/>
  <c r="N23" i="2"/>
  <c r="S23" i="2" s="1"/>
  <c r="T23" i="2" s="1"/>
  <c r="O23" i="2"/>
  <c r="N14" i="2"/>
  <c r="N13" i="2"/>
  <c r="O13" i="2"/>
  <c r="N29" i="2"/>
  <c r="N21" i="2"/>
  <c r="N2" i="2"/>
  <c r="N47" i="2" s="1"/>
  <c r="S35" i="1"/>
  <c r="T35" i="1" s="1"/>
  <c r="N50" i="1"/>
  <c r="N49" i="1"/>
  <c r="N48" i="1"/>
  <c r="S48" i="1" s="1"/>
  <c r="T48" i="1" s="1"/>
  <c r="O48" i="1"/>
  <c r="N47" i="1"/>
  <c r="N46" i="1"/>
  <c r="S46" i="1" s="1"/>
  <c r="T46" i="1" s="1"/>
  <c r="O46" i="1"/>
  <c r="N45" i="1"/>
  <c r="N44" i="1"/>
  <c r="N43" i="1"/>
  <c r="N42" i="1"/>
  <c r="N41" i="1"/>
  <c r="S41" i="1" s="1"/>
  <c r="T41" i="1" s="1"/>
  <c r="O41" i="1"/>
  <c r="N40" i="1"/>
  <c r="N39" i="1"/>
  <c r="S39" i="1" s="1"/>
  <c r="T39" i="1" s="1"/>
  <c r="O39" i="1"/>
  <c r="N38" i="1"/>
  <c r="N37" i="1"/>
  <c r="N36" i="1"/>
  <c r="S36" i="1" s="1"/>
  <c r="T36" i="1" s="1"/>
  <c r="O36" i="1"/>
  <c r="N34" i="1"/>
  <c r="N33" i="1"/>
  <c r="S33" i="1" s="1"/>
  <c r="T33" i="1" s="1"/>
  <c r="O33" i="1"/>
  <c r="N32" i="1"/>
  <c r="N31" i="1"/>
  <c r="N30" i="1"/>
  <c r="S30" i="1" s="1"/>
  <c r="T30" i="1" s="1"/>
  <c r="O30" i="1"/>
  <c r="N29" i="1"/>
  <c r="N28" i="1"/>
  <c r="N27" i="1"/>
  <c r="S27" i="1" s="1"/>
  <c r="T27" i="1" s="1"/>
  <c r="O27" i="1"/>
  <c r="N26" i="1"/>
  <c r="S26" i="1" s="1"/>
  <c r="T26" i="1" s="1"/>
  <c r="O26" i="1"/>
  <c r="N25" i="1"/>
  <c r="S25" i="1" s="1"/>
  <c r="T25" i="1" s="1"/>
  <c r="O25" i="1"/>
  <c r="N24" i="1"/>
  <c r="N23" i="1"/>
  <c r="S23" i="1" s="1"/>
  <c r="T23" i="1" s="1"/>
  <c r="O23" i="1"/>
  <c r="N22" i="1"/>
  <c r="N21" i="1"/>
  <c r="S21" i="1" s="1"/>
  <c r="T21" i="1" s="1"/>
  <c r="O21" i="1"/>
  <c r="N20" i="1"/>
  <c r="N19" i="1"/>
  <c r="S19" i="1" s="1"/>
  <c r="T19" i="1" s="1"/>
  <c r="O19" i="1"/>
  <c r="O18" i="1"/>
  <c r="S18" i="1"/>
  <c r="T18" i="1" s="1"/>
  <c r="N17" i="1"/>
  <c r="S17" i="1" s="1"/>
  <c r="T17" i="1" s="1"/>
  <c r="O17" i="1"/>
  <c r="N16" i="1"/>
  <c r="S16" i="1" s="1"/>
  <c r="T16" i="1" s="1"/>
  <c r="O16" i="1"/>
  <c r="N15" i="1"/>
  <c r="N14" i="1"/>
  <c r="S14" i="1" s="1"/>
  <c r="T14" i="1" s="1"/>
  <c r="O14" i="1"/>
  <c r="N13" i="1"/>
  <c r="S13" i="1" s="1"/>
  <c r="T13" i="1" s="1"/>
  <c r="O13" i="1"/>
  <c r="N12" i="1"/>
  <c r="S12" i="1" s="1"/>
  <c r="T12" i="1" s="1"/>
  <c r="O12" i="1"/>
  <c r="N11" i="1"/>
  <c r="N10" i="1"/>
  <c r="N9" i="1"/>
  <c r="S9" i="1" s="1"/>
  <c r="T9" i="1" s="1"/>
  <c r="O9" i="1"/>
  <c r="N8" i="1"/>
  <c r="S8" i="1" s="1"/>
  <c r="T8" i="1" s="1"/>
  <c r="O8" i="1"/>
  <c r="N7" i="1"/>
  <c r="S7" i="1" s="1"/>
  <c r="T7" i="1" s="1"/>
  <c r="O7" i="1"/>
  <c r="J51" i="1"/>
  <c r="N6" i="1"/>
  <c r="O35" i="1"/>
  <c r="O2" i="3" l="1"/>
  <c r="S2" i="3"/>
  <c r="T2" i="3" s="1"/>
  <c r="K47" i="3"/>
  <c r="O6" i="1"/>
  <c r="S6" i="1"/>
  <c r="K51" i="1"/>
  <c r="N47" i="3"/>
  <c r="O46" i="3"/>
  <c r="S46" i="3" s="1"/>
  <c r="T46" i="3" s="1"/>
  <c r="O44" i="3"/>
  <c r="S44" i="3" s="1"/>
  <c r="T44" i="3" s="1"/>
  <c r="O43" i="3"/>
  <c r="S43" i="3" s="1"/>
  <c r="T43" i="3" s="1"/>
  <c r="O41" i="3"/>
  <c r="S41" i="3" s="1"/>
  <c r="T41" i="3" s="1"/>
  <c r="O40" i="3"/>
  <c r="S40" i="3" s="1"/>
  <c r="T40" i="3" s="1"/>
  <c r="O37" i="3"/>
  <c r="S37" i="3" s="1"/>
  <c r="T37" i="3" s="1"/>
  <c r="O36" i="3"/>
  <c r="S36" i="3" s="1"/>
  <c r="T36" i="3" s="1"/>
  <c r="O34" i="3"/>
  <c r="S34" i="3" s="1"/>
  <c r="T34" i="3" s="1"/>
  <c r="O33" i="3"/>
  <c r="S33" i="3" s="1"/>
  <c r="T33" i="3" s="1"/>
  <c r="O27" i="3"/>
  <c r="O25" i="3"/>
  <c r="O24" i="3"/>
  <c r="O23" i="3"/>
  <c r="O22" i="3"/>
  <c r="O19" i="3"/>
  <c r="S19" i="3" s="1"/>
  <c r="T19" i="3" s="1"/>
  <c r="O18" i="3"/>
  <c r="S18" i="3" s="1"/>
  <c r="T18" i="3" s="1"/>
  <c r="O17" i="3"/>
  <c r="S17" i="3" s="1"/>
  <c r="T17" i="3" s="1"/>
  <c r="O16" i="3"/>
  <c r="S16" i="3" s="1"/>
  <c r="T16" i="3" s="1"/>
  <c r="O14" i="3"/>
  <c r="S14" i="3" s="1"/>
  <c r="T14" i="3" s="1"/>
  <c r="O13" i="3"/>
  <c r="S13" i="3" s="1"/>
  <c r="T13" i="3" s="1"/>
  <c r="O12" i="3"/>
  <c r="S12" i="3" s="1"/>
  <c r="T12" i="3" s="1"/>
  <c r="O6" i="3"/>
  <c r="O5" i="3"/>
  <c r="O3" i="3"/>
  <c r="O37" i="2"/>
  <c r="S27" i="2"/>
  <c r="T27" i="2" s="1"/>
  <c r="O27" i="2"/>
  <c r="O29" i="2"/>
  <c r="S22" i="2"/>
  <c r="T22" i="2" s="1"/>
  <c r="O22" i="2"/>
  <c r="O10" i="2"/>
  <c r="O17" i="2"/>
  <c r="O46" i="2"/>
  <c r="O35" i="2"/>
  <c r="O25" i="2"/>
  <c r="S21" i="2"/>
  <c r="T21" i="2" s="1"/>
  <c r="O21" i="2"/>
  <c r="O45" i="2"/>
  <c r="O41" i="2"/>
  <c r="O12" i="2"/>
  <c r="O40" i="2"/>
  <c r="O19" i="2"/>
  <c r="O38" i="2"/>
  <c r="O36" i="2"/>
  <c r="O34" i="2"/>
  <c r="S8" i="2"/>
  <c r="T8" i="2" s="1"/>
  <c r="O8" i="2"/>
  <c r="S24" i="2"/>
  <c r="T24" i="2" s="1"/>
  <c r="O24" i="2"/>
  <c r="S7" i="2"/>
  <c r="T7" i="2" s="1"/>
  <c r="O7" i="2"/>
  <c r="O9" i="2"/>
  <c r="S6" i="2"/>
  <c r="T6" i="2" s="1"/>
  <c r="O6" i="2"/>
  <c r="O32" i="2"/>
  <c r="O31" i="2"/>
  <c r="O30" i="2"/>
  <c r="S44" i="2"/>
  <c r="T44" i="2" s="1"/>
  <c r="O44" i="2"/>
  <c r="S3" i="2"/>
  <c r="T3" i="2" s="1"/>
  <c r="O3" i="2"/>
  <c r="O15" i="2"/>
  <c r="O14" i="2"/>
  <c r="S2" i="2"/>
  <c r="T2" i="2" s="1"/>
  <c r="O2" i="2"/>
  <c r="O47" i="2" s="1"/>
  <c r="D18" i="4" s="1"/>
  <c r="S42" i="1"/>
  <c r="T42" i="1" s="1"/>
  <c r="O42" i="1"/>
  <c r="S24" i="1"/>
  <c r="T24" i="1" s="1"/>
  <c r="O24" i="1"/>
  <c r="S11" i="1"/>
  <c r="T11" i="1" s="1"/>
  <c r="O11" i="1"/>
  <c r="T6" i="1"/>
  <c r="N51" i="1"/>
  <c r="S50" i="1"/>
  <c r="T50" i="1" s="1"/>
  <c r="O50" i="1"/>
  <c r="S49" i="1"/>
  <c r="T49" i="1" s="1"/>
  <c r="O49" i="1"/>
  <c r="S47" i="1"/>
  <c r="T47" i="1" s="1"/>
  <c r="O47" i="1"/>
  <c r="S45" i="1"/>
  <c r="T45" i="1" s="1"/>
  <c r="O45" i="1"/>
  <c r="S44" i="1"/>
  <c r="T44" i="1" s="1"/>
  <c r="O44" i="1"/>
  <c r="S43" i="1"/>
  <c r="T43" i="1" s="1"/>
  <c r="O43" i="1"/>
  <c r="S40" i="1"/>
  <c r="T40" i="1" s="1"/>
  <c r="O40" i="1"/>
  <c r="S38" i="1"/>
  <c r="T38" i="1" s="1"/>
  <c r="O38" i="1"/>
  <c r="S37" i="1"/>
  <c r="T37" i="1" s="1"/>
  <c r="O37" i="1"/>
  <c r="S34" i="1"/>
  <c r="T34" i="1" s="1"/>
  <c r="O34" i="1"/>
  <c r="S32" i="1"/>
  <c r="T32" i="1" s="1"/>
  <c r="O32" i="1"/>
  <c r="S31" i="1"/>
  <c r="T31" i="1" s="1"/>
  <c r="O31" i="1"/>
  <c r="S29" i="1"/>
  <c r="T29" i="1" s="1"/>
  <c r="O29" i="1"/>
  <c r="S28" i="1"/>
  <c r="T28" i="1" s="1"/>
  <c r="O28" i="1"/>
  <c r="S22" i="1"/>
  <c r="T22" i="1" s="1"/>
  <c r="O22" i="1"/>
  <c r="S20" i="1"/>
  <c r="T20" i="1" s="1"/>
  <c r="O20" i="1"/>
  <c r="S15" i="1"/>
  <c r="T15" i="1" s="1"/>
  <c r="O15" i="1"/>
  <c r="S10" i="1"/>
  <c r="O10" i="1"/>
  <c r="T47" i="3" l="1"/>
  <c r="E21" i="4" s="1"/>
  <c r="O47" i="3"/>
  <c r="D21" i="4" s="1"/>
  <c r="T47" i="2"/>
  <c r="E18" i="4" s="1"/>
  <c r="T10" i="1"/>
  <c r="T51" i="1" s="1"/>
  <c r="E15" i="4" s="1"/>
  <c r="S51" i="1"/>
  <c r="O51" i="1"/>
  <c r="D15" i="4" s="1"/>
  <c r="B3" i="2" l="1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B33" i="2" s="1"/>
  <c r="B34" i="2" s="1"/>
  <c r="B35" i="2" s="1"/>
  <c r="B36" i="2" s="1"/>
  <c r="B37" i="2" s="1"/>
  <c r="B38" i="2" s="1"/>
  <c r="B39" i="2" s="1"/>
  <c r="B40" i="2" s="1"/>
  <c r="B41" i="2" s="1"/>
  <c r="B42" i="2" s="1"/>
  <c r="B43" i="2" s="1"/>
  <c r="B44" i="2" s="1"/>
  <c r="B45" i="2" s="1"/>
  <c r="B46" i="2" s="1"/>
</calcChain>
</file>

<file path=xl/sharedStrings.xml><?xml version="1.0" encoding="utf-8"?>
<sst xmlns="http://schemas.openxmlformats.org/spreadsheetml/2006/main" count="481" uniqueCount="214">
  <si>
    <t>PROYECCIÓN SUELDOS PARA PRESUPUESTO 2026</t>
  </si>
  <si>
    <t>CLAVE</t>
  </si>
  <si>
    <t xml:space="preserve">NOMBRE </t>
  </si>
  <si>
    <t>PUESTO</t>
  </si>
  <si>
    <t>Fecha inicial</t>
  </si>
  <si>
    <t>Fecha atual</t>
  </si>
  <si>
    <t>Años</t>
  </si>
  <si>
    <t>Dias Correspondientes</t>
  </si>
  <si>
    <t xml:space="preserve">SALARIO </t>
  </si>
  <si>
    <t>SUELDO</t>
  </si>
  <si>
    <t>PRIMA VACACIONAL</t>
  </si>
  <si>
    <t>DIAS FESTIVOS</t>
  </si>
  <si>
    <t>PRIMA DOMINICAL</t>
  </si>
  <si>
    <t>AGUINALDO</t>
  </si>
  <si>
    <t>TOTAL</t>
  </si>
  <si>
    <t>RETIRO, CESANTIA Y VEJEZ</t>
  </si>
  <si>
    <t>INFONAVIT</t>
  </si>
  <si>
    <t>CUOTA IMSS</t>
  </si>
  <si>
    <t>IMPUESTO SOBRE NOMINA</t>
  </si>
  <si>
    <t>CARGA LABORAL</t>
  </si>
  <si>
    <t>JORGE ALTAMIRANO ROMERO</t>
  </si>
  <si>
    <t>ADMINISTRACION</t>
  </si>
  <si>
    <t>ANGEL ISMAEL MERIDA FLORES</t>
  </si>
  <si>
    <t>JEFE CONSERJE</t>
  </si>
  <si>
    <t>JOSE SANTOS PAZ GARCIA</t>
  </si>
  <si>
    <t>MANTENIMIENTO</t>
  </si>
  <si>
    <t>SAINITE RICO VIVEROS</t>
  </si>
  <si>
    <t>CONSERJERIA</t>
  </si>
  <si>
    <t>IVONNE TINOCO VEGA</t>
  </si>
  <si>
    <t>ELIZABETH SANCHEZ MARTINEZ</t>
  </si>
  <si>
    <t>LUDOTECA</t>
  </si>
  <si>
    <t>ANAYELI ARAUJO TAVIRA</t>
  </si>
  <si>
    <t>MARIA ELENA ARREOLA SANTOYO</t>
  </si>
  <si>
    <t>ARTURO IVAN ORDOÑEZ ESPINOSA</t>
  </si>
  <si>
    <t>ALEJANDRO CERDA GOMEZ</t>
  </si>
  <si>
    <t xml:space="preserve">JEFE MANTENIMIENTO </t>
  </si>
  <si>
    <t>RODRIGO SANCHEZ SALVADOR</t>
  </si>
  <si>
    <t>BELLBOY</t>
  </si>
  <si>
    <t>JORGE ALEJANDRO LEZAMA FLORES</t>
  </si>
  <si>
    <t>SISTEMAS</t>
  </si>
  <si>
    <t>PABLO LOPEZ CRUZ</t>
  </si>
  <si>
    <t>DIEGO ARMANDO LOPEZ GONZALEZ</t>
  </si>
  <si>
    <t>LISSETTE GONZALEZ ESTRADA</t>
  </si>
  <si>
    <t>MIGUEL ROBELO MORELOS</t>
  </si>
  <si>
    <t>BENJAMIN MACEDONIO MEJIA</t>
  </si>
  <si>
    <t>JAVIER LOPEZ SANTOS</t>
  </si>
  <si>
    <t>ANGEL MAURICIO MIRELES ROMERO</t>
  </si>
  <si>
    <t>NISSIM YADIHEL MORA OLMOS</t>
  </si>
  <si>
    <t>ALFREDO ANDRES RESENDIZ</t>
  </si>
  <si>
    <t>LEONARDO ISMAEL SANCHEZ MARTINEZ</t>
  </si>
  <si>
    <t>ANGELA MEZA VINIEGRA</t>
  </si>
  <si>
    <t>EDWIN DE JESUS CIAU MAZUM</t>
  </si>
  <si>
    <t>ALEJANDRO REYES PEDRAZA GONZALEZ</t>
  </si>
  <si>
    <t>LILIA KARINA SANDOVAL RODRIGUEZ</t>
  </si>
  <si>
    <t>MARIA DEL CARMEN HERNANDEZ DE ANDA</t>
  </si>
  <si>
    <t>JAZMIN SORIANO BARRERA</t>
  </si>
  <si>
    <t>OSCAR RAYMUNDO GRAJALES</t>
  </si>
  <si>
    <t>REY DAVID MELGAR TAPIA</t>
  </si>
  <si>
    <t>RICARDO ROSALES MARTINEZ</t>
  </si>
  <si>
    <t>ELIAS LOPEZ LINA</t>
  </si>
  <si>
    <t>ISRAEL ANGELES RIOS</t>
  </si>
  <si>
    <t>RICARDO ARTURO AGUIRRE RIVERA</t>
  </si>
  <si>
    <t>VICTOR HUGO CORONA ALVARADO</t>
  </si>
  <si>
    <t>MARCELINO ROMERO ALBA</t>
  </si>
  <si>
    <t>JOSE LUIS CARBO ROSAS</t>
  </si>
  <si>
    <t>JOSE ALBERTO GONZALEZ LOPEZ</t>
  </si>
  <si>
    <t>BRENDA SEGURA DAVILA</t>
  </si>
  <si>
    <t>ALEJANDRO MARTINEZ ACOSTA</t>
  </si>
  <si>
    <t>JUAN ADRIAN ZARAGOZA REYES</t>
  </si>
  <si>
    <t>JAIME GIBRAN RIVERA SANDOVAL</t>
  </si>
  <si>
    <t>EDUARDO SALAZAR JURADO</t>
  </si>
  <si>
    <t xml:space="preserve">VACANTE </t>
  </si>
  <si>
    <t>CHOFER</t>
  </si>
  <si>
    <t>JFE CONSERJERIA</t>
  </si>
  <si>
    <t>SUBJEFE MTTO</t>
  </si>
  <si>
    <t>aumento a 12,000 + 2000 vales</t>
  </si>
  <si>
    <t>aumento a 12,000 + 3500  vales</t>
  </si>
  <si>
    <t>aumento 3500  vales</t>
  </si>
  <si>
    <t>aumento a 13,000 + 2000 vales</t>
  </si>
  <si>
    <t>aumento a 13,000 + 3500  vales</t>
  </si>
  <si>
    <t xml:space="preserve">SUELDO ACTUAL </t>
  </si>
  <si>
    <t xml:space="preserve">CARGA PATRONAL </t>
  </si>
  <si>
    <t>SUELDO 12,000</t>
  </si>
  <si>
    <t>SUELDO 13,000</t>
  </si>
  <si>
    <t>VACACIONES</t>
  </si>
  <si>
    <t>AÑOS LABORADOS</t>
  </si>
  <si>
    <t>DIAS DE VACACIONES</t>
  </si>
  <si>
    <t>MOTOR DE CÁLCULO — PROYECCIÓN DE NÓMINAS / AJUSTE DE SUELDOS</t>
  </si>
  <si>
    <t>Documentación de las hojas 'sueldo actual', 'sueldo 12000' y 'sueldo 13000' para desarrollo de módulo.</t>
  </si>
  <si>
    <t>1. PROPÓSITO Y ARQUITECTURA</t>
  </si>
  <si>
    <t>El libro proyecta el costo de nómina 2026. Existe UNA sola lógica de cálculo repetida en tres hojas:</t>
  </si>
  <si>
    <t>• 'sueldo actual' = situación base (salario diario real de cada empleado).</t>
  </si>
  <si>
    <t>• 'sueldo 12000' y 'sueldo 13000' = escenarios de AJUSTE: mismas columnas y fórmulas; solo cambia el salario diario de entrada (col I) para llevar empleados a un piso salarial. Todo lo demás recalcula solo.</t>
  </si>
  <si>
    <t>INSIGHT CLAVE: el 'ajuste de sueldo' NO es una columna aparte — es cambiar el input de salario diario (I) y dejar que el motor recalcule prestaciones, cargas e impuestos. El módulo necesita UN solo motor parametrizado por el salario diario.</t>
  </si>
  <si>
    <t>2. ENTRADAS VS. CALCULADOS</t>
  </si>
  <si>
    <t>Columna</t>
  </si>
  <si>
    <t>Concepto</t>
  </si>
  <si>
    <t>Tipo / Origen</t>
  </si>
  <si>
    <t>B</t>
  </si>
  <si>
    <t>Calculado — consecutivo =fila_anterior+1</t>
  </si>
  <si>
    <t>C</t>
  </si>
  <si>
    <t>NOMBRE</t>
  </si>
  <si>
    <t>Entrada — texto</t>
  </si>
  <si>
    <t>D</t>
  </si>
  <si>
    <t>E</t>
  </si>
  <si>
    <t>Fecha inicial (ingreso)</t>
  </si>
  <si>
    <t>Entrada — fecha</t>
  </si>
  <si>
    <t>F</t>
  </si>
  <si>
    <t>Fecha actual (corte)</t>
  </si>
  <si>
    <t>Entrada — constante 46387 = 31/dic/2026 para todos</t>
  </si>
  <si>
    <t>G</t>
  </si>
  <si>
    <t>Años (antigüedad)</t>
  </si>
  <si>
    <t>Calculado (ver §3)</t>
  </si>
  <si>
    <t>H</t>
  </si>
  <si>
    <t>Días correspondientes (vacaciones)</t>
  </si>
  <si>
    <t>I</t>
  </si>
  <si>
    <t>SALARIO (diario)</t>
  </si>
  <si>
    <t>Entrada / VARIABLE DE AJUSTE — valor que se modifica en los escenarios</t>
  </si>
  <si>
    <t>J–O</t>
  </si>
  <si>
    <t>Percepciones mensuales</t>
  </si>
  <si>
    <t>P</t>
  </si>
  <si>
    <t>Retiro, cesantía y vejez</t>
  </si>
  <si>
    <t>Entrada — cuota patronal</t>
  </si>
  <si>
    <t>Q</t>
  </si>
  <si>
    <t>R</t>
  </si>
  <si>
    <t>Cuota IMSS</t>
  </si>
  <si>
    <t>S</t>
  </si>
  <si>
    <t>Impuesto sobre nómina</t>
  </si>
  <si>
    <t>T</t>
  </si>
  <si>
    <t>Carga laboral</t>
  </si>
  <si>
    <t>U</t>
  </si>
  <si>
    <t>(sin título) ajuste/bono manual</t>
  </si>
  <si>
    <t>Entrada — normalmente vacío; SÍ entra en el TOTAL (O)</t>
  </si>
  <si>
    <t>V</t>
  </si>
  <si>
    <t>Bono fijo</t>
  </si>
  <si>
    <t>Entrada — 2000 fijo; NO entra en O ni en T (informativo)</t>
  </si>
  <si>
    <t>Fila 51</t>
  </si>
  <si>
    <t>Totales</t>
  </si>
  <si>
    <t>Calculado — =SUM(...) de cada columna</t>
  </si>
  <si>
    <t>3. COLUMNAS CON CÁLCULO — FÓRMULA Y SIGNIFICADO</t>
  </si>
  <si>
    <t>Fórmula (fila 6)</t>
  </si>
  <si>
    <t>Significado de negocio</t>
  </si>
  <si>
    <t>G · Años</t>
  </si>
  <si>
    <t>=YEAR(F6)-YEAR(E6)</t>
  </si>
  <si>
    <t>Antigüedad. OJO: solo compara el año calendario, ignora mes y día. Recomendado usar diferencia real de fechas (DATEDIF) para el módulo.</t>
  </si>
  <si>
    <t>H · Días corresp.</t>
  </si>
  <si>
    <t>=VLOOKUP(G6, Hoja5!$A$3:$B$38, 2, 0)</t>
  </si>
  <si>
    <t>Días de vacaciones LFT según antigüedad (tabla en Hoja5, ver §4).</t>
  </si>
  <si>
    <t>J · Sueldo mensual</t>
  </si>
  <si>
    <t>=I6*30.4166</t>
  </si>
  <si>
    <t>Salario diario × factor días/mes (365/12 = 30.4166). Convierte diario a mensual.</t>
  </si>
  <si>
    <t>K · Prima vacacional</t>
  </si>
  <si>
    <t>=I6*H6*0.25/12</t>
  </si>
  <si>
    <t>Salario diario × días vac. × 25% (prima legal) ÷ 12 = provisión mensual.</t>
  </si>
  <si>
    <t>L · Días festivos</t>
  </si>
  <si>
    <t>=I6*2*3/12</t>
  </si>
  <si>
    <t>BUG: en la hoja las referencias están desfasadas una fila (L7=I6...) y varias filas en 0. El módulo debe usar el salario de LA MISMA fila. Confirmar regla real (número de festivos y factor).</t>
  </si>
  <si>
    <t>M · Prima dominical</t>
  </si>
  <si>
    <t>=I6*0.25*2</t>
  </si>
  <si>
    <t>Salario diario × 25% (prima dominical) × 2 domingos.</t>
  </si>
  <si>
    <t>N · Aguinaldo</t>
  </si>
  <si>
    <t>=J6/2/12</t>
  </si>
  <si>
    <t>Medio sueldo mensual ÷ 12 = provisión mensual del aguinaldo (≈15 días/año).</t>
  </si>
  <si>
    <t>O · TOTAL percepciones</t>
  </si>
  <si>
    <t>=+(J6+K6+L6+M6+N6+U6)</t>
  </si>
  <si>
    <t>Sueldo + prestaciones provisionadas + ajuste manual U. NO incluye V.</t>
  </si>
  <si>
    <t>S · Impto sobre nómina</t>
  </si>
  <si>
    <t>=(K6+L6+M6+N6+J6)*0.04</t>
  </si>
  <si>
    <t>4% de ISN sobre percepciones (J,K,L,M,N). No incluye U — validar si el ajuste debe gravar ISN.</t>
  </si>
  <si>
    <t>T · Carga laboral</t>
  </si>
  <si>
    <t>=+P6+Q6+R6+S6</t>
  </si>
  <si>
    <t>Costo patronal: RCV (P) + INFONAVIT (Q) + cuota IMSS (R) + ISN (S).</t>
  </si>
  <si>
    <t>Fila 51 · Totales</t>
  </si>
  <si>
    <t>=SUM(col6:col50)</t>
  </si>
  <si>
    <t>Suma de cada columna calculada.</t>
  </si>
  <si>
    <t>4. CONSTANTES Y TABLA DE VACACIONES (parametrizar en el módulo)</t>
  </si>
  <si>
    <t>Constante</t>
  </si>
  <si>
    <t>Significado</t>
  </si>
  <si>
    <t>Días promedio por mes (365/12)</t>
  </si>
  <si>
    <t>% prima vacacional y % prima dominical</t>
  </si>
  <si>
    <t>2 * 3</t>
  </si>
  <si>
    <t>Factor de días festivos (revisar con usuario)</t>
  </si>
  <si>
    <t>/2/12</t>
  </si>
  <si>
    <t>Aguinaldo mensualizado (15 días ≈ ½ mes ÷ 12)</t>
  </si>
  <si>
    <t>4% impuesto sobre nómina (ISN)</t>
  </si>
  <si>
    <t>Tabla Hoja5 — VACACIONES (años laborados → días):</t>
  </si>
  <si>
    <t>0-1 año</t>
  </si>
  <si>
    <t>12 días</t>
  </si>
  <si>
    <t>2 años</t>
  </si>
  <si>
    <t>14 días</t>
  </si>
  <si>
    <t>3 años</t>
  </si>
  <si>
    <t>16 días</t>
  </si>
  <si>
    <t>4 años</t>
  </si>
  <si>
    <t>18 días</t>
  </si>
  <si>
    <t>5 años</t>
  </si>
  <si>
    <t>20 días</t>
  </si>
  <si>
    <t>6-10 años</t>
  </si>
  <si>
    <t>22 días</t>
  </si>
  <si>
    <t>11-15 años</t>
  </si>
  <si>
    <t>24 días</t>
  </si>
  <si>
    <t>16-20 años</t>
  </si>
  <si>
    <t>26 días</t>
  </si>
  <si>
    <t>21-25 años</t>
  </si>
  <si>
    <t>28 días</t>
  </si>
  <si>
    <t>26-30 años</t>
  </si>
  <si>
    <t>30 días</t>
  </si>
  <si>
    <t>31-35 años</t>
  </si>
  <si>
    <t>32 días</t>
  </si>
  <si>
    <t>5. RECOMENDACIONES PARA EL MÓDULO</t>
  </si>
  <si>
    <t>1. UN solo motor de cálculo que reciba por empleado: salario diario, fecha de ingreso, fecha de corte, cuotas patronales (P/Q/R) y ajustes (U/V). Todo lo demás se deriva.</t>
  </si>
  <si>
    <t>2. Escenarios de ajuste = misma entrada salvo el salario diario (I). Modelar como 'corridas' sobre el mismo motor.</t>
  </si>
  <si>
    <t>3. Corregir el bug de la columna L (referencia desfasada) y fijar la antigüedad por fecha exacta en G.</t>
  </si>
  <si>
    <t>4. Externalizar constantes (§4) y la tabla de vacaciones a configuración, no hardcodear.</t>
  </si>
  <si>
    <t>5. Definir con el usuario si U debe entrar a S (ISN) y si V debe sumar al costo total.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</si>
</sst>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_-&quot;$&quot;* #,##0.00_-;\-&quot;$&quot;* #,##0.00_-;_-&quot;$&quot;* &quot;-&quot;??_-;_-@"/>
    <numFmt numFmtId="165" formatCode="_-* #,##0_-;\-* #,##0_-;_-* &quot;-&quot;??_-;_-@"/>
    <numFmt numFmtId="166" formatCode="_-[$$-409]* #,##0.00_ ;_-[$$-409]* \-#,##0.00\ ;_-[$$-409]* &quot;-&quot;??_ ;_-@_ "/>
    <numFmt numFmtId="167" formatCode="_-* #,##0_-;\-* #,##0_-;_-* &quot;-&quot;??_-;_-@_-"/>
    <numFmt numFmtId="168" formatCode="&quot;$&quot;#,##0.00"/>
  </numFmts>
  <fonts count="22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IBM Plex Sans"/>
    </font>
    <font>
      <sz val="10"/>
      <color theme="1"/>
      <name val="Calibri"/>
      <family val="2"/>
    </font>
    <font>
      <b/>
      <sz val="10"/>
      <color theme="0"/>
      <name val="IBM Plex Sans"/>
    </font>
    <font>
      <sz val="11"/>
      <name val="Calibri"/>
      <family val="2"/>
    </font>
    <font>
      <sz val="10"/>
      <color theme="0"/>
      <name val="IBM Plex Sans"/>
    </font>
    <font>
      <sz val="10"/>
      <color rgb="FF87929F"/>
      <name val="IBM Plex Sans"/>
    </font>
    <font>
      <sz val="10"/>
      <name val="IBM Plex Sans"/>
      <family val="2"/>
    </font>
    <font>
      <sz val="10"/>
      <color theme="0"/>
      <name val="IBM Plex Sans"/>
      <family val="2"/>
    </font>
    <font>
      <sz val="10"/>
      <color theme="1"/>
      <name val="Century Gothic"/>
      <family val="2"/>
    </font>
    <font>
      <sz val="12"/>
      <color theme="1"/>
      <name val="Calibri"/>
      <family val="2"/>
    </font>
    <font>
      <b/>
      <sz val="10"/>
      <color theme="1"/>
      <name val="IBM Plex Sans"/>
      <family val="2"/>
    </font>
    <font>
      <sz val="10"/>
      <color theme="1"/>
      <name val="IBM Plex Sans"/>
      <family val="2"/>
    </font>
    <font>
      <sz val="11"/>
      <color theme="1"/>
      <name val="Abadi"/>
      <family val="2"/>
    </font>
    <font>
      <b/>
      <sz val="14"/>
      <color rgb="FFFFFFFF"/>
      <name val="Calibri"/>
      <scheme val="minor"/>
    </font>
    <font>
      <i/>
      <sz val="11"/>
      <color rgb="FF595959"/>
      <name val="Calibri"/>
      <scheme val="minor"/>
    </font>
    <font>
      <b/>
      <sz val="12"/>
      <color rgb="FF1F3864"/>
      <name val="Calibri"/>
      <scheme val="minor"/>
    </font>
    <font>
      <b/>
      <sz val="11"/>
      <color theme="1"/>
      <name val="Calibri"/>
      <scheme val="minor"/>
    </font>
    <font>
      <b/>
      <sz val="11"/>
      <color rgb="FFFFFFFF"/>
      <name val="Calibri"/>
      <scheme val="minor"/>
    </font>
  </fonts>
  <fills count="23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1F3864"/>
        <bgColor rgb="FF1F3864"/>
      </patternFill>
    </fill>
    <fill>
      <patternFill patternType="solid">
        <fgColor theme="8" tint="0.79998168889431442"/>
        <bgColor rgb="FF1F3864"/>
      </patternFill>
    </fill>
    <fill>
      <patternFill patternType="solid">
        <fgColor theme="4" tint="0.79998168889431442"/>
        <bgColor rgb="FF1F38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59999389629810485"/>
        <bgColor theme="0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59999389629810485"/>
        <bgColor theme="0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59999389629810485"/>
        <bgColor theme="0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1F3864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CE4D6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theme="0"/>
      </left>
      <right style="thin">
        <color rgb="FF000000"/>
      </right>
      <top style="thin">
        <color rgb="FF000000"/>
      </top>
      <bottom/>
      <diagonal/>
    </border>
    <border>
      <left style="thin">
        <color theme="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72">
    <xf numFmtId="0" fontId="0" fillId="0" borderId="0" xfId="0"/>
    <xf numFmtId="0" fontId="4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left" vertical="center"/>
    </xf>
    <xf numFmtId="0" fontId="4" fillId="2" borderId="0" xfId="0" applyFont="1" applyFill="1" applyAlignment="1">
      <alignment vertical="center"/>
    </xf>
    <xf numFmtId="0" fontId="5" fillId="0" borderId="0" xfId="0" applyFont="1"/>
    <xf numFmtId="0" fontId="7" fillId="0" borderId="0" xfId="0" applyFont="1"/>
    <xf numFmtId="0" fontId="4" fillId="3" borderId="0" xfId="0" applyFont="1" applyFill="1" applyAlignment="1">
      <alignment vertical="center"/>
    </xf>
    <xf numFmtId="0" fontId="5" fillId="3" borderId="0" xfId="0" applyFont="1" applyFill="1"/>
    <xf numFmtId="0" fontId="8" fillId="2" borderId="0" xfId="0" applyFont="1" applyFill="1" applyAlignment="1">
      <alignment vertical="center" wrapText="1"/>
    </xf>
    <xf numFmtId="0" fontId="8" fillId="2" borderId="0" xfId="0" applyFont="1" applyFill="1" applyAlignment="1">
      <alignment horizontal="left" vertical="center" wrapText="1"/>
    </xf>
    <xf numFmtId="0" fontId="9" fillId="2" borderId="0" xfId="0" applyFont="1" applyFill="1" applyAlignment="1">
      <alignment horizontal="left" vertical="center" wrapText="1"/>
    </xf>
    <xf numFmtId="0" fontId="9" fillId="2" borderId="1" xfId="0" applyFont="1" applyFill="1" applyBorder="1" applyAlignment="1">
      <alignment vertical="center" wrapText="1"/>
    </xf>
    <xf numFmtId="0" fontId="7" fillId="0" borderId="1" xfId="0" applyFont="1" applyBorder="1"/>
    <xf numFmtId="164" fontId="8" fillId="3" borderId="2" xfId="0" applyNumberFormat="1" applyFont="1" applyFill="1" applyBorder="1" applyAlignment="1">
      <alignment horizontal="center" vertical="center" wrapText="1"/>
    </xf>
    <xf numFmtId="164" fontId="10" fillId="4" borderId="2" xfId="0" applyNumberFormat="1" applyFont="1" applyFill="1" applyBorder="1" applyAlignment="1">
      <alignment horizontal="center" vertical="center" wrapText="1"/>
    </xf>
    <xf numFmtId="164" fontId="8" fillId="3" borderId="3" xfId="0" applyNumberFormat="1" applyFont="1" applyFill="1" applyBorder="1" applyAlignment="1">
      <alignment horizontal="center" vertical="center" wrapText="1"/>
    </xf>
    <xf numFmtId="164" fontId="8" fillId="5" borderId="3" xfId="0" applyNumberFormat="1" applyFont="1" applyFill="1" applyBorder="1" applyAlignment="1">
      <alignment horizontal="center" vertical="center" wrapText="1"/>
    </xf>
    <xf numFmtId="164" fontId="11" fillId="5" borderId="3" xfId="0" applyNumberFormat="1" applyFont="1" applyFill="1" applyBorder="1" applyAlignment="1">
      <alignment horizontal="center" vertical="center" wrapText="1"/>
    </xf>
    <xf numFmtId="0" fontId="7" fillId="0" borderId="4" xfId="0" applyFont="1" applyBorder="1"/>
    <xf numFmtId="0" fontId="0" fillId="0" borderId="5" xfId="0" applyBorder="1"/>
    <xf numFmtId="0" fontId="4" fillId="2" borderId="6" xfId="0" applyFont="1" applyFill="1" applyBorder="1" applyAlignment="1">
      <alignment horizontal="left" vertical="center" wrapText="1"/>
    </xf>
    <xf numFmtId="14" fontId="4" fillId="2" borderId="4" xfId="0" applyNumberFormat="1" applyFont="1" applyFill="1" applyBorder="1" applyAlignment="1">
      <alignment horizontal="left" vertical="center" wrapText="1"/>
    </xf>
    <xf numFmtId="1" fontId="4" fillId="2" borderId="4" xfId="0" applyNumberFormat="1" applyFont="1" applyFill="1" applyBorder="1" applyAlignment="1">
      <alignment horizontal="left" vertical="center" wrapText="1"/>
    </xf>
    <xf numFmtId="12" fontId="4" fillId="2" borderId="4" xfId="1" applyNumberFormat="1" applyFont="1" applyFill="1" applyBorder="1" applyAlignment="1">
      <alignment horizontal="left" vertical="center" wrapText="1"/>
    </xf>
    <xf numFmtId="2" fontId="4" fillId="0" borderId="4" xfId="0" applyNumberFormat="1" applyFont="1" applyBorder="1" applyAlignment="1">
      <alignment horizontal="center" vertical="center"/>
    </xf>
    <xf numFmtId="2" fontId="4" fillId="0" borderId="6" xfId="0" applyNumberFormat="1" applyFont="1" applyBorder="1" applyAlignment="1">
      <alignment horizontal="center" vertical="center"/>
    </xf>
    <xf numFmtId="165" fontId="4" fillId="0" borderId="6" xfId="0" applyNumberFormat="1" applyFont="1" applyBorder="1" applyAlignment="1">
      <alignment horizontal="center" vertical="center"/>
    </xf>
    <xf numFmtId="0" fontId="4" fillId="0" borderId="0" xfId="0" applyFont="1"/>
    <xf numFmtId="166" fontId="12" fillId="0" borderId="7" xfId="0" applyNumberFormat="1" applyFont="1" applyBorder="1" applyAlignment="1">
      <alignment horizontal="center" vertical="center" wrapText="1"/>
    </xf>
    <xf numFmtId="167" fontId="5" fillId="0" borderId="0" xfId="1" applyNumberFormat="1" applyFont="1"/>
    <xf numFmtId="167" fontId="0" fillId="0" borderId="0" xfId="1" applyNumberFormat="1" applyFont="1"/>
    <xf numFmtId="0" fontId="13" fillId="0" borderId="0" xfId="0" applyFont="1" applyAlignment="1">
      <alignment horizontal="center" vertical="center"/>
    </xf>
    <xf numFmtId="14" fontId="4" fillId="2" borderId="0" xfId="0" applyNumberFormat="1" applyFont="1" applyFill="1" applyAlignment="1">
      <alignment horizontal="center" vertical="center"/>
    </xf>
    <xf numFmtId="168" fontId="14" fillId="2" borderId="0" xfId="0" applyNumberFormat="1" applyFont="1" applyFill="1" applyAlignment="1">
      <alignment vertical="center"/>
    </xf>
    <xf numFmtId="16" fontId="4" fillId="2" borderId="0" xfId="0" applyNumberFormat="1" applyFont="1" applyFill="1" applyAlignment="1">
      <alignment vertical="center"/>
    </xf>
    <xf numFmtId="168" fontId="4" fillId="2" borderId="0" xfId="0" applyNumberFormat="1" applyFont="1" applyFill="1" applyAlignment="1">
      <alignment vertical="center"/>
    </xf>
    <xf numFmtId="0" fontId="0" fillId="6" borderId="5" xfId="0" applyFill="1" applyBorder="1"/>
    <xf numFmtId="0" fontId="4" fillId="7" borderId="6" xfId="0" applyFont="1" applyFill="1" applyBorder="1" applyAlignment="1">
      <alignment horizontal="left" vertical="center" wrapText="1"/>
    </xf>
    <xf numFmtId="0" fontId="0" fillId="8" borderId="5" xfId="0" applyFill="1" applyBorder="1"/>
    <xf numFmtId="0" fontId="4" fillId="9" borderId="6" xfId="0" applyFont="1" applyFill="1" applyBorder="1" applyAlignment="1">
      <alignment horizontal="left" vertical="center" wrapText="1"/>
    </xf>
    <xf numFmtId="0" fontId="0" fillId="10" borderId="5" xfId="0" applyFill="1" applyBorder="1"/>
    <xf numFmtId="0" fontId="4" fillId="11" borderId="6" xfId="0" applyFont="1" applyFill="1" applyBorder="1" applyAlignment="1">
      <alignment horizontal="left" vertical="center" wrapText="1"/>
    </xf>
    <xf numFmtId="2" fontId="2" fillId="0" borderId="0" xfId="0" applyNumberFormat="1" applyFont="1"/>
    <xf numFmtId="168" fontId="2" fillId="0" borderId="0" xfId="0" applyNumberFormat="1" applyFont="1"/>
    <xf numFmtId="0" fontId="0" fillId="6" borderId="8" xfId="0" applyFill="1" applyBorder="1"/>
    <xf numFmtId="0" fontId="0" fillId="8" borderId="8" xfId="0" applyFill="1" applyBorder="1"/>
    <xf numFmtId="0" fontId="0" fillId="10" borderId="8" xfId="0" applyFill="1" applyBorder="1"/>
    <xf numFmtId="0" fontId="1" fillId="0" borderId="0" xfId="0" applyFont="1"/>
    <xf numFmtId="2" fontId="15" fillId="0" borderId="4" xfId="0" applyNumberFormat="1" applyFont="1" applyBorder="1" applyAlignment="1">
      <alignment horizontal="center" vertical="center"/>
    </xf>
    <xf numFmtId="0" fontId="3" fillId="12" borderId="5" xfId="0" applyFont="1" applyFill="1" applyBorder="1"/>
    <xf numFmtId="168" fontId="2" fillId="0" borderId="5" xfId="0" applyNumberFormat="1" applyFont="1" applyBorder="1"/>
    <xf numFmtId="165" fontId="15" fillId="0" borderId="6" xfId="0" applyNumberFormat="1" applyFont="1" applyBorder="1" applyAlignment="1">
      <alignment horizontal="center" vertical="center"/>
    </xf>
    <xf numFmtId="165" fontId="0" fillId="0" borderId="0" xfId="0" applyNumberFormat="1"/>
    <xf numFmtId="0" fontId="16" fillId="0" borderId="0" xfId="0" applyFont="1"/>
    <xf numFmtId="0" fontId="16" fillId="13" borderId="0" xfId="0" applyFont="1" applyFill="1"/>
    <xf numFmtId="0" fontId="16" fillId="14" borderId="0" xfId="0" applyFont="1" applyFill="1"/>
    <xf numFmtId="0" fontId="16" fillId="15" borderId="0" xfId="0" applyFont="1" applyFill="1"/>
    <xf numFmtId="0" fontId="16" fillId="16" borderId="0" xfId="0" applyFont="1" applyFill="1"/>
    <xf numFmtId="0" fontId="16" fillId="17" borderId="0" xfId="0" applyFont="1" applyFill="1"/>
    <xf numFmtId="0" fontId="16" fillId="18" borderId="0" xfId="0" applyFont="1" applyFill="1"/>
    <xf numFmtId="4" fontId="6" fillId="3" borderId="0" xfId="0" applyNumberFormat="1" applyFont="1" applyFill="1" applyAlignment="1">
      <alignment horizontal="center" vertical="center"/>
    </xf>
    <xf numFmtId="0" fontId="17" fillId="19" borderId="0" xfId="0" applyFont="1" applyFill="1" applyAlignment="1">
      <alignment vertical="top" wrapText="1"/>
    </xf>
    <xf numFmtId="0" fontId="0" fillId="0" borderId="0" xfId="0" applyAlignment="1">
      <alignment vertical="top" wrapText="1"/>
    </xf>
    <xf numFmtId="0" fontId="18" fillId="0" borderId="0" xfId="0" applyFont="1" applyAlignment="1">
      <alignment vertical="top" wrapText="1"/>
    </xf>
    <xf numFmtId="0" fontId="19" fillId="0" borderId="0" xfId="0" applyFont="1" applyAlignment="1">
      <alignment vertical="top" wrapText="1"/>
    </xf>
    <xf numFmtId="0" fontId="20" fillId="20" borderId="0" xfId="0" applyFont="1" applyFill="1" applyAlignment="1">
      <alignment vertical="top" wrapText="1"/>
    </xf>
    <xf numFmtId="0" fontId="21" fillId="19" borderId="0" xfId="0" applyFont="1" applyFill="1" applyAlignment="1">
      <alignment vertical="top" wrapText="1"/>
    </xf>
    <xf numFmtId="0" fontId="0" fillId="21" borderId="0" xfId="0" applyFill="1" applyAlignment="1">
      <alignment vertical="top" wrapText="1"/>
    </xf>
    <xf numFmtId="0" fontId="0" fillId="20" borderId="0" xfId="0" applyFill="1" applyAlignment="1">
      <alignment vertical="top" wrapText="1"/>
    </xf>
    <xf numFmtId="0" fontId="0" fillId="0" borderId="0" xfId="0" quotePrefix="1" applyAlignment="1">
      <alignment vertical="top" wrapText="1"/>
    </xf>
    <xf numFmtId="0" fontId="0" fillId="22" borderId="0" xfId="0" applyFill="1" applyAlignment="1">
      <alignment vertical="top" wrapText="1"/>
    </xf>
    <xf numFmtId="0" fontId="20" fillId="0" borderId="0" xfId="0" applyFont="1" applyAlignment="1">
      <alignment vertical="top" wrapText="1"/>
    </xf>
  </cellXfs>
  <cellStyles count="2">
    <cellStyle name="Millares" xfId="1" builtinId="3"/>
    <cellStyle name="Normal" xfId="0" builtinId="0"/>
  </cellStyles>
  <dxfs count="9">
    <dxf>
      <font>
        <color rgb="FFFF000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FF0000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67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F7EF5F1-CA70-454F-A2E7-2F51FCEF0672}">
  <we:reference id="WA200010725" version="1.0.0.1" store="Omex" storeType="OMEX"/>
  <we:alternateReferences>
    <we:reference id="WA200010725" version="1.0.0.1" store="WA200010725" storeType="OMEX"/>
  </we:alternateReferences>
  <we:properties>
    <we:property name="claude.fileId" value="&quot;84158220-e98f-4e14-9a2d-135b100aadb7&quot;"/>
  </we:properties>
  <we:bindings/>
  <we:snapshot xmlns:r="http://schemas.openxmlformats.org/officeDocument/2006/relationships"/>
</we:webextension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026E5-FDCB-4CD2-8A03-6B2699015B4B}">
  <dimension ref="D14:E21"/>
  <sheetViews>
    <sheetView workbookViewId="0">
      <selection activeCell="E23" sqref="E23"/>
    </sheetView>
  </sheetViews>
  <sheetFormatPr baseColWidth="10" defaultRowHeight="15" x14ac:dyDescent="0.25"/>
  <cols>
    <col min="4" max="4" width="28.5703125" customWidth="1"/>
    <col min="5" max="5" width="25.7109375" customWidth="1"/>
  </cols>
  <sheetData>
    <row r="14" spans="4:5" x14ac:dyDescent="0.25">
      <c r="D14" s="49" t="s">
        <v>80</v>
      </c>
      <c r="E14" s="49" t="s">
        <v>81</v>
      </c>
    </row>
    <row r="15" spans="4:5" x14ac:dyDescent="0.25">
      <c r="D15" s="50">
        <f>+'sueldo actual '!O51</f>
        <v>683260.3857221459</v>
      </c>
      <c r="E15" s="50">
        <f>+'sueldo actual '!T51</f>
        <v>304151.84800888598</v>
      </c>
    </row>
    <row r="17" spans="4:5" x14ac:dyDescent="0.25">
      <c r="D17" s="49" t="s">
        <v>82</v>
      </c>
      <c r="E17" s="49" t="s">
        <v>81</v>
      </c>
    </row>
    <row r="18" spans="4:5" x14ac:dyDescent="0.25">
      <c r="D18" s="50">
        <f>+'sueldo 12000'!O47</f>
        <v>757157.48229764577</v>
      </c>
      <c r="E18" s="50">
        <f>+'sueldo 12000'!T47</f>
        <v>317009.33223248913</v>
      </c>
    </row>
    <row r="20" spans="4:5" x14ac:dyDescent="0.25">
      <c r="D20" s="49" t="s">
        <v>83</v>
      </c>
      <c r="E20" s="49" t="s">
        <v>81</v>
      </c>
    </row>
    <row r="21" spans="4:5" x14ac:dyDescent="0.25">
      <c r="D21" s="50">
        <f>+'sueldo 13000'!O47</f>
        <v>796643.11721014534</v>
      </c>
      <c r="E21" s="50">
        <f>+'sueldo 13000'!T47</f>
        <v>318389.30191715574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84B04F-D5D9-4469-A21C-F5F3AB3654DC}">
  <sheetPr>
    <tabColor theme="7"/>
  </sheetPr>
  <dimension ref="A1:AK934"/>
  <sheetViews>
    <sheetView showGridLines="0" topLeftCell="C5" zoomScale="90" zoomScaleNormal="90" workbookViewId="0">
      <selection activeCell="H6" sqref="H6"/>
    </sheetView>
  </sheetViews>
  <sheetFormatPr baseColWidth="10" defaultColWidth="14.42578125" defaultRowHeight="15" customHeight="1" x14ac:dyDescent="0.25"/>
  <cols>
    <col min="1" max="1" width="5.5703125" customWidth="1"/>
    <col min="2" max="2" width="7.140625" customWidth="1"/>
    <col min="3" max="3" width="43.42578125" customWidth="1"/>
    <col min="4" max="4" width="30.140625" customWidth="1"/>
    <col min="5" max="5" width="15.42578125" customWidth="1"/>
    <col min="6" max="6" width="12.7109375" hidden="1" customWidth="1"/>
    <col min="7" max="7" width="9.42578125" customWidth="1"/>
    <col min="8" max="8" width="10.28515625" customWidth="1"/>
    <col min="9" max="9" width="12.140625" customWidth="1"/>
    <col min="10" max="10" width="13" customWidth="1"/>
    <col min="11" max="11" width="12.7109375" customWidth="1"/>
    <col min="12" max="12" width="13" customWidth="1"/>
    <col min="13" max="13" width="11.42578125" customWidth="1"/>
    <col min="14" max="14" width="12.28515625" customWidth="1"/>
    <col min="15" max="15" width="15" customWidth="1"/>
    <col min="16" max="16" width="14.85546875" customWidth="1"/>
    <col min="17" max="17" width="12.5703125" customWidth="1"/>
    <col min="18" max="18" width="13.7109375" customWidth="1"/>
    <col min="19" max="19" width="12.85546875" customWidth="1"/>
    <col min="20" max="20" width="17" customWidth="1"/>
    <col min="21" max="21" width="1.42578125" customWidth="1"/>
    <col min="22" max="37" width="14.42578125" customWidth="1"/>
  </cols>
  <sheetData>
    <row r="1" spans="2:37" ht="28.5" customHeight="1" x14ac:dyDescent="0.25">
      <c r="B1" s="1"/>
      <c r="C1" s="2"/>
      <c r="D1" s="2"/>
      <c r="E1" s="2"/>
      <c r="F1" s="2"/>
      <c r="G1" s="2"/>
      <c r="H1" s="2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</row>
    <row r="2" spans="2:37" ht="27" customHeight="1" x14ac:dyDescent="0.25">
      <c r="B2" s="60" t="s">
        <v>0</v>
      </c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5"/>
      <c r="Q2" s="5"/>
      <c r="R2" s="5"/>
      <c r="S2" s="6"/>
      <c r="T2" s="6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</row>
    <row r="3" spans="2:37" ht="16.5" customHeight="1" x14ac:dyDescent="0.25">
      <c r="B3" s="8"/>
      <c r="C3" s="9"/>
      <c r="D3" s="8"/>
      <c r="E3" s="8"/>
      <c r="F3" s="8"/>
      <c r="G3" s="8"/>
      <c r="H3" s="8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</row>
    <row r="4" spans="2:37" ht="15" customHeight="1" x14ac:dyDescent="0.25">
      <c r="B4" s="11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0"/>
      <c r="P4" s="12"/>
      <c r="Q4" s="12"/>
      <c r="R4" s="12"/>
      <c r="S4" s="10"/>
      <c r="T4" s="12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</row>
    <row r="5" spans="2:37" ht="44.45" customHeight="1" x14ac:dyDescent="0.25">
      <c r="B5" s="13" t="s">
        <v>1</v>
      </c>
      <c r="C5" s="13" t="s">
        <v>2</v>
      </c>
      <c r="D5" s="13" t="s">
        <v>3</v>
      </c>
      <c r="E5" s="13" t="s">
        <v>4</v>
      </c>
      <c r="F5" s="14" t="s">
        <v>5</v>
      </c>
      <c r="G5" s="14" t="s">
        <v>6</v>
      </c>
      <c r="H5" s="14" t="s">
        <v>7</v>
      </c>
      <c r="I5" s="13" t="s">
        <v>8</v>
      </c>
      <c r="J5" s="15" t="s">
        <v>9</v>
      </c>
      <c r="K5" s="15" t="s">
        <v>10</v>
      </c>
      <c r="L5" s="15" t="s">
        <v>11</v>
      </c>
      <c r="M5" s="15" t="s">
        <v>12</v>
      </c>
      <c r="N5" s="15" t="s">
        <v>13</v>
      </c>
      <c r="O5" s="15" t="s">
        <v>14</v>
      </c>
      <c r="P5" s="16" t="s">
        <v>15</v>
      </c>
      <c r="Q5" s="16" t="s">
        <v>16</v>
      </c>
      <c r="R5" s="17" t="s">
        <v>17</v>
      </c>
      <c r="S5" s="15" t="s">
        <v>18</v>
      </c>
      <c r="T5" s="15" t="s">
        <v>19</v>
      </c>
      <c r="U5" s="4"/>
      <c r="V5" s="18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</row>
    <row r="6" spans="2:37" ht="27.6" customHeight="1" x14ac:dyDescent="0.25">
      <c r="B6" s="19">
        <v>1</v>
      </c>
      <c r="C6" s="20" t="s">
        <v>20</v>
      </c>
      <c r="D6" s="20" t="s">
        <v>21</v>
      </c>
      <c r="E6" s="21">
        <v>41827</v>
      </c>
      <c r="F6" s="21">
        <v>46387</v>
      </c>
      <c r="G6" s="22">
        <f t="shared" ref="G6:G48" si="0">YEAR(F6)-YEAR(E6)</f>
        <v>12</v>
      </c>
      <c r="H6" s="23">
        <f>VLOOKUP(G6,Hoja5!$A$3:$B$38,2,0)</f>
        <v>24</v>
      </c>
      <c r="I6" s="24">
        <v>742.96</v>
      </c>
      <c r="J6" s="24">
        <f>I6*30.4166</f>
        <v>22598.317136000001</v>
      </c>
      <c r="K6" s="25">
        <f>I6*H6*0.25/12</f>
        <v>371.48</v>
      </c>
      <c r="L6" s="25">
        <v>0</v>
      </c>
      <c r="M6" s="25">
        <v>0</v>
      </c>
      <c r="N6" s="25">
        <f>J6/2/12</f>
        <v>941.59654733333343</v>
      </c>
      <c r="O6" s="25">
        <f t="shared" ref="O6:O50" si="1">+(J6+K6+L6+M6+N6+U6)</f>
        <v>23911.393683333336</v>
      </c>
      <c r="P6" s="26">
        <v>3972.5716800000005</v>
      </c>
      <c r="Q6" s="26">
        <v>2482.8573000000001</v>
      </c>
      <c r="R6" s="26">
        <v>6164.5185000000001</v>
      </c>
      <c r="S6" s="26">
        <f t="shared" ref="S6:S50" si="2">(K6+L6+M6+N6+J6)*0.04</f>
        <v>956.45574733333342</v>
      </c>
      <c r="T6" s="26">
        <f t="shared" ref="T6:T50" si="3">+P6+Q6+R6+S6</f>
        <v>13576.403227333334</v>
      </c>
      <c r="U6" s="27"/>
      <c r="V6" s="28">
        <v>2000</v>
      </c>
      <c r="W6" s="27"/>
      <c r="X6" s="27"/>
      <c r="Y6" s="27"/>
      <c r="Z6" s="27"/>
      <c r="AA6" s="27"/>
      <c r="AB6" s="27"/>
      <c r="AC6" s="27"/>
      <c r="AD6" s="27"/>
      <c r="AE6" s="27"/>
      <c r="AF6" s="27"/>
      <c r="AG6" s="27"/>
      <c r="AH6" s="27"/>
      <c r="AI6" s="27"/>
      <c r="AJ6" s="27"/>
      <c r="AK6" s="27"/>
    </row>
    <row r="7" spans="2:37" ht="19.5" customHeight="1" x14ac:dyDescent="0.25">
      <c r="B7" s="19">
        <f>B6+1</f>
        <v>2</v>
      </c>
      <c r="C7" s="20" t="s">
        <v>22</v>
      </c>
      <c r="D7" s="20" t="s">
        <v>23</v>
      </c>
      <c r="E7" s="21">
        <v>43831</v>
      </c>
      <c r="F7" s="21">
        <v>46387</v>
      </c>
      <c r="G7" s="22">
        <f t="shared" si="0"/>
        <v>6</v>
      </c>
      <c r="H7" s="23">
        <f>VLOOKUP(G7,Hoja5!$A$3:$B$38,2,0)</f>
        <v>22</v>
      </c>
      <c r="I7" s="24">
        <v>519.35</v>
      </c>
      <c r="J7" s="24">
        <f t="shared" ref="J7:J50" si="4">I7*30.4166</f>
        <v>15796.861210000001</v>
      </c>
      <c r="K7" s="25">
        <f t="shared" ref="K7:K50" si="5">I7*H7*0.25/12</f>
        <v>238.03541666666669</v>
      </c>
      <c r="L7" s="25">
        <f>I6*2*3/12</f>
        <v>371.48</v>
      </c>
      <c r="M7" s="25">
        <f>I7*0.25*2</f>
        <v>259.67500000000001</v>
      </c>
      <c r="N7" s="25">
        <f t="shared" ref="N7:N50" si="6">J7/2/12</f>
        <v>658.20255041666667</v>
      </c>
      <c r="O7" s="25">
        <f t="shared" si="1"/>
        <v>17324.254177083334</v>
      </c>
      <c r="P7" s="26">
        <v>3972.5716800000005</v>
      </c>
      <c r="Q7" s="26">
        <v>2482.8573000000001</v>
      </c>
      <c r="R7" s="26">
        <v>6164.5185000000001</v>
      </c>
      <c r="S7" s="26">
        <f t="shared" si="2"/>
        <v>692.97016708333342</v>
      </c>
      <c r="T7" s="26">
        <f t="shared" si="3"/>
        <v>13312.917647083334</v>
      </c>
      <c r="U7" s="27"/>
      <c r="V7" s="28">
        <v>2000</v>
      </c>
      <c r="W7" s="27"/>
      <c r="X7" s="27"/>
      <c r="Y7" s="27"/>
      <c r="Z7" s="27"/>
      <c r="AA7" s="27"/>
      <c r="AB7" s="27"/>
      <c r="AC7" s="27"/>
      <c r="AD7" s="27"/>
      <c r="AE7" s="27"/>
      <c r="AF7" s="27"/>
      <c r="AG7" s="27"/>
      <c r="AH7" s="27"/>
      <c r="AI7" s="27"/>
      <c r="AJ7" s="27"/>
      <c r="AK7" s="27"/>
    </row>
    <row r="8" spans="2:37" ht="19.5" customHeight="1" x14ac:dyDescent="0.25">
      <c r="B8" s="19">
        <f t="shared" ref="B8:B50" si="7">B7+1</f>
        <v>3</v>
      </c>
      <c r="C8" s="20" t="s">
        <v>24</v>
      </c>
      <c r="D8" s="20" t="s">
        <v>25</v>
      </c>
      <c r="E8" s="21">
        <v>42751</v>
      </c>
      <c r="F8" s="21">
        <v>46387</v>
      </c>
      <c r="G8" s="22">
        <f t="shared" si="0"/>
        <v>9</v>
      </c>
      <c r="H8" s="23">
        <f>VLOOKUP(G8,Hoja5!$A$3:$B$38,2,0)</f>
        <v>22</v>
      </c>
      <c r="I8" s="24">
        <v>402.62</v>
      </c>
      <c r="J8" s="24">
        <f t="shared" si="4"/>
        <v>12246.331491999999</v>
      </c>
      <c r="K8" s="25">
        <f t="shared" si="5"/>
        <v>184.53416666666666</v>
      </c>
      <c r="L8" s="25">
        <f t="shared" ref="L8:L14" si="8">I7*2*3/12</f>
        <v>259.67500000000001</v>
      </c>
      <c r="M8" s="25">
        <f t="shared" ref="M8:M50" si="9">I8*0.25*2</f>
        <v>201.31</v>
      </c>
      <c r="N8" s="25">
        <f t="shared" si="6"/>
        <v>510.26381216666664</v>
      </c>
      <c r="O8" s="25">
        <f t="shared" si="1"/>
        <v>13402.11447083333</v>
      </c>
      <c r="P8" s="26">
        <v>3972.5716800000005</v>
      </c>
      <c r="Q8" s="26">
        <v>2482.8573000000001</v>
      </c>
      <c r="R8" s="26">
        <v>6164.5185000000001</v>
      </c>
      <c r="S8" s="26">
        <f t="shared" si="2"/>
        <v>536.08457883333335</v>
      </c>
      <c r="T8" s="26">
        <f t="shared" si="3"/>
        <v>13156.032058833334</v>
      </c>
      <c r="U8" s="27"/>
      <c r="V8" s="28">
        <v>2000</v>
      </c>
      <c r="W8" s="27"/>
      <c r="X8" s="27"/>
      <c r="Y8" s="27"/>
      <c r="Z8" s="27"/>
      <c r="AA8" s="27"/>
      <c r="AB8" s="27"/>
      <c r="AC8" s="27"/>
      <c r="AD8" s="27"/>
      <c r="AE8" s="27"/>
      <c r="AF8" s="27"/>
      <c r="AG8" s="27"/>
      <c r="AH8" s="27"/>
      <c r="AI8" s="27"/>
      <c r="AJ8" s="27"/>
      <c r="AK8" s="27"/>
    </row>
    <row r="9" spans="2:37" ht="19.5" customHeight="1" x14ac:dyDescent="0.25">
      <c r="B9" s="19">
        <f t="shared" si="7"/>
        <v>4</v>
      </c>
      <c r="C9" s="20" t="s">
        <v>26</v>
      </c>
      <c r="D9" s="20" t="s">
        <v>27</v>
      </c>
      <c r="E9" s="21">
        <v>43831</v>
      </c>
      <c r="F9" s="21">
        <v>46387</v>
      </c>
      <c r="G9" s="22">
        <f t="shared" si="0"/>
        <v>6</v>
      </c>
      <c r="H9" s="23">
        <f>VLOOKUP(G9,Hoja5!$A$3:$B$38,2,0)</f>
        <v>22</v>
      </c>
      <c r="I9" s="24">
        <v>401.59</v>
      </c>
      <c r="J9" s="24">
        <f t="shared" si="4"/>
        <v>12215.002393999999</v>
      </c>
      <c r="K9" s="25">
        <f t="shared" si="5"/>
        <v>184.06208333333333</v>
      </c>
      <c r="L9" s="25">
        <f t="shared" si="8"/>
        <v>201.31000000000003</v>
      </c>
      <c r="M9" s="25">
        <f t="shared" si="9"/>
        <v>200.79499999999999</v>
      </c>
      <c r="N9" s="25">
        <f t="shared" si="6"/>
        <v>508.95843308333332</v>
      </c>
      <c r="O9" s="25">
        <f t="shared" si="1"/>
        <v>13310.127910416666</v>
      </c>
      <c r="P9" s="26">
        <v>3972.5716800000005</v>
      </c>
      <c r="Q9" s="26">
        <v>2482.8573000000001</v>
      </c>
      <c r="R9" s="26">
        <v>6164.5185000000001</v>
      </c>
      <c r="S9" s="26">
        <f t="shared" si="2"/>
        <v>532.4051164166666</v>
      </c>
      <c r="T9" s="26">
        <f t="shared" si="3"/>
        <v>13152.352596416667</v>
      </c>
      <c r="U9" s="27"/>
      <c r="V9" s="28">
        <v>2000</v>
      </c>
      <c r="W9" s="27"/>
      <c r="X9" s="27"/>
      <c r="Y9" s="27"/>
      <c r="Z9" s="27"/>
      <c r="AA9" s="27"/>
      <c r="AB9" s="27"/>
      <c r="AC9" s="27"/>
      <c r="AD9" s="27"/>
      <c r="AE9" s="27"/>
      <c r="AF9" s="27"/>
      <c r="AG9" s="27"/>
      <c r="AH9" s="27"/>
      <c r="AI9" s="27"/>
      <c r="AJ9" s="27"/>
      <c r="AK9" s="27"/>
    </row>
    <row r="10" spans="2:37" ht="19.5" customHeight="1" x14ac:dyDescent="0.25">
      <c r="B10" s="19">
        <f t="shared" si="7"/>
        <v>5</v>
      </c>
      <c r="C10" s="20" t="s">
        <v>28</v>
      </c>
      <c r="D10" s="20" t="s">
        <v>27</v>
      </c>
      <c r="E10" s="21">
        <v>43831</v>
      </c>
      <c r="F10" s="21">
        <v>46387</v>
      </c>
      <c r="G10" s="22">
        <f t="shared" si="0"/>
        <v>6</v>
      </c>
      <c r="H10" s="23">
        <f>VLOOKUP(G10,Hoja5!$A$3:$B$38,2,0)</f>
        <v>22</v>
      </c>
      <c r="I10" s="24">
        <v>382.13</v>
      </c>
      <c r="J10" s="24">
        <f t="shared" si="4"/>
        <v>11623.095357999999</v>
      </c>
      <c r="K10" s="25">
        <f t="shared" si="5"/>
        <v>175.14291666666668</v>
      </c>
      <c r="L10" s="25">
        <f t="shared" si="8"/>
        <v>200.79499999999999</v>
      </c>
      <c r="M10" s="25">
        <f t="shared" si="9"/>
        <v>191.065</v>
      </c>
      <c r="N10" s="25">
        <f t="shared" si="6"/>
        <v>484.29563991666663</v>
      </c>
      <c r="O10" s="25">
        <f t="shared" si="1"/>
        <v>12674.393914583334</v>
      </c>
      <c r="P10" s="26">
        <v>3972.5716800000005</v>
      </c>
      <c r="Q10" s="26">
        <v>2482.8573000000001</v>
      </c>
      <c r="R10" s="26">
        <v>6164.5185000000001</v>
      </c>
      <c r="S10" s="26">
        <f t="shared" si="2"/>
        <v>506.97575658333329</v>
      </c>
      <c r="T10" s="26">
        <f t="shared" si="3"/>
        <v>13126.923236583334</v>
      </c>
      <c r="U10" s="27"/>
      <c r="V10" s="28">
        <v>2000</v>
      </c>
      <c r="W10" s="27"/>
      <c r="X10" s="27"/>
      <c r="Y10" s="27"/>
      <c r="Z10" s="27"/>
      <c r="AA10" s="27"/>
      <c r="AB10" s="27"/>
      <c r="AC10" s="27"/>
      <c r="AD10" s="27"/>
      <c r="AE10" s="27"/>
      <c r="AF10" s="27"/>
      <c r="AG10" s="27"/>
      <c r="AH10" s="27"/>
      <c r="AI10" s="27"/>
      <c r="AJ10" s="27"/>
      <c r="AK10" s="27"/>
    </row>
    <row r="11" spans="2:37" ht="19.5" customHeight="1" x14ac:dyDescent="0.25">
      <c r="B11" s="19">
        <f t="shared" si="7"/>
        <v>6</v>
      </c>
      <c r="C11" s="20" t="s">
        <v>29</v>
      </c>
      <c r="D11" s="20" t="s">
        <v>30</v>
      </c>
      <c r="E11" s="21">
        <v>46189</v>
      </c>
      <c r="F11" s="21">
        <v>46387</v>
      </c>
      <c r="G11" s="22">
        <f t="shared" si="0"/>
        <v>0</v>
      </c>
      <c r="H11" s="23">
        <f>VLOOKUP(G11,Hoja5!$A$3:$B$38,2,0)</f>
        <v>12</v>
      </c>
      <c r="I11" s="24">
        <v>404.22840000000002</v>
      </c>
      <c r="J11" s="24">
        <f t="shared" si="4"/>
        <v>12295.253551440001</v>
      </c>
      <c r="K11" s="25">
        <f t="shared" si="5"/>
        <v>101.05710000000001</v>
      </c>
      <c r="L11" s="25">
        <f t="shared" si="8"/>
        <v>191.06499999999997</v>
      </c>
      <c r="M11" s="25">
        <f t="shared" si="9"/>
        <v>202.11420000000001</v>
      </c>
      <c r="N11" s="25">
        <f t="shared" si="6"/>
        <v>512.30223131000002</v>
      </c>
      <c r="O11" s="25">
        <f t="shared" si="1"/>
        <v>13301.792082750002</v>
      </c>
      <c r="P11" s="26">
        <v>1358.8528800000001</v>
      </c>
      <c r="Q11" s="26">
        <v>849.28305</v>
      </c>
      <c r="R11" s="26">
        <v>2114.8155000000002</v>
      </c>
      <c r="S11" s="26">
        <f t="shared" si="2"/>
        <v>532.07168331000003</v>
      </c>
      <c r="T11" s="26">
        <f t="shared" si="3"/>
        <v>4855.0231133100006</v>
      </c>
      <c r="U11" s="27"/>
      <c r="V11" s="28">
        <v>2000</v>
      </c>
      <c r="W11" s="27"/>
      <c r="X11" s="27"/>
      <c r="Y11" s="27"/>
      <c r="Z11" s="27"/>
      <c r="AA11" s="27"/>
      <c r="AB11" s="27"/>
      <c r="AC11" s="27"/>
      <c r="AD11" s="27"/>
      <c r="AE11" s="27"/>
      <c r="AF11" s="27"/>
      <c r="AG11" s="27"/>
      <c r="AH11" s="27"/>
      <c r="AI11" s="27"/>
      <c r="AJ11" s="27"/>
      <c r="AK11" s="27"/>
    </row>
    <row r="12" spans="2:37" ht="19.5" customHeight="1" x14ac:dyDescent="0.25">
      <c r="B12" s="19">
        <f t="shared" si="7"/>
        <v>7</v>
      </c>
      <c r="C12" s="20" t="s">
        <v>31</v>
      </c>
      <c r="D12" s="20" t="s">
        <v>27</v>
      </c>
      <c r="E12" s="21">
        <v>44151</v>
      </c>
      <c r="F12" s="21">
        <v>46387</v>
      </c>
      <c r="G12" s="22">
        <f t="shared" si="0"/>
        <v>6</v>
      </c>
      <c r="H12" s="23">
        <f>VLOOKUP(G12,Hoja5!$A$3:$B$38,2,0)</f>
        <v>22</v>
      </c>
      <c r="I12" s="24">
        <v>382.13</v>
      </c>
      <c r="J12" s="24">
        <f t="shared" si="4"/>
        <v>11623.095357999999</v>
      </c>
      <c r="K12" s="25">
        <f t="shared" si="5"/>
        <v>175.14291666666668</v>
      </c>
      <c r="L12" s="25">
        <f t="shared" si="8"/>
        <v>202.11420000000001</v>
      </c>
      <c r="M12" s="25">
        <f t="shared" si="9"/>
        <v>191.065</v>
      </c>
      <c r="N12" s="25">
        <f t="shared" si="6"/>
        <v>484.29563991666663</v>
      </c>
      <c r="O12" s="25">
        <f t="shared" si="1"/>
        <v>12675.713114583334</v>
      </c>
      <c r="P12" s="26">
        <v>1598.5200000000002</v>
      </c>
      <c r="Q12" s="26">
        <v>999.07500000000005</v>
      </c>
      <c r="R12" s="26">
        <v>2265.9</v>
      </c>
      <c r="S12" s="26">
        <f t="shared" si="2"/>
        <v>507.02852458333331</v>
      </c>
      <c r="T12" s="26">
        <f t="shared" si="3"/>
        <v>5370.5235245833337</v>
      </c>
      <c r="U12" s="27"/>
      <c r="V12" s="28">
        <v>2000</v>
      </c>
      <c r="W12" s="27"/>
      <c r="X12" s="27"/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27"/>
      <c r="AK12" s="27"/>
    </row>
    <row r="13" spans="2:37" ht="19.5" customHeight="1" x14ac:dyDescent="0.25">
      <c r="B13" s="19">
        <f t="shared" si="7"/>
        <v>8</v>
      </c>
      <c r="C13" s="20" t="s">
        <v>32</v>
      </c>
      <c r="D13" s="20" t="s">
        <v>27</v>
      </c>
      <c r="E13" s="21">
        <v>44278</v>
      </c>
      <c r="F13" s="21">
        <v>46387</v>
      </c>
      <c r="G13" s="22">
        <f t="shared" si="0"/>
        <v>5</v>
      </c>
      <c r="H13" s="23">
        <f>VLOOKUP(G13,Hoja5!$A$3:$B$38,2,0)</f>
        <v>20</v>
      </c>
      <c r="I13" s="24">
        <v>382.13</v>
      </c>
      <c r="J13" s="24">
        <f t="shared" si="4"/>
        <v>11623.095357999999</v>
      </c>
      <c r="K13" s="25">
        <f t="shared" si="5"/>
        <v>159.22083333333333</v>
      </c>
      <c r="L13" s="25">
        <f t="shared" si="8"/>
        <v>191.06499999999997</v>
      </c>
      <c r="M13" s="25">
        <f t="shared" si="9"/>
        <v>191.065</v>
      </c>
      <c r="N13" s="25">
        <f t="shared" si="6"/>
        <v>484.29563991666663</v>
      </c>
      <c r="O13" s="25">
        <f t="shared" si="1"/>
        <v>12648.741831249999</v>
      </c>
      <c r="P13" s="26">
        <v>1598.5200000000002</v>
      </c>
      <c r="Q13" s="26">
        <v>999.07500000000005</v>
      </c>
      <c r="R13" s="26">
        <v>2265.9</v>
      </c>
      <c r="S13" s="26">
        <f t="shared" si="2"/>
        <v>505.94967324999993</v>
      </c>
      <c r="T13" s="26">
        <f t="shared" si="3"/>
        <v>5369.444673250001</v>
      </c>
      <c r="U13" s="27"/>
      <c r="V13" s="28">
        <v>2000</v>
      </c>
      <c r="W13" s="27"/>
      <c r="X13" s="27"/>
      <c r="Y13" s="27"/>
      <c r="Z13" s="27"/>
      <c r="AA13" s="27"/>
      <c r="AB13" s="27"/>
      <c r="AC13" s="27"/>
      <c r="AD13" s="27"/>
      <c r="AE13" s="27"/>
      <c r="AF13" s="27"/>
      <c r="AG13" s="27"/>
      <c r="AH13" s="27"/>
      <c r="AI13" s="27"/>
      <c r="AJ13" s="27"/>
      <c r="AK13" s="27"/>
    </row>
    <row r="14" spans="2:37" ht="19.5" customHeight="1" x14ac:dyDescent="0.25">
      <c r="B14" s="19">
        <f t="shared" si="7"/>
        <v>9</v>
      </c>
      <c r="C14" s="20" t="s">
        <v>33</v>
      </c>
      <c r="D14" s="20" t="s">
        <v>21</v>
      </c>
      <c r="E14" s="21">
        <v>44698</v>
      </c>
      <c r="F14" s="21">
        <v>46387</v>
      </c>
      <c r="G14" s="22">
        <f t="shared" si="0"/>
        <v>4</v>
      </c>
      <c r="H14" s="23">
        <f>VLOOKUP(G14,Hoja5!$A$3:$B$38,2,0)</f>
        <v>18</v>
      </c>
      <c r="I14" s="24">
        <v>489.56</v>
      </c>
      <c r="J14" s="24">
        <f t="shared" si="4"/>
        <v>14890.750695999999</v>
      </c>
      <c r="K14" s="25">
        <f t="shared" si="5"/>
        <v>183.58500000000001</v>
      </c>
      <c r="L14" s="25">
        <f t="shared" si="8"/>
        <v>191.06499999999997</v>
      </c>
      <c r="M14" s="25">
        <f t="shared" si="9"/>
        <v>244.78</v>
      </c>
      <c r="N14" s="25">
        <f t="shared" si="6"/>
        <v>620.44794566666667</v>
      </c>
      <c r="O14" s="25">
        <f t="shared" si="1"/>
        <v>16130.628641666666</v>
      </c>
      <c r="P14" s="26">
        <v>1358.8528800000001</v>
      </c>
      <c r="Q14" s="26">
        <v>849.28305</v>
      </c>
      <c r="R14" s="26">
        <v>2114.8155000000002</v>
      </c>
      <c r="S14" s="26">
        <f t="shared" si="2"/>
        <v>645.22514566666666</v>
      </c>
      <c r="T14" s="26">
        <f t="shared" si="3"/>
        <v>4968.1765756666673</v>
      </c>
      <c r="U14" s="27"/>
      <c r="V14" s="28">
        <v>2000</v>
      </c>
      <c r="W14" s="27"/>
      <c r="X14" s="27"/>
      <c r="Y14" s="27"/>
      <c r="Z14" s="27"/>
      <c r="AA14" s="27"/>
      <c r="AB14" s="27"/>
      <c r="AC14" s="27"/>
      <c r="AD14" s="27"/>
      <c r="AE14" s="27"/>
      <c r="AF14" s="27"/>
      <c r="AG14" s="27"/>
      <c r="AH14" s="27"/>
      <c r="AI14" s="27"/>
      <c r="AJ14" s="27"/>
      <c r="AK14" s="27"/>
    </row>
    <row r="15" spans="2:37" ht="19.5" customHeight="1" x14ac:dyDescent="0.25">
      <c r="B15" s="19">
        <f t="shared" si="7"/>
        <v>10</v>
      </c>
      <c r="C15" s="20" t="s">
        <v>34</v>
      </c>
      <c r="D15" s="20" t="s">
        <v>35</v>
      </c>
      <c r="E15" s="21">
        <v>44758</v>
      </c>
      <c r="F15" s="21">
        <v>46387</v>
      </c>
      <c r="G15" s="22">
        <f t="shared" si="0"/>
        <v>4</v>
      </c>
      <c r="H15" s="23">
        <f>VLOOKUP(G15,Hoja5!$A$3:$B$38,2,0)</f>
        <v>18</v>
      </c>
      <c r="I15" s="24">
        <v>685.57039999999995</v>
      </c>
      <c r="J15" s="24">
        <f t="shared" si="4"/>
        <v>20852.720628639996</v>
      </c>
      <c r="K15" s="25">
        <f t="shared" si="5"/>
        <v>257.08889999999997</v>
      </c>
      <c r="L15" s="25">
        <v>0</v>
      </c>
      <c r="M15" s="25">
        <v>0</v>
      </c>
      <c r="N15" s="25">
        <f t="shared" si="6"/>
        <v>868.8633595266665</v>
      </c>
      <c r="O15" s="25">
        <f t="shared" si="1"/>
        <v>21978.67288816666</v>
      </c>
      <c r="P15" s="26">
        <v>1358.8528800000001</v>
      </c>
      <c r="Q15" s="26">
        <v>849.28305</v>
      </c>
      <c r="R15" s="26">
        <v>2114.8155000000002</v>
      </c>
      <c r="S15" s="26">
        <f t="shared" si="2"/>
        <v>879.14691552666659</v>
      </c>
      <c r="T15" s="26">
        <f t="shared" si="3"/>
        <v>5202.0983455266678</v>
      </c>
      <c r="U15" s="27"/>
      <c r="V15" s="28">
        <v>2000</v>
      </c>
      <c r="W15" s="27"/>
      <c r="X15" s="27"/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27"/>
      <c r="AJ15" s="27"/>
      <c r="AK15" s="27"/>
    </row>
    <row r="16" spans="2:37" ht="19.5" customHeight="1" x14ac:dyDescent="0.25">
      <c r="B16" s="19">
        <f t="shared" si="7"/>
        <v>11</v>
      </c>
      <c r="C16" s="20" t="s">
        <v>36</v>
      </c>
      <c r="D16" s="20" t="s">
        <v>37</v>
      </c>
      <c r="E16" s="21">
        <v>44789</v>
      </c>
      <c r="F16" s="21">
        <v>46387</v>
      </c>
      <c r="G16" s="22">
        <f t="shared" si="0"/>
        <v>4</v>
      </c>
      <c r="H16" s="23">
        <f>VLOOKUP(G16,Hoja5!$A$3:$B$38,2,0)</f>
        <v>18</v>
      </c>
      <c r="I16" s="24">
        <v>345.63</v>
      </c>
      <c r="J16" s="24">
        <f t="shared" si="4"/>
        <v>10512.889458</v>
      </c>
      <c r="K16" s="25">
        <f t="shared" si="5"/>
        <v>129.61125000000001</v>
      </c>
      <c r="L16" s="25">
        <f>I6*2*3/12</f>
        <v>371.48</v>
      </c>
      <c r="M16" s="25">
        <f t="shared" si="9"/>
        <v>172.815</v>
      </c>
      <c r="N16" s="25">
        <f t="shared" si="6"/>
        <v>438.03706074999997</v>
      </c>
      <c r="O16" s="25">
        <f t="shared" si="1"/>
        <v>11624.83276875</v>
      </c>
      <c r="P16" s="26">
        <v>1358.8528800000001</v>
      </c>
      <c r="Q16" s="26">
        <v>849.28305</v>
      </c>
      <c r="R16" s="26">
        <v>2114.8155000000002</v>
      </c>
      <c r="S16" s="26">
        <f t="shared" si="2"/>
        <v>464.99331074999998</v>
      </c>
      <c r="T16" s="26">
        <f t="shared" si="3"/>
        <v>4787.9447407500011</v>
      </c>
      <c r="U16" s="27"/>
      <c r="V16" s="28">
        <v>2000</v>
      </c>
      <c r="W16" s="27"/>
      <c r="X16" s="27"/>
      <c r="Y16" s="27"/>
      <c r="Z16" s="27"/>
      <c r="AA16" s="27"/>
      <c r="AB16" s="27"/>
      <c r="AC16" s="27"/>
      <c r="AD16" s="27"/>
      <c r="AE16" s="27"/>
      <c r="AF16" s="27"/>
      <c r="AG16" s="27"/>
      <c r="AH16" s="27"/>
      <c r="AI16" s="27"/>
      <c r="AJ16" s="27"/>
      <c r="AK16" s="27"/>
    </row>
    <row r="17" spans="2:37" ht="19.5" customHeight="1" x14ac:dyDescent="0.25">
      <c r="B17" s="19">
        <f t="shared" si="7"/>
        <v>12</v>
      </c>
      <c r="C17" s="20" t="s">
        <v>38</v>
      </c>
      <c r="D17" s="20" t="s">
        <v>39</v>
      </c>
      <c r="E17" s="21">
        <v>45979</v>
      </c>
      <c r="F17" s="21">
        <v>46387</v>
      </c>
      <c r="G17" s="22">
        <f t="shared" si="0"/>
        <v>1</v>
      </c>
      <c r="H17" s="23">
        <f>VLOOKUP(G17,Hoja5!$A$3:$B$38,2,0)</f>
        <v>12</v>
      </c>
      <c r="I17" s="24">
        <v>576.96669999999995</v>
      </c>
      <c r="J17" s="24">
        <f t="shared" si="4"/>
        <v>17549.365327219999</v>
      </c>
      <c r="K17" s="25">
        <f t="shared" si="5"/>
        <v>144.24167499999999</v>
      </c>
      <c r="L17" s="25">
        <f t="shared" ref="L17:L19" si="10">I7*2*3/12</f>
        <v>259.67500000000001</v>
      </c>
      <c r="M17" s="25">
        <f t="shared" si="9"/>
        <v>288.48334999999997</v>
      </c>
      <c r="N17" s="25">
        <f t="shared" si="6"/>
        <v>731.22355530083325</v>
      </c>
      <c r="O17" s="25">
        <f t="shared" si="1"/>
        <v>18972.98890752083</v>
      </c>
      <c r="P17" s="26">
        <v>1358.8528800000001</v>
      </c>
      <c r="Q17" s="26">
        <v>849.28305</v>
      </c>
      <c r="R17" s="26">
        <v>2114.8155000000002</v>
      </c>
      <c r="S17" s="26">
        <f t="shared" si="2"/>
        <v>758.91955630083339</v>
      </c>
      <c r="T17" s="26">
        <f t="shared" si="3"/>
        <v>5081.8709863008344</v>
      </c>
      <c r="U17" s="27"/>
      <c r="V17" s="28">
        <v>2000</v>
      </c>
      <c r="W17" s="27"/>
      <c r="X17" s="27"/>
      <c r="Y17" s="27"/>
      <c r="Z17" s="27"/>
      <c r="AA17" s="27"/>
      <c r="AB17" s="27"/>
      <c r="AC17" s="27"/>
      <c r="AD17" s="27"/>
      <c r="AE17" s="27"/>
      <c r="AF17" s="27"/>
      <c r="AG17" s="27"/>
      <c r="AH17" s="27"/>
      <c r="AI17" s="27"/>
      <c r="AJ17" s="27"/>
      <c r="AK17" s="27"/>
    </row>
    <row r="18" spans="2:37" ht="19.5" customHeight="1" x14ac:dyDescent="0.25">
      <c r="B18" s="19">
        <f t="shared" si="7"/>
        <v>13</v>
      </c>
      <c r="C18" s="20" t="s">
        <v>40</v>
      </c>
      <c r="D18" s="20" t="s">
        <v>21</v>
      </c>
      <c r="E18" s="21">
        <v>45017</v>
      </c>
      <c r="F18" s="21">
        <v>46387</v>
      </c>
      <c r="G18" s="22">
        <f t="shared" si="0"/>
        <v>3</v>
      </c>
      <c r="H18" s="23">
        <f>VLOOKUP(G18,Hoja5!$A$3:$B$38,2,0)</f>
        <v>16</v>
      </c>
      <c r="I18" s="24">
        <v>917.93</v>
      </c>
      <c r="J18" s="24">
        <f t="shared" si="4"/>
        <v>27920.309637999999</v>
      </c>
      <c r="K18" s="25">
        <f t="shared" si="5"/>
        <v>305.97666666666663</v>
      </c>
      <c r="L18" s="25">
        <f t="shared" si="10"/>
        <v>201.31000000000003</v>
      </c>
      <c r="M18" s="25">
        <f t="shared" si="9"/>
        <v>458.96499999999997</v>
      </c>
      <c r="N18" s="25">
        <f t="shared" si="6"/>
        <v>1163.3462349166666</v>
      </c>
      <c r="O18" s="25">
        <f t="shared" si="1"/>
        <v>30049.907539583332</v>
      </c>
      <c r="P18" s="26">
        <v>1358.8528800000001</v>
      </c>
      <c r="Q18" s="26">
        <v>849.28305</v>
      </c>
      <c r="R18" s="26">
        <v>2114.8155000000002</v>
      </c>
      <c r="S18" s="26">
        <f t="shared" si="2"/>
        <v>1201.9963015833332</v>
      </c>
      <c r="T18" s="26">
        <f t="shared" si="3"/>
        <v>5524.9477315833337</v>
      </c>
      <c r="U18" s="27"/>
      <c r="V18" s="28">
        <v>2000</v>
      </c>
      <c r="W18" s="27"/>
      <c r="X18" s="27"/>
      <c r="Y18" s="27"/>
      <c r="Z18" s="27"/>
      <c r="AA18" s="27"/>
      <c r="AB18" s="27"/>
      <c r="AC18" s="27"/>
      <c r="AD18" s="27"/>
      <c r="AE18" s="27"/>
      <c r="AF18" s="27"/>
      <c r="AG18" s="27"/>
      <c r="AH18" s="27"/>
      <c r="AI18" s="27"/>
      <c r="AJ18" s="27"/>
      <c r="AK18" s="27"/>
    </row>
    <row r="19" spans="2:37" ht="19.5" customHeight="1" x14ac:dyDescent="0.25">
      <c r="B19" s="19">
        <f t="shared" si="7"/>
        <v>14</v>
      </c>
      <c r="C19" s="20" t="s">
        <v>41</v>
      </c>
      <c r="D19" s="20" t="s">
        <v>37</v>
      </c>
      <c r="E19" s="21">
        <v>45083</v>
      </c>
      <c r="F19" s="21">
        <v>46387</v>
      </c>
      <c r="G19" s="22">
        <f t="shared" si="0"/>
        <v>3</v>
      </c>
      <c r="H19" s="23">
        <f>VLOOKUP(G19,Hoja5!$A$3:$B$38,2,0)</f>
        <v>16</v>
      </c>
      <c r="I19" s="24">
        <v>345.63</v>
      </c>
      <c r="J19" s="24">
        <f t="shared" si="4"/>
        <v>10512.889458</v>
      </c>
      <c r="K19" s="25">
        <f t="shared" si="5"/>
        <v>115.21</v>
      </c>
      <c r="L19" s="25">
        <f t="shared" si="10"/>
        <v>200.79499999999999</v>
      </c>
      <c r="M19" s="25">
        <f t="shared" si="9"/>
        <v>172.815</v>
      </c>
      <c r="N19" s="25">
        <f t="shared" si="6"/>
        <v>438.03706074999997</v>
      </c>
      <c r="O19" s="25">
        <f t="shared" si="1"/>
        <v>11439.74651875</v>
      </c>
      <c r="P19" s="26">
        <v>1358.8528800000001</v>
      </c>
      <c r="Q19" s="26">
        <v>849.28305</v>
      </c>
      <c r="R19" s="26">
        <v>2114.8155000000002</v>
      </c>
      <c r="S19" s="26">
        <f t="shared" si="2"/>
        <v>457.58986075000001</v>
      </c>
      <c r="T19" s="26">
        <f t="shared" si="3"/>
        <v>4780.5412907500013</v>
      </c>
      <c r="U19" s="27"/>
      <c r="V19" s="28">
        <v>2000</v>
      </c>
      <c r="W19" s="27"/>
      <c r="X19" s="27"/>
      <c r="Y19" s="27"/>
      <c r="Z19" s="27"/>
      <c r="AA19" s="27"/>
      <c r="AB19" s="27"/>
      <c r="AC19" s="27"/>
      <c r="AD19" s="27"/>
      <c r="AE19" s="27"/>
      <c r="AF19" s="27"/>
      <c r="AG19" s="27"/>
      <c r="AH19" s="27"/>
      <c r="AI19" s="27"/>
      <c r="AJ19" s="27"/>
      <c r="AK19" s="27"/>
    </row>
    <row r="20" spans="2:37" ht="19.5" customHeight="1" x14ac:dyDescent="0.25">
      <c r="B20" s="19">
        <f t="shared" si="7"/>
        <v>15</v>
      </c>
      <c r="C20" s="20" t="s">
        <v>42</v>
      </c>
      <c r="D20" s="20" t="s">
        <v>21</v>
      </c>
      <c r="E20" s="21">
        <v>45114</v>
      </c>
      <c r="F20" s="21">
        <v>46387</v>
      </c>
      <c r="G20" s="22">
        <f t="shared" si="0"/>
        <v>3</v>
      </c>
      <c r="H20" s="23">
        <f>VLOOKUP(G20,Hoja5!$A$3:$B$38,2,0)</f>
        <v>16</v>
      </c>
      <c r="I20" s="24">
        <v>449.47140000000002</v>
      </c>
      <c r="J20" s="24">
        <f t="shared" si="4"/>
        <v>13671.391785240001</v>
      </c>
      <c r="K20" s="25">
        <f t="shared" si="5"/>
        <v>149.82380000000001</v>
      </c>
      <c r="L20" s="25">
        <v>0</v>
      </c>
      <c r="M20" s="25">
        <v>0</v>
      </c>
      <c r="N20" s="25">
        <f t="shared" si="6"/>
        <v>569.64132438500008</v>
      </c>
      <c r="O20" s="25">
        <f t="shared" si="1"/>
        <v>14390.856909625001</v>
      </c>
      <c r="P20" s="26">
        <v>3972.5716800000005</v>
      </c>
      <c r="Q20" s="26">
        <v>2482.8573000000001</v>
      </c>
      <c r="R20" s="26">
        <v>6164.5185000000001</v>
      </c>
      <c r="S20" s="26">
        <f t="shared" si="2"/>
        <v>575.63427638500002</v>
      </c>
      <c r="T20" s="26">
        <f t="shared" si="3"/>
        <v>13195.581756385001</v>
      </c>
      <c r="U20" s="27"/>
      <c r="V20" s="28">
        <v>2000</v>
      </c>
      <c r="W20" s="27"/>
      <c r="X20" s="27"/>
      <c r="Y20" s="27"/>
      <c r="Z20" s="27"/>
      <c r="AA20" s="27"/>
      <c r="AB20" s="27"/>
      <c r="AC20" s="27"/>
      <c r="AD20" s="27"/>
      <c r="AE20" s="27"/>
      <c r="AF20" s="27"/>
      <c r="AG20" s="27"/>
      <c r="AH20" s="27"/>
      <c r="AI20" s="27"/>
      <c r="AJ20" s="27"/>
      <c r="AK20" s="27"/>
    </row>
    <row r="21" spans="2:37" ht="19.5" customHeight="1" x14ac:dyDescent="0.25">
      <c r="B21" s="19">
        <f t="shared" si="7"/>
        <v>16</v>
      </c>
      <c r="C21" s="20" t="s">
        <v>43</v>
      </c>
      <c r="D21" s="20" t="s">
        <v>25</v>
      </c>
      <c r="E21" s="21">
        <v>45145</v>
      </c>
      <c r="F21" s="21">
        <v>46387</v>
      </c>
      <c r="G21" s="22">
        <f t="shared" si="0"/>
        <v>3</v>
      </c>
      <c r="H21" s="23">
        <f>VLOOKUP(G21,Hoja5!$A$3:$B$38,2,0)</f>
        <v>16</v>
      </c>
      <c r="I21" s="24">
        <v>413</v>
      </c>
      <c r="J21" s="24">
        <f t="shared" si="4"/>
        <v>12562.0558</v>
      </c>
      <c r="K21" s="25">
        <f t="shared" si="5"/>
        <v>137.66666666666666</v>
      </c>
      <c r="L21" s="25">
        <f>I6*2*3/12</f>
        <v>371.48</v>
      </c>
      <c r="M21" s="25">
        <f t="shared" si="9"/>
        <v>206.5</v>
      </c>
      <c r="N21" s="25">
        <f t="shared" si="6"/>
        <v>523.41899166666667</v>
      </c>
      <c r="O21" s="25">
        <f t="shared" si="1"/>
        <v>13801.121458333333</v>
      </c>
      <c r="P21" s="26">
        <v>1358.8528800000001</v>
      </c>
      <c r="Q21" s="26">
        <v>849.28305</v>
      </c>
      <c r="R21" s="26">
        <v>2114.8155000000002</v>
      </c>
      <c r="S21" s="26">
        <f t="shared" si="2"/>
        <v>552.04485833333331</v>
      </c>
      <c r="T21" s="26">
        <f t="shared" si="3"/>
        <v>4874.9962883333346</v>
      </c>
      <c r="U21" s="27"/>
      <c r="V21" s="28">
        <v>2000</v>
      </c>
      <c r="W21" s="27"/>
      <c r="X21" s="27"/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7"/>
      <c r="AJ21" s="27"/>
      <c r="AK21" s="27"/>
    </row>
    <row r="22" spans="2:37" ht="19.5" customHeight="1" x14ac:dyDescent="0.25">
      <c r="B22" s="19">
        <f t="shared" si="7"/>
        <v>17</v>
      </c>
      <c r="C22" s="20" t="s">
        <v>44</v>
      </c>
      <c r="D22" s="20" t="s">
        <v>25</v>
      </c>
      <c r="E22" s="21">
        <v>45253</v>
      </c>
      <c r="F22" s="21">
        <v>46387</v>
      </c>
      <c r="G22" s="22">
        <f t="shared" si="0"/>
        <v>3</v>
      </c>
      <c r="H22" s="23">
        <f>VLOOKUP(G22,Hoja5!$A$3:$B$38,2,0)</f>
        <v>16</v>
      </c>
      <c r="I22" s="24">
        <v>362.96179999999998</v>
      </c>
      <c r="J22" s="24">
        <f t="shared" si="4"/>
        <v>11040.063885879999</v>
      </c>
      <c r="K22" s="25">
        <f t="shared" si="5"/>
        <v>120.98726666666666</v>
      </c>
      <c r="L22" s="25">
        <v>0</v>
      </c>
      <c r="M22" s="25">
        <f t="shared" si="9"/>
        <v>181.48089999999999</v>
      </c>
      <c r="N22" s="25">
        <f t="shared" si="6"/>
        <v>460.00266191166662</v>
      </c>
      <c r="O22" s="25">
        <f t="shared" si="1"/>
        <v>11802.534714458334</v>
      </c>
      <c r="P22" s="26">
        <v>1358.8528800000001</v>
      </c>
      <c r="Q22" s="26">
        <v>849.28305</v>
      </c>
      <c r="R22" s="26">
        <v>2114.8155000000002</v>
      </c>
      <c r="S22" s="26">
        <f t="shared" si="2"/>
        <v>472.10138857833329</v>
      </c>
      <c r="T22" s="26">
        <f t="shared" si="3"/>
        <v>4795.0528185783342</v>
      </c>
      <c r="U22" s="27"/>
      <c r="V22" s="28">
        <v>2000</v>
      </c>
      <c r="W22" s="27"/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27"/>
      <c r="AJ22" s="27"/>
      <c r="AK22" s="27"/>
    </row>
    <row r="23" spans="2:37" ht="19.5" customHeight="1" x14ac:dyDescent="0.25">
      <c r="B23" s="19">
        <f t="shared" si="7"/>
        <v>18</v>
      </c>
      <c r="C23" s="20" t="s">
        <v>45</v>
      </c>
      <c r="D23" s="20" t="s">
        <v>25</v>
      </c>
      <c r="E23" s="21">
        <v>45505</v>
      </c>
      <c r="F23" s="21">
        <v>46387</v>
      </c>
      <c r="G23" s="22">
        <f t="shared" si="0"/>
        <v>2</v>
      </c>
      <c r="H23" s="23">
        <f>VLOOKUP(G23,Hoja5!$A$3:$B$38,2,0)</f>
        <v>14</v>
      </c>
      <c r="I23" s="24">
        <v>383.24</v>
      </c>
      <c r="J23" s="24">
        <f t="shared" si="4"/>
        <v>11656.857784</v>
      </c>
      <c r="K23" s="25">
        <f t="shared" si="5"/>
        <v>111.77833333333335</v>
      </c>
      <c r="L23" s="25">
        <f>I6*2*3/12</f>
        <v>371.48</v>
      </c>
      <c r="M23" s="25">
        <f t="shared" si="9"/>
        <v>191.62</v>
      </c>
      <c r="N23" s="25">
        <f t="shared" si="6"/>
        <v>485.70240766666666</v>
      </c>
      <c r="O23" s="25">
        <f t="shared" si="1"/>
        <v>12817.438525000001</v>
      </c>
      <c r="P23" s="26">
        <v>1358.8528800000001</v>
      </c>
      <c r="Q23" s="26">
        <v>849.28305</v>
      </c>
      <c r="R23" s="26">
        <v>2114.8155000000002</v>
      </c>
      <c r="S23" s="26">
        <f t="shared" si="2"/>
        <v>512.697541</v>
      </c>
      <c r="T23" s="26">
        <f t="shared" si="3"/>
        <v>4835.6489710000005</v>
      </c>
      <c r="U23" s="27"/>
      <c r="V23" s="28">
        <v>2000</v>
      </c>
      <c r="W23" s="27"/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27"/>
      <c r="AI23" s="27"/>
      <c r="AJ23" s="27"/>
      <c r="AK23" s="27"/>
    </row>
    <row r="24" spans="2:37" ht="19.5" customHeight="1" x14ac:dyDescent="0.25">
      <c r="B24" s="19">
        <f t="shared" si="7"/>
        <v>19</v>
      </c>
      <c r="C24" s="20" t="s">
        <v>46</v>
      </c>
      <c r="D24" s="20" t="s">
        <v>27</v>
      </c>
      <c r="E24" s="21">
        <v>45541</v>
      </c>
      <c r="F24" s="21">
        <v>46387</v>
      </c>
      <c r="G24" s="22">
        <f t="shared" si="0"/>
        <v>2</v>
      </c>
      <c r="H24" s="23">
        <f>VLOOKUP(G24,Hoja5!$A$3:$B$38,2,0)</f>
        <v>14</v>
      </c>
      <c r="I24" s="24">
        <v>383.24</v>
      </c>
      <c r="J24" s="24">
        <f t="shared" si="4"/>
        <v>11656.857784</v>
      </c>
      <c r="K24" s="25">
        <f t="shared" si="5"/>
        <v>111.77833333333335</v>
      </c>
      <c r="L24" s="25">
        <f t="shared" ref="L24:L29" si="11">I7*2*3/12</f>
        <v>259.67500000000001</v>
      </c>
      <c r="M24" s="25">
        <f t="shared" si="9"/>
        <v>191.62</v>
      </c>
      <c r="N24" s="25">
        <f t="shared" si="6"/>
        <v>485.70240766666666</v>
      </c>
      <c r="O24" s="25">
        <f t="shared" si="1"/>
        <v>12705.633525000001</v>
      </c>
      <c r="P24" s="26">
        <v>1358.8528800000001</v>
      </c>
      <c r="Q24" s="26">
        <v>849.28305</v>
      </c>
      <c r="R24" s="26">
        <v>2114.8155000000002</v>
      </c>
      <c r="S24" s="26">
        <f t="shared" si="2"/>
        <v>508.22534099999996</v>
      </c>
      <c r="T24" s="26">
        <f t="shared" si="3"/>
        <v>4831.1767710000013</v>
      </c>
      <c r="U24" s="27"/>
      <c r="V24" s="28">
        <v>2000</v>
      </c>
      <c r="W24" s="27"/>
      <c r="X24" s="27"/>
      <c r="Y24" s="27"/>
      <c r="Z24" s="27"/>
      <c r="AA24" s="27"/>
      <c r="AB24" s="27"/>
      <c r="AC24" s="27"/>
      <c r="AD24" s="27"/>
      <c r="AE24" s="27"/>
      <c r="AF24" s="27"/>
      <c r="AG24" s="27"/>
      <c r="AH24" s="27"/>
      <c r="AI24" s="27"/>
      <c r="AJ24" s="27"/>
      <c r="AK24" s="27"/>
    </row>
    <row r="25" spans="2:37" ht="19.5" customHeight="1" x14ac:dyDescent="0.25">
      <c r="B25" s="19">
        <f t="shared" si="7"/>
        <v>20</v>
      </c>
      <c r="C25" s="20" t="s">
        <v>47</v>
      </c>
      <c r="D25" s="20" t="s">
        <v>21</v>
      </c>
      <c r="E25" s="21">
        <v>45551</v>
      </c>
      <c r="F25" s="21">
        <v>46387</v>
      </c>
      <c r="G25" s="22">
        <f t="shared" si="0"/>
        <v>2</v>
      </c>
      <c r="H25" s="23">
        <f>VLOOKUP(G25,Hoja5!$A$3:$B$38,2,0)</f>
        <v>14</v>
      </c>
      <c r="I25" s="24">
        <v>1055.3154</v>
      </c>
      <c r="J25" s="24">
        <f t="shared" si="4"/>
        <v>32099.106395639996</v>
      </c>
      <c r="K25" s="25">
        <f t="shared" si="5"/>
        <v>307.80032499999999</v>
      </c>
      <c r="L25" s="25">
        <f t="shared" si="11"/>
        <v>201.31000000000003</v>
      </c>
      <c r="M25" s="25">
        <f t="shared" si="9"/>
        <v>527.65769999999998</v>
      </c>
      <c r="N25" s="25">
        <f t="shared" si="6"/>
        <v>1337.4627664849997</v>
      </c>
      <c r="O25" s="25">
        <f t="shared" si="1"/>
        <v>34473.337187124998</v>
      </c>
      <c r="P25" s="26">
        <v>1358.8528800000001</v>
      </c>
      <c r="Q25" s="26">
        <v>849.28305</v>
      </c>
      <c r="R25" s="26">
        <v>2114.8155000000002</v>
      </c>
      <c r="S25" s="26">
        <f t="shared" si="2"/>
        <v>1378.9334874849999</v>
      </c>
      <c r="T25" s="26">
        <f t="shared" si="3"/>
        <v>5701.8849174850011</v>
      </c>
      <c r="U25" s="27"/>
      <c r="V25" s="28">
        <v>2000</v>
      </c>
      <c r="W25" s="27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/>
      <c r="AK25" s="27"/>
    </row>
    <row r="26" spans="2:37" ht="19.5" customHeight="1" x14ac:dyDescent="0.25">
      <c r="B26" s="19">
        <f t="shared" si="7"/>
        <v>21</v>
      </c>
      <c r="C26" s="20" t="s">
        <v>48</v>
      </c>
      <c r="D26" s="20" t="s">
        <v>21</v>
      </c>
      <c r="E26" s="21">
        <v>45618</v>
      </c>
      <c r="F26" s="21">
        <v>46387</v>
      </c>
      <c r="G26" s="22">
        <f t="shared" si="0"/>
        <v>2</v>
      </c>
      <c r="H26" s="23">
        <f>VLOOKUP(G26,Hoja5!$A$3:$B$38,2,0)</f>
        <v>14</v>
      </c>
      <c r="I26" s="24">
        <v>383.24</v>
      </c>
      <c r="J26" s="24">
        <f t="shared" si="4"/>
        <v>11656.857784</v>
      </c>
      <c r="K26" s="25">
        <f t="shared" si="5"/>
        <v>111.77833333333335</v>
      </c>
      <c r="L26" s="25">
        <f t="shared" si="11"/>
        <v>200.79499999999999</v>
      </c>
      <c r="M26" s="25">
        <f t="shared" si="9"/>
        <v>191.62</v>
      </c>
      <c r="N26" s="25">
        <f t="shared" si="6"/>
        <v>485.70240766666666</v>
      </c>
      <c r="O26" s="25">
        <f t="shared" si="1"/>
        <v>12646.753525</v>
      </c>
      <c r="P26" s="26">
        <v>994.85232000000019</v>
      </c>
      <c r="Q26" s="26">
        <v>621.78270000000009</v>
      </c>
      <c r="R26" s="26">
        <v>1505.9835</v>
      </c>
      <c r="S26" s="26">
        <f t="shared" si="2"/>
        <v>505.87014099999999</v>
      </c>
      <c r="T26" s="26">
        <f t="shared" si="3"/>
        <v>3628.4886609999999</v>
      </c>
      <c r="U26" s="27"/>
      <c r="V26" s="28">
        <v>2000</v>
      </c>
      <c r="W26" s="27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27"/>
    </row>
    <row r="27" spans="2:37" ht="19.5" customHeight="1" x14ac:dyDescent="0.25">
      <c r="B27" s="19">
        <f t="shared" si="7"/>
        <v>22</v>
      </c>
      <c r="C27" s="20" t="s">
        <v>49</v>
      </c>
      <c r="D27" s="20" t="s">
        <v>21</v>
      </c>
      <c r="E27" s="21">
        <v>45717</v>
      </c>
      <c r="F27" s="21">
        <v>46387</v>
      </c>
      <c r="G27" s="22">
        <f t="shared" si="0"/>
        <v>1</v>
      </c>
      <c r="H27" s="23">
        <f>VLOOKUP(G27,Hoja5!$A$3:$B$38,2,0)</f>
        <v>12</v>
      </c>
      <c r="I27" s="24">
        <v>966.58</v>
      </c>
      <c r="J27" s="24">
        <f t="shared" si="4"/>
        <v>29400.077228000002</v>
      </c>
      <c r="K27" s="25">
        <f t="shared" si="5"/>
        <v>241.64500000000001</v>
      </c>
      <c r="L27" s="25">
        <f t="shared" si="11"/>
        <v>191.06499999999997</v>
      </c>
      <c r="M27" s="25">
        <f t="shared" si="9"/>
        <v>483.29</v>
      </c>
      <c r="N27" s="25">
        <f t="shared" si="6"/>
        <v>1225.0032178333333</v>
      </c>
      <c r="O27" s="25">
        <f t="shared" si="1"/>
        <v>31541.080445833337</v>
      </c>
      <c r="P27" s="26">
        <v>1358.8528800000001</v>
      </c>
      <c r="Q27" s="26">
        <v>849.28305</v>
      </c>
      <c r="R27" s="26">
        <v>2114.8155000000002</v>
      </c>
      <c r="S27" s="26">
        <f t="shared" si="2"/>
        <v>1261.6432178333334</v>
      </c>
      <c r="T27" s="26">
        <f t="shared" si="3"/>
        <v>5584.5946478333344</v>
      </c>
      <c r="U27" s="27"/>
      <c r="V27" s="28">
        <v>2000</v>
      </c>
      <c r="W27" s="27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27"/>
      <c r="AK27" s="27"/>
    </row>
    <row r="28" spans="2:37" ht="19.5" customHeight="1" x14ac:dyDescent="0.25">
      <c r="B28" s="19">
        <f t="shared" si="7"/>
        <v>23</v>
      </c>
      <c r="C28" s="20" t="s">
        <v>50</v>
      </c>
      <c r="D28" s="20" t="s">
        <v>30</v>
      </c>
      <c r="E28" s="21">
        <v>46174</v>
      </c>
      <c r="F28" s="21">
        <v>46387</v>
      </c>
      <c r="G28" s="22">
        <f t="shared" si="0"/>
        <v>0</v>
      </c>
      <c r="H28" s="23">
        <f>VLOOKUP(G28,Hoja5!$A$3:$B$38,2,0)</f>
        <v>12</v>
      </c>
      <c r="I28" s="24">
        <v>575.34490000000005</v>
      </c>
      <c r="J28" s="24">
        <f t="shared" si="4"/>
        <v>17500.035685340001</v>
      </c>
      <c r="K28" s="25">
        <f t="shared" si="5"/>
        <v>143.83622500000001</v>
      </c>
      <c r="L28" s="25">
        <f t="shared" si="11"/>
        <v>202.11420000000001</v>
      </c>
      <c r="M28" s="25">
        <f t="shared" si="9"/>
        <v>287.67245000000003</v>
      </c>
      <c r="N28" s="25">
        <f t="shared" si="6"/>
        <v>729.16815355583333</v>
      </c>
      <c r="O28" s="25">
        <f t="shared" si="1"/>
        <v>18862.826713895836</v>
      </c>
      <c r="P28" s="26">
        <v>1358.8528800000001</v>
      </c>
      <c r="Q28" s="26">
        <v>849.28305</v>
      </c>
      <c r="R28" s="26">
        <v>2114.8155000000002</v>
      </c>
      <c r="S28" s="26">
        <f t="shared" si="2"/>
        <v>754.51306855583334</v>
      </c>
      <c r="T28" s="26">
        <f t="shared" si="3"/>
        <v>5077.4644985558343</v>
      </c>
      <c r="U28" s="27"/>
      <c r="V28" s="28">
        <v>2000</v>
      </c>
      <c r="W28" s="27"/>
      <c r="X28" s="27"/>
      <c r="Y28" s="27"/>
      <c r="Z28" s="27"/>
      <c r="AA28" s="27"/>
      <c r="AB28" s="27"/>
      <c r="AC28" s="27"/>
      <c r="AD28" s="27"/>
      <c r="AE28" s="27"/>
      <c r="AF28" s="27"/>
      <c r="AG28" s="27"/>
      <c r="AH28" s="27"/>
      <c r="AI28" s="27"/>
      <c r="AJ28" s="27"/>
      <c r="AK28" s="27"/>
    </row>
    <row r="29" spans="2:37" ht="19.5" customHeight="1" x14ac:dyDescent="0.25">
      <c r="B29" s="19">
        <f t="shared" si="7"/>
        <v>24</v>
      </c>
      <c r="C29" s="20" t="s">
        <v>51</v>
      </c>
      <c r="D29" s="20" t="s">
        <v>21</v>
      </c>
      <c r="E29" s="21">
        <v>45763</v>
      </c>
      <c r="F29" s="21">
        <v>46387</v>
      </c>
      <c r="G29" s="22">
        <f t="shared" si="0"/>
        <v>1</v>
      </c>
      <c r="H29" s="23">
        <f>VLOOKUP(G29,Hoja5!$A$3:$B$38,2,0)</f>
        <v>12</v>
      </c>
      <c r="I29" s="24">
        <v>794.07</v>
      </c>
      <c r="J29" s="24">
        <f t="shared" si="4"/>
        <v>24152.909562000001</v>
      </c>
      <c r="K29" s="25">
        <f t="shared" si="5"/>
        <v>198.51750000000001</v>
      </c>
      <c r="L29" s="25">
        <f t="shared" si="11"/>
        <v>191.06499999999997</v>
      </c>
      <c r="M29" s="25">
        <f t="shared" si="9"/>
        <v>397.03500000000003</v>
      </c>
      <c r="N29" s="25">
        <f t="shared" si="6"/>
        <v>1006.37123175</v>
      </c>
      <c r="O29" s="25">
        <f t="shared" si="1"/>
        <v>25945.89829375</v>
      </c>
      <c r="P29" s="26">
        <v>1358.8528800000001</v>
      </c>
      <c r="Q29" s="26">
        <v>849.28305</v>
      </c>
      <c r="R29" s="26">
        <v>2114.8155000000002</v>
      </c>
      <c r="S29" s="26">
        <f t="shared" si="2"/>
        <v>1037.8359317500001</v>
      </c>
      <c r="T29" s="26">
        <f t="shared" si="3"/>
        <v>5360.7873617500009</v>
      </c>
      <c r="U29" s="27"/>
      <c r="V29" s="28">
        <v>2000</v>
      </c>
      <c r="W29" s="27"/>
      <c r="X29" s="27"/>
      <c r="Y29" s="27"/>
      <c r="Z29" s="27"/>
      <c r="AA29" s="27"/>
      <c r="AB29" s="27"/>
      <c r="AC29" s="27"/>
      <c r="AD29" s="27"/>
      <c r="AE29" s="27"/>
      <c r="AF29" s="27"/>
      <c r="AG29" s="27"/>
      <c r="AH29" s="27"/>
      <c r="AI29" s="27"/>
      <c r="AJ29" s="27"/>
      <c r="AK29" s="27"/>
    </row>
    <row r="30" spans="2:37" ht="19.5" customHeight="1" x14ac:dyDescent="0.25">
      <c r="B30" s="19">
        <f t="shared" si="7"/>
        <v>25</v>
      </c>
      <c r="C30" s="20" t="s">
        <v>52</v>
      </c>
      <c r="D30" s="20" t="s">
        <v>25</v>
      </c>
      <c r="E30" s="21">
        <v>45877</v>
      </c>
      <c r="F30" s="21">
        <v>46387</v>
      </c>
      <c r="G30" s="22">
        <f t="shared" si="0"/>
        <v>1</v>
      </c>
      <c r="H30" s="23">
        <f>VLOOKUP(G30,Hoja5!$A$3:$B$38,2,0)</f>
        <v>12</v>
      </c>
      <c r="I30" s="24">
        <v>367.79539999999997</v>
      </c>
      <c r="J30" s="24">
        <f t="shared" si="4"/>
        <v>11187.085563639999</v>
      </c>
      <c r="K30" s="25">
        <f t="shared" si="5"/>
        <v>91.948849999999993</v>
      </c>
      <c r="L30" s="25">
        <v>0</v>
      </c>
      <c r="M30" s="25">
        <v>0</v>
      </c>
      <c r="N30" s="25">
        <f t="shared" si="6"/>
        <v>466.12856515166663</v>
      </c>
      <c r="O30" s="25">
        <f t="shared" si="1"/>
        <v>11745.162978791666</v>
      </c>
      <c r="P30" s="26">
        <v>3972.5716800000005</v>
      </c>
      <c r="Q30" s="26">
        <v>2482.8573000000001</v>
      </c>
      <c r="R30" s="26">
        <v>6164.5185000000001</v>
      </c>
      <c r="S30" s="26">
        <f t="shared" si="2"/>
        <v>469.80651915166663</v>
      </c>
      <c r="T30" s="26">
        <f t="shared" si="3"/>
        <v>13089.753999151668</v>
      </c>
      <c r="U30" s="27"/>
      <c r="V30" s="28">
        <v>2000</v>
      </c>
      <c r="W30" s="27"/>
      <c r="X30" s="27"/>
      <c r="Y30" s="27"/>
      <c r="Z30" s="27"/>
      <c r="AA30" s="27"/>
      <c r="AB30" s="27"/>
      <c r="AC30" s="27"/>
      <c r="AD30" s="27"/>
      <c r="AE30" s="27"/>
      <c r="AF30" s="27"/>
      <c r="AG30" s="27"/>
      <c r="AH30" s="27"/>
      <c r="AI30" s="27"/>
      <c r="AJ30" s="27"/>
      <c r="AK30" s="27"/>
    </row>
    <row r="31" spans="2:37" ht="19.5" customHeight="1" x14ac:dyDescent="0.25">
      <c r="B31" s="19">
        <f t="shared" si="7"/>
        <v>26</v>
      </c>
      <c r="C31" s="20" t="s">
        <v>53</v>
      </c>
      <c r="D31" s="20" t="s">
        <v>30</v>
      </c>
      <c r="E31" s="21">
        <v>46235</v>
      </c>
      <c r="F31" s="21">
        <v>46387</v>
      </c>
      <c r="G31" s="22">
        <f t="shared" si="0"/>
        <v>0</v>
      </c>
      <c r="H31" s="23">
        <f>VLOOKUP(G31,Hoja5!$A$3:$B$38,2,0)</f>
        <v>12</v>
      </c>
      <c r="I31" s="24">
        <v>575.34259999999995</v>
      </c>
      <c r="J31" s="24">
        <f t="shared" si="4"/>
        <v>17499.965727159997</v>
      </c>
      <c r="K31" s="25">
        <f t="shared" si="5"/>
        <v>143.83564999999999</v>
      </c>
      <c r="L31" s="25">
        <f>I6*2*3/12</f>
        <v>371.48</v>
      </c>
      <c r="M31" s="25">
        <f t="shared" si="9"/>
        <v>287.67129999999997</v>
      </c>
      <c r="N31" s="25">
        <f t="shared" si="6"/>
        <v>729.16523863166651</v>
      </c>
      <c r="O31" s="25">
        <f t="shared" si="1"/>
        <v>19032.117915791667</v>
      </c>
      <c r="P31" s="26">
        <v>941.4451200000002</v>
      </c>
      <c r="Q31" s="26">
        <v>588.40320000000008</v>
      </c>
      <c r="R31" s="26">
        <v>1456.3500000000001</v>
      </c>
      <c r="S31" s="26">
        <f t="shared" si="2"/>
        <v>761.28471663166658</v>
      </c>
      <c r="T31" s="26">
        <f t="shared" si="3"/>
        <v>3747.4830366316669</v>
      </c>
      <c r="U31" s="27"/>
      <c r="V31" s="28">
        <v>2000</v>
      </c>
      <c r="W31" s="27"/>
      <c r="X31" s="27"/>
      <c r="Y31" s="27"/>
      <c r="Z31" s="27"/>
      <c r="AA31" s="27"/>
      <c r="AB31" s="27"/>
      <c r="AC31" s="27"/>
      <c r="AD31" s="27"/>
      <c r="AE31" s="27"/>
      <c r="AF31" s="27"/>
      <c r="AG31" s="27"/>
      <c r="AH31" s="27"/>
      <c r="AI31" s="27"/>
      <c r="AJ31" s="27"/>
      <c r="AK31" s="27"/>
    </row>
    <row r="32" spans="2:37" ht="19.5" customHeight="1" x14ac:dyDescent="0.25">
      <c r="B32" s="19">
        <f t="shared" si="7"/>
        <v>27</v>
      </c>
      <c r="C32" s="20" t="s">
        <v>54</v>
      </c>
      <c r="D32" s="20" t="s">
        <v>30</v>
      </c>
      <c r="E32" s="21">
        <v>45983</v>
      </c>
      <c r="F32" s="21">
        <v>46387</v>
      </c>
      <c r="G32" s="22">
        <f t="shared" si="0"/>
        <v>1</v>
      </c>
      <c r="H32" s="23">
        <f>VLOOKUP(G32,Hoja5!$A$3:$B$38,2,0)</f>
        <v>12</v>
      </c>
      <c r="I32" s="24">
        <v>575.34259999999995</v>
      </c>
      <c r="J32" s="24">
        <f t="shared" si="4"/>
        <v>17499.965727159997</v>
      </c>
      <c r="K32" s="25">
        <f t="shared" si="5"/>
        <v>143.83564999999999</v>
      </c>
      <c r="L32" s="25">
        <f>I7*2*3/12</f>
        <v>259.67500000000001</v>
      </c>
      <c r="M32" s="25">
        <f t="shared" si="9"/>
        <v>287.67129999999997</v>
      </c>
      <c r="N32" s="25">
        <f t="shared" si="6"/>
        <v>729.16523863166651</v>
      </c>
      <c r="O32" s="25">
        <f t="shared" si="1"/>
        <v>18920.312915791666</v>
      </c>
      <c r="P32" s="26">
        <v>3972.5716800000005</v>
      </c>
      <c r="Q32" s="26">
        <v>2482.8573000000001</v>
      </c>
      <c r="R32" s="26">
        <v>6164.5185000000001</v>
      </c>
      <c r="S32" s="26">
        <f t="shared" si="2"/>
        <v>756.81251663166654</v>
      </c>
      <c r="T32" s="26">
        <f t="shared" si="3"/>
        <v>13376.759996631667</v>
      </c>
      <c r="U32" s="27"/>
      <c r="V32" s="28">
        <v>2000</v>
      </c>
      <c r="W32" s="27"/>
      <c r="X32" s="27"/>
      <c r="Y32" s="27"/>
      <c r="Z32" s="27"/>
      <c r="AA32" s="27"/>
      <c r="AB32" s="27"/>
      <c r="AC32" s="27"/>
      <c r="AD32" s="27"/>
      <c r="AE32" s="27"/>
      <c r="AF32" s="27"/>
      <c r="AG32" s="27"/>
      <c r="AH32" s="27"/>
      <c r="AI32" s="27"/>
      <c r="AJ32" s="27"/>
      <c r="AK32" s="27"/>
    </row>
    <row r="33" spans="1:37" ht="19.5" customHeight="1" x14ac:dyDescent="0.25">
      <c r="B33" s="19">
        <f t="shared" si="7"/>
        <v>28</v>
      </c>
      <c r="C33" s="20" t="s">
        <v>55</v>
      </c>
      <c r="D33" s="20" t="s">
        <v>30</v>
      </c>
      <c r="E33" s="21">
        <v>46054</v>
      </c>
      <c r="F33" s="21">
        <v>46387</v>
      </c>
      <c r="G33" s="22">
        <f t="shared" si="0"/>
        <v>0</v>
      </c>
      <c r="H33" s="23">
        <f>VLOOKUP(G33,Hoja5!$A$3:$B$38,2,0)</f>
        <v>12</v>
      </c>
      <c r="I33" s="24">
        <v>401.55650000000003</v>
      </c>
      <c r="J33" s="24">
        <f t="shared" si="4"/>
        <v>12213.9834379</v>
      </c>
      <c r="K33" s="25">
        <f t="shared" si="5"/>
        <v>100.38912499999999</v>
      </c>
      <c r="L33" s="25">
        <v>0</v>
      </c>
      <c r="M33" s="25">
        <v>0</v>
      </c>
      <c r="N33" s="25">
        <f t="shared" si="6"/>
        <v>508.91597657916668</v>
      </c>
      <c r="O33" s="25">
        <f t="shared" si="1"/>
        <v>12823.288539479167</v>
      </c>
      <c r="P33" s="26">
        <v>1657.6560000000002</v>
      </c>
      <c r="Q33" s="26">
        <v>1036.0350000000001</v>
      </c>
      <c r="R33" s="26">
        <v>2486.4</v>
      </c>
      <c r="S33" s="26">
        <f t="shared" si="2"/>
        <v>512.93154157916672</v>
      </c>
      <c r="T33" s="26">
        <f t="shared" si="3"/>
        <v>5693.0225415791674</v>
      </c>
      <c r="U33" s="27"/>
      <c r="V33" s="28">
        <v>2000</v>
      </c>
      <c r="W33" s="27"/>
      <c r="X33" s="27"/>
      <c r="Y33" s="27"/>
      <c r="Z33" s="27"/>
      <c r="AA33" s="27"/>
      <c r="AB33" s="27"/>
      <c r="AC33" s="27"/>
      <c r="AD33" s="27"/>
      <c r="AE33" s="27"/>
      <c r="AF33" s="27"/>
      <c r="AG33" s="27"/>
      <c r="AH33" s="27"/>
      <c r="AI33" s="27"/>
      <c r="AJ33" s="27"/>
      <c r="AK33" s="27"/>
    </row>
    <row r="34" spans="1:37" ht="19.5" customHeight="1" x14ac:dyDescent="0.25">
      <c r="B34" s="19">
        <f t="shared" si="7"/>
        <v>29</v>
      </c>
      <c r="C34" s="20" t="s">
        <v>56</v>
      </c>
      <c r="D34" s="20" t="s">
        <v>25</v>
      </c>
      <c r="E34" s="21">
        <v>46054</v>
      </c>
      <c r="F34" s="21">
        <v>46387</v>
      </c>
      <c r="G34" s="22">
        <f t="shared" si="0"/>
        <v>0</v>
      </c>
      <c r="H34" s="23">
        <f>VLOOKUP(G34,Hoja5!$A$3:$B$38,2,0)</f>
        <v>12</v>
      </c>
      <c r="I34" s="24">
        <v>345.63</v>
      </c>
      <c r="J34" s="24">
        <f t="shared" si="4"/>
        <v>10512.889458</v>
      </c>
      <c r="K34" s="25">
        <f t="shared" si="5"/>
        <v>86.407499999999985</v>
      </c>
      <c r="L34" s="25">
        <f>I9*2*3/12</f>
        <v>200.79499999999999</v>
      </c>
      <c r="M34" s="25">
        <f t="shared" si="9"/>
        <v>172.815</v>
      </c>
      <c r="N34" s="25">
        <f t="shared" si="6"/>
        <v>438.03706074999997</v>
      </c>
      <c r="O34" s="25">
        <f t="shared" si="1"/>
        <v>11410.94401875</v>
      </c>
      <c r="P34" s="26">
        <v>1358.8528800000001</v>
      </c>
      <c r="Q34" s="26">
        <v>849.28305</v>
      </c>
      <c r="R34" s="26">
        <v>2114.8155000000002</v>
      </c>
      <c r="S34" s="26">
        <f t="shared" si="2"/>
        <v>456.43776075000005</v>
      </c>
      <c r="T34" s="26">
        <f t="shared" si="3"/>
        <v>4779.389190750001</v>
      </c>
      <c r="U34" s="27"/>
      <c r="V34" s="28">
        <v>2000</v>
      </c>
      <c r="W34" s="27"/>
      <c r="X34" s="27"/>
      <c r="Y34" s="27"/>
      <c r="Z34" s="27"/>
      <c r="AA34" s="27"/>
      <c r="AB34" s="27"/>
      <c r="AC34" s="27"/>
      <c r="AD34" s="27"/>
      <c r="AE34" s="27"/>
      <c r="AF34" s="27"/>
      <c r="AG34" s="27"/>
      <c r="AH34" s="27"/>
      <c r="AI34" s="27"/>
      <c r="AJ34" s="27"/>
      <c r="AK34" s="27"/>
    </row>
    <row r="35" spans="1:37" ht="19.5" customHeight="1" x14ac:dyDescent="0.25">
      <c r="B35" s="19">
        <f t="shared" si="7"/>
        <v>30</v>
      </c>
      <c r="C35" s="20" t="s">
        <v>57</v>
      </c>
      <c r="D35" s="20" t="s">
        <v>25</v>
      </c>
      <c r="E35" s="21">
        <v>46063</v>
      </c>
      <c r="F35" s="21">
        <v>46387</v>
      </c>
      <c r="G35" s="22">
        <f t="shared" si="0"/>
        <v>0</v>
      </c>
      <c r="H35" s="23">
        <f>VLOOKUP(G35,Hoja5!$A$3:$B$38,2,0)</f>
        <v>12</v>
      </c>
      <c r="I35" s="24">
        <v>345.63</v>
      </c>
      <c r="J35" s="24">
        <f t="shared" si="4"/>
        <v>10512.889458</v>
      </c>
      <c r="K35" s="25">
        <f t="shared" si="5"/>
        <v>86.407499999999985</v>
      </c>
      <c r="L35" s="25">
        <f t="shared" ref="L35:L50" si="12">I10*2*3/12</f>
        <v>191.06499999999997</v>
      </c>
      <c r="M35" s="25">
        <f t="shared" si="9"/>
        <v>172.815</v>
      </c>
      <c r="N35" s="25">
        <f t="shared" si="6"/>
        <v>438.03706074999997</v>
      </c>
      <c r="O35" s="25">
        <f t="shared" si="1"/>
        <v>11401.214018750001</v>
      </c>
      <c r="P35" s="26">
        <v>941.4451200000002</v>
      </c>
      <c r="Q35" s="26">
        <v>588.40320000000008</v>
      </c>
      <c r="R35" s="26">
        <v>1456.3500000000001</v>
      </c>
      <c r="S35" s="26">
        <f t="shared" si="2"/>
        <v>456.04856074999998</v>
      </c>
      <c r="T35" s="26">
        <f t="shared" si="3"/>
        <v>3442.2468807500004</v>
      </c>
      <c r="U35" s="27"/>
      <c r="V35" s="28">
        <v>2000</v>
      </c>
      <c r="W35" s="27"/>
      <c r="X35" s="27"/>
      <c r="Y35" s="27"/>
      <c r="Z35" s="27"/>
      <c r="AA35" s="27"/>
      <c r="AB35" s="27"/>
      <c r="AC35" s="27"/>
      <c r="AD35" s="27"/>
      <c r="AE35" s="27"/>
      <c r="AF35" s="27"/>
      <c r="AG35" s="27"/>
      <c r="AH35" s="27"/>
      <c r="AI35" s="27"/>
      <c r="AJ35" s="27"/>
      <c r="AK35" s="27"/>
    </row>
    <row r="36" spans="1:37" ht="19.5" customHeight="1" x14ac:dyDescent="0.25">
      <c r="B36" s="19">
        <f t="shared" si="7"/>
        <v>31</v>
      </c>
      <c r="C36" s="20" t="s">
        <v>58</v>
      </c>
      <c r="D36" s="20" t="s">
        <v>25</v>
      </c>
      <c r="E36" s="21">
        <v>46062</v>
      </c>
      <c r="F36" s="21">
        <v>46387</v>
      </c>
      <c r="G36" s="22">
        <f t="shared" si="0"/>
        <v>0</v>
      </c>
      <c r="H36" s="23">
        <f>VLOOKUP(G36,Hoja5!$A$3:$B$38,2,0)</f>
        <v>12</v>
      </c>
      <c r="I36" s="24">
        <v>345.63</v>
      </c>
      <c r="J36" s="24">
        <f t="shared" si="4"/>
        <v>10512.889458</v>
      </c>
      <c r="K36" s="25">
        <f t="shared" si="5"/>
        <v>86.407499999999985</v>
      </c>
      <c r="L36" s="25">
        <v>0</v>
      </c>
      <c r="M36" s="25">
        <f t="shared" si="9"/>
        <v>172.815</v>
      </c>
      <c r="N36" s="25">
        <f t="shared" si="6"/>
        <v>438.03706074999997</v>
      </c>
      <c r="O36" s="25">
        <f t="shared" si="1"/>
        <v>11210.14901875</v>
      </c>
      <c r="P36" s="26">
        <v>3972.5716800000005</v>
      </c>
      <c r="Q36" s="26">
        <v>2482.8573000000001</v>
      </c>
      <c r="R36" s="26">
        <v>6164.5185000000001</v>
      </c>
      <c r="S36" s="26">
        <f t="shared" si="2"/>
        <v>448.40596075000002</v>
      </c>
      <c r="T36" s="26">
        <f t="shared" si="3"/>
        <v>13068.353440750001</v>
      </c>
      <c r="U36" s="27"/>
      <c r="V36" s="28">
        <v>2000</v>
      </c>
      <c r="W36" s="27"/>
      <c r="X36" s="27"/>
      <c r="Y36" s="27"/>
      <c r="Z36" s="27"/>
      <c r="AA36" s="27"/>
      <c r="AB36" s="27"/>
      <c r="AC36" s="27"/>
      <c r="AD36" s="27"/>
      <c r="AE36" s="27"/>
      <c r="AF36" s="27"/>
      <c r="AG36" s="27"/>
      <c r="AH36" s="27"/>
      <c r="AI36" s="27"/>
      <c r="AJ36" s="27"/>
      <c r="AK36" s="27"/>
    </row>
    <row r="37" spans="1:37" ht="19.5" customHeight="1" x14ac:dyDescent="0.25">
      <c r="B37" s="19">
        <f t="shared" si="7"/>
        <v>32</v>
      </c>
      <c r="C37" s="20" t="s">
        <v>59</v>
      </c>
      <c r="D37" s="20" t="s">
        <v>25</v>
      </c>
      <c r="E37" s="21">
        <v>46082</v>
      </c>
      <c r="F37" s="21">
        <v>46387</v>
      </c>
      <c r="G37" s="22">
        <f t="shared" si="0"/>
        <v>0</v>
      </c>
      <c r="H37" s="23">
        <f>VLOOKUP(G37,Hoja5!$A$3:$B$38,2,0)</f>
        <v>12</v>
      </c>
      <c r="I37" s="24">
        <v>345.63</v>
      </c>
      <c r="J37" s="24">
        <f t="shared" si="4"/>
        <v>10512.889458</v>
      </c>
      <c r="K37" s="25">
        <f t="shared" si="5"/>
        <v>86.407499999999985</v>
      </c>
      <c r="L37" s="25">
        <f t="shared" si="12"/>
        <v>191.06499999999997</v>
      </c>
      <c r="M37" s="25">
        <f t="shared" si="9"/>
        <v>172.815</v>
      </c>
      <c r="N37" s="25">
        <f>J37/2/12</f>
        <v>438.03706074999997</v>
      </c>
      <c r="O37" s="25">
        <f t="shared" si="1"/>
        <v>11401.214018750001</v>
      </c>
      <c r="P37" s="26">
        <v>1358.8528800000001</v>
      </c>
      <c r="Q37" s="26">
        <v>849.28305</v>
      </c>
      <c r="R37" s="26">
        <v>2114.8155000000002</v>
      </c>
      <c r="S37" s="26">
        <f t="shared" si="2"/>
        <v>456.04856074999998</v>
      </c>
      <c r="T37" s="26">
        <f t="shared" si="3"/>
        <v>4778.9999907500005</v>
      </c>
      <c r="U37" s="27"/>
      <c r="V37" s="28">
        <v>2000</v>
      </c>
      <c r="W37" s="27"/>
      <c r="X37" s="27"/>
      <c r="Y37" s="27"/>
      <c r="Z37" s="27"/>
      <c r="AA37" s="27"/>
      <c r="AB37" s="27"/>
      <c r="AC37" s="27"/>
      <c r="AD37" s="27"/>
      <c r="AE37" s="27"/>
      <c r="AF37" s="27"/>
      <c r="AG37" s="27"/>
      <c r="AH37" s="27"/>
      <c r="AI37" s="27"/>
      <c r="AJ37" s="27"/>
      <c r="AK37" s="27"/>
    </row>
    <row r="38" spans="1:37" ht="19.5" customHeight="1" x14ac:dyDescent="0.25">
      <c r="B38" s="19">
        <f t="shared" si="7"/>
        <v>33</v>
      </c>
      <c r="C38" s="20" t="s">
        <v>60</v>
      </c>
      <c r="D38" s="20" t="s">
        <v>25</v>
      </c>
      <c r="E38" s="21">
        <v>46174</v>
      </c>
      <c r="F38" s="21">
        <v>46387</v>
      </c>
      <c r="G38" s="22">
        <f t="shared" si="0"/>
        <v>0</v>
      </c>
      <c r="H38" s="23">
        <f>VLOOKUP(G38,Hoja5!$A$3:$B$38,2,0)</f>
        <v>12</v>
      </c>
      <c r="I38" s="24">
        <v>345.63</v>
      </c>
      <c r="J38" s="24">
        <f t="shared" si="4"/>
        <v>10512.889458</v>
      </c>
      <c r="K38" s="25">
        <f t="shared" si="5"/>
        <v>86.407499999999985</v>
      </c>
      <c r="L38" s="25">
        <f t="shared" si="12"/>
        <v>191.06499999999997</v>
      </c>
      <c r="M38" s="25">
        <f t="shared" si="9"/>
        <v>172.815</v>
      </c>
      <c r="N38" s="25">
        <f t="shared" si="6"/>
        <v>438.03706074999997</v>
      </c>
      <c r="O38" s="25">
        <f t="shared" si="1"/>
        <v>11401.214018750001</v>
      </c>
      <c r="P38" s="26">
        <v>1358.8528800000001</v>
      </c>
      <c r="Q38" s="26">
        <v>849.28305</v>
      </c>
      <c r="R38" s="26">
        <v>2114.8155000000002</v>
      </c>
      <c r="S38" s="26">
        <f t="shared" si="2"/>
        <v>456.04856074999998</v>
      </c>
      <c r="T38" s="26">
        <f t="shared" si="3"/>
        <v>4778.9999907500005</v>
      </c>
      <c r="U38" s="27"/>
      <c r="V38" s="28">
        <v>2000</v>
      </c>
      <c r="W38" s="27"/>
      <c r="X38" s="27"/>
      <c r="Y38" s="27"/>
      <c r="Z38" s="27"/>
      <c r="AA38" s="27"/>
      <c r="AB38" s="27"/>
      <c r="AC38" s="27"/>
      <c r="AD38" s="27"/>
      <c r="AE38" s="27"/>
      <c r="AF38" s="27"/>
      <c r="AG38" s="27"/>
      <c r="AH38" s="27"/>
      <c r="AI38" s="27"/>
      <c r="AJ38" s="27"/>
      <c r="AK38" s="27"/>
    </row>
    <row r="39" spans="1:37" ht="19.5" customHeight="1" x14ac:dyDescent="0.25">
      <c r="B39" s="19">
        <f t="shared" si="7"/>
        <v>34</v>
      </c>
      <c r="C39" s="20" t="s">
        <v>61</v>
      </c>
      <c r="D39" s="20" t="s">
        <v>25</v>
      </c>
      <c r="E39" s="21">
        <v>46204</v>
      </c>
      <c r="F39" s="21">
        <v>46387</v>
      </c>
      <c r="G39" s="22">
        <f t="shared" si="0"/>
        <v>0</v>
      </c>
      <c r="H39" s="23">
        <f>VLOOKUP(G39,Hoja5!$A$3:$B$38,2,0)</f>
        <v>12</v>
      </c>
      <c r="I39" s="24">
        <v>345.63</v>
      </c>
      <c r="J39" s="24">
        <f t="shared" si="4"/>
        <v>10512.889458</v>
      </c>
      <c r="K39" s="25">
        <f t="shared" si="5"/>
        <v>86.407499999999985</v>
      </c>
      <c r="L39" s="25">
        <f t="shared" si="12"/>
        <v>244.78</v>
      </c>
      <c r="M39" s="25">
        <f t="shared" si="9"/>
        <v>172.815</v>
      </c>
      <c r="N39" s="25">
        <f t="shared" si="6"/>
        <v>438.03706074999997</v>
      </c>
      <c r="O39" s="25">
        <f t="shared" si="1"/>
        <v>11454.929018750001</v>
      </c>
      <c r="P39" s="26">
        <v>1358.8528800000001</v>
      </c>
      <c r="Q39" s="26">
        <v>849.28305</v>
      </c>
      <c r="R39" s="26">
        <v>2114.8155000000002</v>
      </c>
      <c r="S39" s="26">
        <f t="shared" si="2"/>
        <v>458.19716074999997</v>
      </c>
      <c r="T39" s="26">
        <f t="shared" si="3"/>
        <v>4781.1485907500009</v>
      </c>
      <c r="U39" s="27"/>
      <c r="V39" s="28">
        <v>2000</v>
      </c>
      <c r="W39" s="27"/>
      <c r="X39" s="27"/>
      <c r="Y39" s="27"/>
      <c r="Z39" s="27"/>
      <c r="AA39" s="27"/>
      <c r="AB39" s="27"/>
      <c r="AC39" s="27"/>
      <c r="AD39" s="27"/>
      <c r="AE39" s="27"/>
      <c r="AF39" s="27"/>
      <c r="AG39" s="27"/>
      <c r="AH39" s="27"/>
      <c r="AI39" s="27"/>
      <c r="AJ39" s="27"/>
      <c r="AK39" s="27"/>
    </row>
    <row r="40" spans="1:37" ht="19.5" customHeight="1" x14ac:dyDescent="0.25">
      <c r="B40" s="19">
        <f t="shared" si="7"/>
        <v>35</v>
      </c>
      <c r="C40" s="20" t="s">
        <v>62</v>
      </c>
      <c r="D40" s="20" t="s">
        <v>27</v>
      </c>
      <c r="E40" s="21">
        <v>46209</v>
      </c>
      <c r="F40" s="21">
        <v>46387</v>
      </c>
      <c r="G40" s="22">
        <f t="shared" si="0"/>
        <v>0</v>
      </c>
      <c r="H40" s="23">
        <f>VLOOKUP(G40,Hoja5!$A$3:$B$38,2,0)</f>
        <v>12</v>
      </c>
      <c r="I40" s="24">
        <v>345.63</v>
      </c>
      <c r="J40" s="24">
        <f t="shared" si="4"/>
        <v>10512.889458</v>
      </c>
      <c r="K40" s="25">
        <f t="shared" si="5"/>
        <v>86.407499999999985</v>
      </c>
      <c r="L40" s="25">
        <f t="shared" si="12"/>
        <v>342.78519999999997</v>
      </c>
      <c r="M40" s="25">
        <f t="shared" si="9"/>
        <v>172.815</v>
      </c>
      <c r="N40" s="25">
        <f t="shared" si="6"/>
        <v>438.03706074999997</v>
      </c>
      <c r="O40" s="25">
        <f t="shared" si="1"/>
        <v>11552.934218750001</v>
      </c>
      <c r="P40" s="26">
        <v>1358.8528800000001</v>
      </c>
      <c r="Q40" s="26">
        <v>849.28305</v>
      </c>
      <c r="R40" s="26">
        <v>2114.8155000000002</v>
      </c>
      <c r="S40" s="26">
        <f t="shared" si="2"/>
        <v>462.11736874999997</v>
      </c>
      <c r="T40" s="26">
        <f t="shared" si="3"/>
        <v>4785.0687987500005</v>
      </c>
      <c r="U40" s="27"/>
      <c r="V40" s="28">
        <v>2000</v>
      </c>
      <c r="W40" s="27"/>
      <c r="X40" s="27"/>
      <c r="Y40" s="27"/>
      <c r="Z40" s="27"/>
      <c r="AA40" s="27"/>
      <c r="AB40" s="27"/>
      <c r="AC40" s="27"/>
      <c r="AD40" s="27"/>
      <c r="AE40" s="27"/>
      <c r="AF40" s="27"/>
      <c r="AG40" s="27"/>
      <c r="AH40" s="27"/>
      <c r="AI40" s="27"/>
      <c r="AJ40" s="27"/>
      <c r="AK40" s="27"/>
    </row>
    <row r="41" spans="1:37" ht="19.5" customHeight="1" x14ac:dyDescent="0.25">
      <c r="B41" s="19">
        <f t="shared" si="7"/>
        <v>36</v>
      </c>
      <c r="C41" s="20" t="s">
        <v>63</v>
      </c>
      <c r="D41" s="20" t="s">
        <v>27</v>
      </c>
      <c r="E41" s="21">
        <v>46210</v>
      </c>
      <c r="F41" s="21">
        <v>46387</v>
      </c>
      <c r="G41" s="22">
        <f t="shared" si="0"/>
        <v>0</v>
      </c>
      <c r="H41" s="23">
        <f>VLOOKUP(G41,Hoja5!$A$3:$B$38,2,0)</f>
        <v>12</v>
      </c>
      <c r="I41" s="24">
        <v>345.63</v>
      </c>
      <c r="J41" s="24">
        <f t="shared" si="4"/>
        <v>10512.889458</v>
      </c>
      <c r="K41" s="25">
        <f t="shared" si="5"/>
        <v>86.407499999999985</v>
      </c>
      <c r="L41" s="25">
        <f t="shared" si="12"/>
        <v>172.81499999999997</v>
      </c>
      <c r="M41" s="25">
        <f t="shared" si="9"/>
        <v>172.815</v>
      </c>
      <c r="N41" s="25">
        <f t="shared" si="6"/>
        <v>438.03706074999997</v>
      </c>
      <c r="O41" s="25">
        <f t="shared" si="1"/>
        <v>11382.964018750001</v>
      </c>
      <c r="P41" s="26">
        <v>1358.8528800000001</v>
      </c>
      <c r="Q41" s="26">
        <v>849.28305</v>
      </c>
      <c r="R41" s="26">
        <v>2114.8155000000002</v>
      </c>
      <c r="S41" s="26">
        <f t="shared" si="2"/>
        <v>455.31856074999996</v>
      </c>
      <c r="T41" s="26">
        <f t="shared" si="3"/>
        <v>4778.2699907500009</v>
      </c>
      <c r="U41" s="27"/>
      <c r="V41" s="28">
        <v>2000</v>
      </c>
      <c r="W41" s="27"/>
      <c r="X41" s="27"/>
      <c r="Y41" s="27"/>
      <c r="Z41" s="27"/>
      <c r="AA41" s="27"/>
      <c r="AB41" s="27"/>
      <c r="AC41" s="27"/>
      <c r="AD41" s="27"/>
      <c r="AE41" s="27"/>
      <c r="AF41" s="27"/>
      <c r="AG41" s="27"/>
      <c r="AH41" s="27"/>
      <c r="AI41" s="27"/>
      <c r="AJ41" s="27"/>
      <c r="AK41" s="27"/>
    </row>
    <row r="42" spans="1:37" ht="19.5" customHeight="1" x14ac:dyDescent="0.25">
      <c r="B42" s="19">
        <f t="shared" si="7"/>
        <v>37</v>
      </c>
      <c r="C42" s="20" t="s">
        <v>64</v>
      </c>
      <c r="D42" s="20" t="s">
        <v>27</v>
      </c>
      <c r="E42" s="21">
        <v>46219</v>
      </c>
      <c r="F42" s="21">
        <v>46387</v>
      </c>
      <c r="G42" s="22">
        <f t="shared" si="0"/>
        <v>0</v>
      </c>
      <c r="H42" s="23">
        <f>VLOOKUP(G42,Hoja5!$A$3:$B$38,2,0)</f>
        <v>12</v>
      </c>
      <c r="I42" s="24">
        <v>345.63</v>
      </c>
      <c r="J42" s="24">
        <f t="shared" si="4"/>
        <v>10512.889458</v>
      </c>
      <c r="K42" s="25">
        <f t="shared" si="5"/>
        <v>86.407499999999985</v>
      </c>
      <c r="L42" s="25">
        <f t="shared" si="12"/>
        <v>288.48334999999997</v>
      </c>
      <c r="M42" s="25">
        <f t="shared" si="9"/>
        <v>172.815</v>
      </c>
      <c r="N42" s="25">
        <f t="shared" si="6"/>
        <v>438.03706074999997</v>
      </c>
      <c r="O42" s="25">
        <f t="shared" si="1"/>
        <v>11498.632368750001</v>
      </c>
      <c r="P42" s="26">
        <v>1358.8528800000001</v>
      </c>
      <c r="Q42" s="26">
        <v>849.28305</v>
      </c>
      <c r="R42" s="26">
        <v>2114.8155000000002</v>
      </c>
      <c r="S42" s="26">
        <f t="shared" si="2"/>
        <v>459.94529474999996</v>
      </c>
      <c r="T42" s="26">
        <f t="shared" si="3"/>
        <v>4782.8967247500013</v>
      </c>
      <c r="U42" s="27"/>
      <c r="V42" s="28">
        <v>2000</v>
      </c>
      <c r="W42" s="27"/>
      <c r="X42" s="27"/>
      <c r="Y42" s="27"/>
      <c r="Z42" s="27"/>
      <c r="AA42" s="27"/>
      <c r="AB42" s="27"/>
      <c r="AC42" s="27"/>
      <c r="AD42" s="27"/>
      <c r="AE42" s="27"/>
      <c r="AF42" s="27"/>
      <c r="AG42" s="27"/>
      <c r="AH42" s="27"/>
      <c r="AI42" s="27"/>
      <c r="AJ42" s="27"/>
      <c r="AK42" s="27"/>
    </row>
    <row r="43" spans="1:37" ht="19.5" customHeight="1" x14ac:dyDescent="0.25">
      <c r="B43" s="19">
        <f t="shared" si="7"/>
        <v>38</v>
      </c>
      <c r="C43" s="20" t="s">
        <v>65</v>
      </c>
      <c r="D43" s="20" t="s">
        <v>25</v>
      </c>
      <c r="E43" s="21">
        <v>46235</v>
      </c>
      <c r="F43" s="21">
        <v>46387</v>
      </c>
      <c r="G43" s="22">
        <f t="shared" si="0"/>
        <v>0</v>
      </c>
      <c r="H43" s="23">
        <f>VLOOKUP(G43,Hoja5!$A$3:$B$38,2,0)</f>
        <v>12</v>
      </c>
      <c r="I43" s="24">
        <v>526.21</v>
      </c>
      <c r="J43" s="24">
        <f t="shared" si="4"/>
        <v>16005.519086</v>
      </c>
      <c r="K43" s="25">
        <f t="shared" si="5"/>
        <v>131.55250000000001</v>
      </c>
      <c r="L43" s="25">
        <f t="shared" si="12"/>
        <v>458.96499999999997</v>
      </c>
      <c r="M43" s="25">
        <f t="shared" si="9"/>
        <v>263.10500000000002</v>
      </c>
      <c r="N43" s="25">
        <f t="shared" si="6"/>
        <v>666.89662858333338</v>
      </c>
      <c r="O43" s="25">
        <f t="shared" si="1"/>
        <v>17526.038214583332</v>
      </c>
      <c r="P43" s="26">
        <v>1894.2</v>
      </c>
      <c r="Q43" s="26">
        <v>1183.875</v>
      </c>
      <c r="R43" s="26">
        <v>3062.85</v>
      </c>
      <c r="S43" s="26">
        <f t="shared" si="2"/>
        <v>701.04152858333339</v>
      </c>
      <c r="T43" s="26">
        <f t="shared" si="3"/>
        <v>6841.9665285833325</v>
      </c>
      <c r="U43" s="27"/>
      <c r="V43" s="28">
        <v>2000</v>
      </c>
      <c r="W43" s="27"/>
      <c r="X43" s="27"/>
      <c r="Y43" s="27"/>
      <c r="Z43" s="27"/>
      <c r="AA43" s="27"/>
      <c r="AB43" s="27"/>
      <c r="AC43" s="27"/>
      <c r="AD43" s="27"/>
      <c r="AE43" s="27"/>
      <c r="AF43" s="27"/>
      <c r="AG43" s="27"/>
      <c r="AH43" s="27"/>
      <c r="AI43" s="27"/>
      <c r="AJ43" s="27"/>
      <c r="AK43" s="27"/>
    </row>
    <row r="44" spans="1:37" s="30" customFormat="1" ht="19.5" customHeight="1" x14ac:dyDescent="0.25">
      <c r="A44"/>
      <c r="B44" s="19">
        <f t="shared" si="7"/>
        <v>39</v>
      </c>
      <c r="C44" s="20" t="s">
        <v>66</v>
      </c>
      <c r="D44" s="20" t="s">
        <v>30</v>
      </c>
      <c r="E44" s="21">
        <v>46235</v>
      </c>
      <c r="F44" s="21">
        <v>46387</v>
      </c>
      <c r="G44" s="22">
        <f t="shared" si="0"/>
        <v>0</v>
      </c>
      <c r="H44" s="23">
        <f>VLOOKUP(G44,Hoja5!$A$3:$B$38,2,0)</f>
        <v>12</v>
      </c>
      <c r="I44" s="24">
        <v>404.18</v>
      </c>
      <c r="J44" s="24">
        <f t="shared" si="4"/>
        <v>12293.781387999999</v>
      </c>
      <c r="K44" s="25">
        <f t="shared" si="5"/>
        <v>101.045</v>
      </c>
      <c r="L44" s="25">
        <f t="shared" si="12"/>
        <v>172.81499999999997</v>
      </c>
      <c r="M44" s="25">
        <f t="shared" si="9"/>
        <v>202.09</v>
      </c>
      <c r="N44" s="25">
        <f t="shared" si="6"/>
        <v>512.24089116666664</v>
      </c>
      <c r="O44" s="25">
        <f t="shared" si="1"/>
        <v>13281.972279166666</v>
      </c>
      <c r="P44" s="26">
        <v>941.4451200000002</v>
      </c>
      <c r="Q44" s="26">
        <v>588.40320000000008</v>
      </c>
      <c r="R44" s="26">
        <v>2114.8155000000002</v>
      </c>
      <c r="S44" s="26">
        <f t="shared" si="2"/>
        <v>531.27889116666665</v>
      </c>
      <c r="T44" s="26">
        <f t="shared" si="3"/>
        <v>4175.9427111666673</v>
      </c>
      <c r="U44" s="29">
        <f>SUM(U6:U43)</f>
        <v>0</v>
      </c>
      <c r="V44" s="28">
        <v>2000</v>
      </c>
      <c r="W44" s="29"/>
      <c r="X44" s="29"/>
      <c r="Y44" s="29"/>
      <c r="Z44" s="29"/>
      <c r="AA44" s="29"/>
      <c r="AB44" s="29"/>
      <c r="AC44" s="29"/>
      <c r="AD44" s="29"/>
      <c r="AE44" s="29"/>
      <c r="AF44" s="29"/>
      <c r="AG44" s="29"/>
      <c r="AH44" s="29"/>
      <c r="AI44" s="29"/>
      <c r="AJ44" s="29"/>
      <c r="AK44" s="29"/>
    </row>
    <row r="45" spans="1:37" ht="19.5" customHeight="1" x14ac:dyDescent="0.25">
      <c r="B45" s="19">
        <f t="shared" si="7"/>
        <v>40</v>
      </c>
      <c r="C45" s="20" t="s">
        <v>67</v>
      </c>
      <c r="D45" s="20" t="s">
        <v>25</v>
      </c>
      <c r="E45" s="21">
        <v>46235</v>
      </c>
      <c r="F45" s="21">
        <v>46387</v>
      </c>
      <c r="G45" s="22">
        <f t="shared" si="0"/>
        <v>0</v>
      </c>
      <c r="H45" s="23">
        <f>VLOOKUP(G45,Hoja5!$A$3:$B$38,2,0)</f>
        <v>12</v>
      </c>
      <c r="I45" s="24">
        <v>345.63</v>
      </c>
      <c r="J45" s="24">
        <f t="shared" si="4"/>
        <v>10512.889458</v>
      </c>
      <c r="K45" s="25">
        <f t="shared" si="5"/>
        <v>86.407499999999985</v>
      </c>
      <c r="L45" s="25">
        <f t="shared" si="12"/>
        <v>224.73570000000004</v>
      </c>
      <c r="M45" s="25">
        <f t="shared" si="9"/>
        <v>172.815</v>
      </c>
      <c r="N45" s="25">
        <f t="shared" si="6"/>
        <v>438.03706074999997</v>
      </c>
      <c r="O45" s="25">
        <f t="shared" si="1"/>
        <v>11434.88471875</v>
      </c>
      <c r="P45" s="26">
        <v>941.4451200000002</v>
      </c>
      <c r="Q45" s="26">
        <v>588.40320000000008</v>
      </c>
      <c r="R45" s="26">
        <v>2114.8155000000002</v>
      </c>
      <c r="S45" s="26">
        <f t="shared" si="2"/>
        <v>457.39538875</v>
      </c>
      <c r="T45" s="26">
        <f t="shared" si="3"/>
        <v>4102.0592087500008</v>
      </c>
      <c r="U45" s="31"/>
      <c r="V45" s="28">
        <v>2000</v>
      </c>
      <c r="W45" s="31"/>
      <c r="X45" s="31"/>
      <c r="Y45" s="31"/>
      <c r="Z45" s="31"/>
      <c r="AA45" s="31"/>
      <c r="AB45" s="31"/>
      <c r="AC45" s="31"/>
      <c r="AD45" s="31"/>
      <c r="AE45" s="31"/>
      <c r="AF45" s="31"/>
      <c r="AG45" s="31"/>
      <c r="AH45" s="31"/>
      <c r="AI45" s="31"/>
      <c r="AJ45" s="31"/>
      <c r="AK45" s="31"/>
    </row>
    <row r="46" spans="1:37" ht="19.5" customHeight="1" x14ac:dyDescent="0.25">
      <c r="B46" s="19">
        <f t="shared" si="7"/>
        <v>41</v>
      </c>
      <c r="C46" s="20" t="s">
        <v>68</v>
      </c>
      <c r="D46" s="20" t="s">
        <v>25</v>
      </c>
      <c r="E46" s="21">
        <v>46238</v>
      </c>
      <c r="F46" s="21">
        <v>46387</v>
      </c>
      <c r="G46" s="22">
        <f t="shared" si="0"/>
        <v>0</v>
      </c>
      <c r="H46" s="23">
        <f>VLOOKUP(G46,Hoja5!$A$3:$B$38,2,0)</f>
        <v>12</v>
      </c>
      <c r="I46" s="24">
        <v>345.63</v>
      </c>
      <c r="J46" s="24">
        <f t="shared" si="4"/>
        <v>10512.889458</v>
      </c>
      <c r="K46" s="25">
        <f t="shared" si="5"/>
        <v>86.407499999999985</v>
      </c>
      <c r="L46" s="25">
        <f t="shared" si="12"/>
        <v>206.5</v>
      </c>
      <c r="M46" s="25">
        <f t="shared" si="9"/>
        <v>172.815</v>
      </c>
      <c r="N46" s="25">
        <f t="shared" si="6"/>
        <v>438.03706074999997</v>
      </c>
      <c r="O46" s="25">
        <f t="shared" si="1"/>
        <v>11416.64901875</v>
      </c>
      <c r="P46" s="26">
        <v>1894.2</v>
      </c>
      <c r="Q46" s="26">
        <v>1183.875</v>
      </c>
      <c r="R46" s="26">
        <v>3062.85</v>
      </c>
      <c r="S46" s="26">
        <f t="shared" si="2"/>
        <v>456.66596075000001</v>
      </c>
      <c r="T46" s="26">
        <f t="shared" si="3"/>
        <v>6597.5909607499989</v>
      </c>
      <c r="U46" s="31"/>
      <c r="V46" s="28">
        <v>2000</v>
      </c>
      <c r="W46" s="31"/>
      <c r="X46" s="31"/>
      <c r="Y46" s="31"/>
      <c r="Z46" s="31"/>
      <c r="AA46" s="31"/>
      <c r="AB46" s="31"/>
      <c r="AC46" s="31"/>
      <c r="AD46" s="31"/>
      <c r="AE46" s="31"/>
      <c r="AF46" s="31"/>
      <c r="AG46" s="31"/>
      <c r="AH46" s="31"/>
      <c r="AI46" s="31"/>
      <c r="AJ46" s="31"/>
      <c r="AK46" s="31"/>
    </row>
    <row r="47" spans="1:37" ht="19.5" customHeight="1" x14ac:dyDescent="0.25">
      <c r="B47" s="19">
        <f t="shared" si="7"/>
        <v>42</v>
      </c>
      <c r="C47" s="20" t="s">
        <v>69</v>
      </c>
      <c r="D47" s="20" t="s">
        <v>37</v>
      </c>
      <c r="E47" s="21">
        <v>46237</v>
      </c>
      <c r="F47" s="21">
        <v>46387</v>
      </c>
      <c r="G47" s="22">
        <f t="shared" si="0"/>
        <v>0</v>
      </c>
      <c r="H47" s="23">
        <f>VLOOKUP(G47,Hoja5!$A$3:$B$38,2,0)</f>
        <v>12</v>
      </c>
      <c r="I47" s="24">
        <v>345.63</v>
      </c>
      <c r="J47" s="24">
        <f t="shared" si="4"/>
        <v>10512.889458</v>
      </c>
      <c r="K47" s="25">
        <f t="shared" si="5"/>
        <v>86.407499999999985</v>
      </c>
      <c r="L47" s="25">
        <f t="shared" si="12"/>
        <v>181.48089999999999</v>
      </c>
      <c r="M47" s="25">
        <f t="shared" si="9"/>
        <v>172.815</v>
      </c>
      <c r="N47" s="25">
        <f t="shared" si="6"/>
        <v>438.03706074999997</v>
      </c>
      <c r="O47" s="25">
        <f t="shared" si="1"/>
        <v>11391.629918750001</v>
      </c>
      <c r="P47" s="26">
        <v>1894.2</v>
      </c>
      <c r="Q47" s="26">
        <v>1183.875</v>
      </c>
      <c r="R47" s="26">
        <v>3062.85</v>
      </c>
      <c r="S47" s="26">
        <f t="shared" si="2"/>
        <v>455.66519674999995</v>
      </c>
      <c r="T47" s="26">
        <f t="shared" si="3"/>
        <v>6596.5901967499994</v>
      </c>
      <c r="U47" s="31"/>
      <c r="V47" s="28">
        <v>2000</v>
      </c>
      <c r="W47" s="31"/>
      <c r="X47" s="31"/>
      <c r="Y47" s="31"/>
      <c r="Z47" s="31"/>
      <c r="AA47" s="31"/>
      <c r="AB47" s="31"/>
      <c r="AC47" s="31"/>
      <c r="AD47" s="31"/>
      <c r="AE47" s="31"/>
      <c r="AF47" s="31"/>
      <c r="AG47" s="31"/>
      <c r="AH47" s="31"/>
      <c r="AI47" s="31"/>
      <c r="AJ47" s="31"/>
      <c r="AK47" s="31"/>
    </row>
    <row r="48" spans="1:37" ht="19.5" customHeight="1" x14ac:dyDescent="0.25">
      <c r="B48" s="19">
        <f t="shared" si="7"/>
        <v>43</v>
      </c>
      <c r="C48" s="20" t="s">
        <v>70</v>
      </c>
      <c r="D48" s="20" t="s">
        <v>25</v>
      </c>
      <c r="E48" s="21">
        <v>46239</v>
      </c>
      <c r="F48" s="21">
        <v>46387</v>
      </c>
      <c r="G48" s="22">
        <f t="shared" si="0"/>
        <v>0</v>
      </c>
      <c r="H48" s="23">
        <f>VLOOKUP(G48,Hoja5!$A$3:$B$38,2,0)</f>
        <v>12</v>
      </c>
      <c r="I48" s="24">
        <v>345.63</v>
      </c>
      <c r="J48" s="24">
        <f t="shared" si="4"/>
        <v>10512.889458</v>
      </c>
      <c r="K48" s="25">
        <f t="shared" si="5"/>
        <v>86.407499999999985</v>
      </c>
      <c r="L48" s="25">
        <f t="shared" si="12"/>
        <v>191.62</v>
      </c>
      <c r="M48" s="25">
        <f t="shared" si="9"/>
        <v>172.815</v>
      </c>
      <c r="N48" s="25">
        <f t="shared" si="6"/>
        <v>438.03706074999997</v>
      </c>
      <c r="O48" s="25">
        <f t="shared" si="1"/>
        <v>11401.769018750001</v>
      </c>
      <c r="P48" s="26">
        <v>1894.2</v>
      </c>
      <c r="Q48" s="26">
        <v>1183.875</v>
      </c>
      <c r="R48" s="26">
        <v>3062.85</v>
      </c>
      <c r="S48" s="26">
        <f t="shared" si="2"/>
        <v>456.07076074999998</v>
      </c>
      <c r="T48" s="26">
        <f t="shared" si="3"/>
        <v>6596.9957607499991</v>
      </c>
      <c r="U48" s="31"/>
      <c r="V48" s="28">
        <v>2000</v>
      </c>
      <c r="W48" s="31"/>
      <c r="X48" s="31"/>
      <c r="Y48" s="31"/>
      <c r="Z48" s="31"/>
      <c r="AA48" s="31"/>
      <c r="AB48" s="31"/>
      <c r="AC48" s="31"/>
      <c r="AD48" s="31"/>
      <c r="AE48" s="31"/>
      <c r="AF48" s="31"/>
      <c r="AG48" s="31"/>
      <c r="AH48" s="31"/>
      <c r="AI48" s="31"/>
      <c r="AJ48" s="31"/>
      <c r="AK48" s="31"/>
    </row>
    <row r="49" spans="2:37" ht="19.5" customHeight="1" x14ac:dyDescent="0.25">
      <c r="B49" s="19">
        <f t="shared" si="7"/>
        <v>44</v>
      </c>
      <c r="C49" s="20" t="s">
        <v>71</v>
      </c>
      <c r="D49" s="20" t="s">
        <v>71</v>
      </c>
      <c r="E49" s="21">
        <v>46022</v>
      </c>
      <c r="F49" s="21">
        <v>46387</v>
      </c>
      <c r="G49" s="22">
        <v>0</v>
      </c>
      <c r="H49" s="23">
        <f>VLOOKUP(G49,Hoja5!$A$3:$B$38,2,0)</f>
        <v>12</v>
      </c>
      <c r="I49" s="24">
        <v>345.63</v>
      </c>
      <c r="J49" s="24">
        <f t="shared" si="4"/>
        <v>10512.889458</v>
      </c>
      <c r="K49" s="25">
        <f t="shared" si="5"/>
        <v>86.407499999999985</v>
      </c>
      <c r="L49" s="25">
        <f t="shared" si="12"/>
        <v>191.62</v>
      </c>
      <c r="M49" s="25">
        <f t="shared" si="9"/>
        <v>172.815</v>
      </c>
      <c r="N49" s="25">
        <f t="shared" si="6"/>
        <v>438.03706074999997</v>
      </c>
      <c r="O49" s="25">
        <f t="shared" si="1"/>
        <v>11401.769018750001</v>
      </c>
      <c r="P49" s="26">
        <v>1894.2</v>
      </c>
      <c r="Q49" s="26">
        <v>1183.875</v>
      </c>
      <c r="R49" s="26">
        <v>3062.85</v>
      </c>
      <c r="S49" s="26">
        <f t="shared" si="2"/>
        <v>456.07076074999998</v>
      </c>
      <c r="T49" s="26">
        <f t="shared" si="3"/>
        <v>6596.9957607499991</v>
      </c>
      <c r="U49" s="31"/>
      <c r="V49" s="28">
        <v>2000</v>
      </c>
      <c r="W49" s="31"/>
      <c r="X49" s="31"/>
      <c r="Y49" s="31"/>
      <c r="Z49" s="31"/>
      <c r="AA49" s="31"/>
      <c r="AB49" s="31"/>
      <c r="AC49" s="31"/>
      <c r="AD49" s="31"/>
      <c r="AE49" s="31"/>
      <c r="AF49" s="31"/>
      <c r="AG49" s="31"/>
      <c r="AH49" s="31"/>
      <c r="AI49" s="31"/>
      <c r="AJ49" s="31"/>
      <c r="AK49" s="31"/>
    </row>
    <row r="50" spans="2:37" ht="19.5" customHeight="1" x14ac:dyDescent="0.25">
      <c r="B50" s="19">
        <f t="shared" si="7"/>
        <v>45</v>
      </c>
      <c r="C50" s="20" t="s">
        <v>71</v>
      </c>
      <c r="D50" s="20" t="s">
        <v>71</v>
      </c>
      <c r="E50" s="21">
        <v>46022</v>
      </c>
      <c r="F50" s="21">
        <v>46387</v>
      </c>
      <c r="G50" s="22">
        <v>0</v>
      </c>
      <c r="H50" s="23">
        <f>VLOOKUP(G50,Hoja5!$A$3:$B$38,2,0)</f>
        <v>12</v>
      </c>
      <c r="I50" s="24">
        <v>345.63</v>
      </c>
      <c r="J50" s="24">
        <f t="shared" si="4"/>
        <v>10512.889458</v>
      </c>
      <c r="K50" s="25">
        <f t="shared" si="5"/>
        <v>86.407499999999985</v>
      </c>
      <c r="L50" s="25">
        <f t="shared" si="12"/>
        <v>527.65769999999998</v>
      </c>
      <c r="M50" s="25">
        <f t="shared" si="9"/>
        <v>172.815</v>
      </c>
      <c r="N50" s="25">
        <f t="shared" si="6"/>
        <v>438.03706074999997</v>
      </c>
      <c r="O50" s="25">
        <f t="shared" si="1"/>
        <v>11737.80671875</v>
      </c>
      <c r="P50" s="26">
        <v>1894.2</v>
      </c>
      <c r="Q50" s="26">
        <v>1183.875</v>
      </c>
      <c r="R50" s="26">
        <v>3062.85</v>
      </c>
      <c r="S50" s="26">
        <f t="shared" si="2"/>
        <v>469.51226875000003</v>
      </c>
      <c r="T50" s="26">
        <f t="shared" si="3"/>
        <v>6610.437268749999</v>
      </c>
      <c r="U50" s="31"/>
      <c r="V50" s="28">
        <v>2000</v>
      </c>
      <c r="W50" s="31"/>
      <c r="X50" s="31"/>
      <c r="Y50" s="31"/>
      <c r="Z50" s="31"/>
      <c r="AA50" s="31"/>
      <c r="AB50" s="31"/>
      <c r="AC50" s="31"/>
      <c r="AD50" s="31"/>
      <c r="AE50" s="31"/>
      <c r="AF50" s="31"/>
      <c r="AG50" s="31"/>
      <c r="AH50" s="31"/>
      <c r="AI50" s="31"/>
      <c r="AJ50" s="31"/>
      <c r="AK50" s="31"/>
    </row>
    <row r="51" spans="2:37" ht="19.5" customHeight="1" x14ac:dyDescent="0.25">
      <c r="C51" s="20"/>
      <c r="D51" s="32"/>
      <c r="E51" s="32"/>
      <c r="F51" s="32"/>
      <c r="G51" s="32"/>
      <c r="H51" s="32"/>
      <c r="I51" s="3"/>
      <c r="J51" s="33">
        <f>SUM(J6:J50)</f>
        <v>632049.83355725987</v>
      </c>
      <c r="K51" s="33">
        <f t="shared" ref="K51:V51" si="13">SUM(K6:K50)</f>
        <v>6368.7199833333361</v>
      </c>
      <c r="L51" s="33">
        <f t="shared" si="13"/>
        <v>9440.2162500000013</v>
      </c>
      <c r="M51" s="33">
        <f t="shared" si="13"/>
        <v>9066.2061999999987</v>
      </c>
      <c r="N51" s="33">
        <f t="shared" si="13"/>
        <v>26335.409731552514</v>
      </c>
      <c r="O51" s="33">
        <f t="shared" si="13"/>
        <v>683260.3857221459</v>
      </c>
      <c r="P51" s="33">
        <f t="shared" si="13"/>
        <v>86628.437279999998</v>
      </c>
      <c r="Q51" s="33">
        <f t="shared" si="13"/>
        <v>54142.773299999986</v>
      </c>
      <c r="R51" s="33">
        <f t="shared" si="13"/>
        <v>136050.22199999998</v>
      </c>
      <c r="S51" s="33">
        <f t="shared" si="13"/>
        <v>27330.415428885837</v>
      </c>
      <c r="T51" s="33">
        <f t="shared" si="13"/>
        <v>304151.84800888598</v>
      </c>
      <c r="U51" s="33">
        <f t="shared" si="13"/>
        <v>0</v>
      </c>
      <c r="V51" s="33">
        <f t="shared" si="13"/>
        <v>90000</v>
      </c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</row>
    <row r="52" spans="2:37" ht="19.5" customHeight="1" x14ac:dyDescent="0.25">
      <c r="B52" s="2"/>
      <c r="C52" s="2"/>
      <c r="D52" s="32"/>
      <c r="E52" s="32"/>
      <c r="F52" s="32"/>
      <c r="G52" s="32"/>
      <c r="H52" s="32"/>
      <c r="I52" s="34"/>
      <c r="J52" s="35"/>
      <c r="K52" s="35"/>
      <c r="L52" s="35"/>
      <c r="M52" s="3"/>
      <c r="N52" s="35"/>
      <c r="O52" s="3"/>
      <c r="P52" s="3"/>
      <c r="Q52" s="3"/>
      <c r="R52" s="3"/>
      <c r="S52" s="3"/>
      <c r="T52" s="3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</row>
    <row r="53" spans="2:37" ht="19.5" customHeight="1" x14ac:dyDescent="0.25">
      <c r="B53" s="1"/>
      <c r="C53" s="2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</row>
    <row r="54" spans="2:37" ht="19.5" customHeight="1" x14ac:dyDescent="0.25">
      <c r="B54" s="1"/>
      <c r="C54" s="2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</row>
    <row r="55" spans="2:37" ht="19.5" customHeight="1" x14ac:dyDescent="0.25">
      <c r="B55" s="1"/>
      <c r="C55" s="2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</row>
    <row r="56" spans="2:37" ht="19.5" customHeight="1" x14ac:dyDescent="0.25">
      <c r="B56" s="1"/>
      <c r="C56" s="2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</row>
    <row r="57" spans="2:37" ht="19.5" customHeight="1" x14ac:dyDescent="0.25">
      <c r="B57" s="1"/>
      <c r="C57" s="2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</row>
    <row r="58" spans="2:37" ht="19.5" customHeight="1" x14ac:dyDescent="0.25">
      <c r="B58" s="1"/>
      <c r="C58" s="2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</row>
    <row r="59" spans="2:37" ht="19.5" customHeight="1" x14ac:dyDescent="0.25">
      <c r="B59" s="1"/>
      <c r="C59" s="2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</row>
    <row r="60" spans="2:37" ht="19.5" customHeight="1" x14ac:dyDescent="0.25">
      <c r="B60" s="1"/>
      <c r="C60" s="2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</row>
    <row r="61" spans="2:37" ht="19.5" customHeight="1" x14ac:dyDescent="0.25">
      <c r="B61" s="1"/>
      <c r="C61" s="2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</row>
    <row r="62" spans="2:37" ht="19.5" customHeight="1" x14ac:dyDescent="0.25">
      <c r="B62" s="1"/>
      <c r="C62" s="2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</row>
    <row r="63" spans="2:37" ht="19.5" customHeight="1" x14ac:dyDescent="0.25">
      <c r="B63" s="1"/>
      <c r="C63" s="2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</row>
    <row r="64" spans="2:37" ht="19.5" customHeight="1" x14ac:dyDescent="0.25">
      <c r="B64" s="1"/>
      <c r="C64" s="2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</row>
    <row r="65" spans="2:37" ht="19.5" customHeight="1" x14ac:dyDescent="0.25">
      <c r="B65" s="1"/>
      <c r="C65" s="2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</row>
    <row r="66" spans="2:37" ht="19.5" customHeight="1" x14ac:dyDescent="0.25">
      <c r="B66" s="1"/>
      <c r="C66" s="2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</row>
    <row r="67" spans="2:37" ht="19.5" customHeight="1" x14ac:dyDescent="0.25">
      <c r="B67" s="1"/>
      <c r="C67" s="2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</row>
    <row r="68" spans="2:37" ht="19.5" customHeight="1" x14ac:dyDescent="0.25">
      <c r="B68" s="1"/>
      <c r="C68" s="2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</row>
    <row r="69" spans="2:37" ht="19.5" customHeight="1" x14ac:dyDescent="0.25">
      <c r="B69" s="1"/>
      <c r="C69" s="2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</row>
    <row r="70" spans="2:37" ht="19.5" customHeight="1" x14ac:dyDescent="0.25">
      <c r="B70" s="1"/>
      <c r="C70" s="2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</row>
    <row r="71" spans="2:37" ht="19.5" customHeight="1" x14ac:dyDescent="0.25">
      <c r="B71" s="1"/>
      <c r="C71" s="2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</row>
    <row r="72" spans="2:37" ht="19.5" customHeight="1" x14ac:dyDescent="0.25">
      <c r="B72" s="1"/>
      <c r="C72" s="2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</row>
    <row r="73" spans="2:37" ht="19.5" customHeight="1" x14ac:dyDescent="0.25">
      <c r="B73" s="1"/>
      <c r="C73" s="2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</row>
    <row r="74" spans="2:37" ht="19.5" customHeight="1" x14ac:dyDescent="0.25">
      <c r="B74" s="1"/>
      <c r="C74" s="2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</row>
    <row r="75" spans="2:37" ht="19.5" customHeight="1" x14ac:dyDescent="0.25">
      <c r="B75" s="1"/>
      <c r="C75" s="2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</row>
    <row r="76" spans="2:37" ht="19.5" customHeight="1" x14ac:dyDescent="0.25">
      <c r="B76" s="1"/>
      <c r="C76" s="2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</row>
    <row r="77" spans="2:37" ht="19.5" customHeight="1" x14ac:dyDescent="0.25">
      <c r="B77" s="1"/>
      <c r="C77" s="2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</row>
    <row r="78" spans="2:37" ht="19.5" customHeight="1" x14ac:dyDescent="0.25">
      <c r="B78" s="1"/>
      <c r="C78" s="2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</row>
    <row r="79" spans="2:37" ht="19.5" customHeight="1" x14ac:dyDescent="0.25">
      <c r="B79" s="1"/>
      <c r="C79" s="2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</row>
    <row r="80" spans="2:37" ht="19.5" customHeight="1" x14ac:dyDescent="0.25">
      <c r="B80" s="1"/>
      <c r="C80" s="2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</row>
    <row r="81" spans="2:37" ht="19.5" customHeight="1" x14ac:dyDescent="0.25">
      <c r="B81" s="1"/>
      <c r="C81" s="2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</row>
    <row r="82" spans="2:37" ht="19.5" customHeight="1" x14ac:dyDescent="0.25">
      <c r="B82" s="1"/>
      <c r="C82" s="2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</row>
    <row r="83" spans="2:37" ht="19.5" customHeight="1" x14ac:dyDescent="0.25">
      <c r="B83" s="1"/>
      <c r="C83" s="2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</row>
    <row r="84" spans="2:37" ht="19.5" customHeight="1" x14ac:dyDescent="0.25">
      <c r="B84" s="1"/>
      <c r="C84" s="2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</row>
    <row r="85" spans="2:37" ht="19.5" customHeight="1" x14ac:dyDescent="0.25">
      <c r="B85" s="1"/>
      <c r="C85" s="2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</row>
    <row r="86" spans="2:37" ht="19.5" customHeight="1" x14ac:dyDescent="0.25">
      <c r="B86" s="1"/>
      <c r="C86" s="2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</row>
    <row r="87" spans="2:37" ht="19.5" customHeight="1" x14ac:dyDescent="0.25">
      <c r="B87" s="1"/>
      <c r="C87" s="2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</row>
    <row r="88" spans="2:37" ht="19.5" customHeight="1" x14ac:dyDescent="0.25">
      <c r="B88" s="1"/>
      <c r="C88" s="2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</row>
    <row r="89" spans="2:37" ht="19.5" customHeight="1" x14ac:dyDescent="0.25">
      <c r="B89" s="1"/>
      <c r="C89" s="2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</row>
    <row r="90" spans="2:37" ht="19.5" customHeight="1" x14ac:dyDescent="0.25">
      <c r="B90" s="1"/>
      <c r="C90" s="2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</row>
    <row r="91" spans="2:37" ht="19.5" customHeight="1" x14ac:dyDescent="0.25">
      <c r="B91" s="1"/>
      <c r="C91" s="2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</row>
    <row r="92" spans="2:37" ht="19.5" customHeight="1" x14ac:dyDescent="0.25">
      <c r="B92" s="1"/>
      <c r="C92" s="2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</row>
    <row r="93" spans="2:37" ht="19.5" customHeight="1" x14ac:dyDescent="0.25">
      <c r="B93" s="1"/>
      <c r="C93" s="2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</row>
    <row r="94" spans="2:37" ht="19.5" customHeight="1" x14ac:dyDescent="0.25">
      <c r="B94" s="1"/>
      <c r="C94" s="2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</row>
    <row r="95" spans="2:37" ht="19.5" customHeight="1" x14ac:dyDescent="0.25">
      <c r="B95" s="1"/>
      <c r="C95" s="2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</row>
    <row r="96" spans="2:37" ht="19.5" customHeight="1" x14ac:dyDescent="0.25">
      <c r="B96" s="1"/>
      <c r="C96" s="2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</row>
    <row r="97" spans="2:37" ht="19.5" customHeight="1" x14ac:dyDescent="0.25">
      <c r="B97" s="1"/>
      <c r="C97" s="2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</row>
    <row r="98" spans="2:37" ht="19.5" customHeight="1" x14ac:dyDescent="0.25">
      <c r="B98" s="1"/>
      <c r="C98" s="2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</row>
    <row r="99" spans="2:37" ht="19.5" customHeight="1" x14ac:dyDescent="0.25">
      <c r="B99" s="1"/>
      <c r="C99" s="2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</row>
    <row r="100" spans="2:37" ht="19.5" customHeight="1" x14ac:dyDescent="0.25">
      <c r="B100" s="1"/>
      <c r="C100" s="2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</row>
    <row r="101" spans="2:37" ht="19.5" customHeight="1" x14ac:dyDescent="0.25">
      <c r="B101" s="1"/>
      <c r="C101" s="2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</row>
    <row r="102" spans="2:37" ht="19.5" customHeight="1" x14ac:dyDescent="0.25">
      <c r="B102" s="1"/>
      <c r="C102" s="2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</row>
    <row r="103" spans="2:37" ht="19.5" customHeight="1" x14ac:dyDescent="0.25">
      <c r="B103" s="1"/>
      <c r="C103" s="2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</row>
    <row r="104" spans="2:37" ht="19.5" customHeight="1" x14ac:dyDescent="0.25">
      <c r="B104" s="1"/>
      <c r="C104" s="2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</row>
    <row r="105" spans="2:37" ht="19.5" customHeight="1" x14ac:dyDescent="0.25">
      <c r="B105" s="1"/>
      <c r="C105" s="2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</row>
    <row r="106" spans="2:37" ht="19.5" customHeight="1" x14ac:dyDescent="0.25">
      <c r="B106" s="1"/>
      <c r="C106" s="2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</row>
    <row r="107" spans="2:37" ht="19.5" customHeight="1" x14ac:dyDescent="0.25">
      <c r="B107" s="1"/>
      <c r="C107" s="2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</row>
    <row r="108" spans="2:37" ht="19.5" customHeight="1" x14ac:dyDescent="0.25">
      <c r="B108" s="1"/>
      <c r="C108" s="2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</row>
    <row r="109" spans="2:37" ht="19.5" customHeight="1" x14ac:dyDescent="0.25">
      <c r="B109" s="1"/>
      <c r="C109" s="2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</row>
    <row r="110" spans="2:37" ht="19.5" customHeight="1" x14ac:dyDescent="0.25">
      <c r="B110" s="1"/>
      <c r="C110" s="2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</row>
    <row r="111" spans="2:37" ht="19.5" customHeight="1" x14ac:dyDescent="0.25">
      <c r="B111" s="1"/>
      <c r="C111" s="2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</row>
    <row r="112" spans="2:37" ht="19.5" customHeight="1" x14ac:dyDescent="0.25">
      <c r="B112" s="1"/>
      <c r="C112" s="2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</row>
    <row r="113" spans="2:37" ht="19.5" customHeight="1" x14ac:dyDescent="0.25">
      <c r="B113" s="1"/>
      <c r="C113" s="2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</row>
    <row r="114" spans="2:37" ht="19.5" customHeight="1" x14ac:dyDescent="0.25">
      <c r="B114" s="1"/>
      <c r="C114" s="2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</row>
    <row r="115" spans="2:37" ht="19.5" customHeight="1" x14ac:dyDescent="0.25">
      <c r="B115" s="1"/>
      <c r="C115" s="2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</row>
    <row r="116" spans="2:37" ht="19.5" customHeight="1" x14ac:dyDescent="0.25">
      <c r="B116" s="1"/>
      <c r="C116" s="2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</row>
    <row r="117" spans="2:37" ht="19.5" customHeight="1" x14ac:dyDescent="0.25">
      <c r="B117" s="1"/>
      <c r="C117" s="2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</row>
    <row r="118" spans="2:37" ht="19.5" customHeight="1" x14ac:dyDescent="0.25">
      <c r="B118" s="1"/>
      <c r="C118" s="2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</row>
    <row r="119" spans="2:37" ht="19.5" customHeight="1" x14ac:dyDescent="0.25">
      <c r="B119" s="1"/>
      <c r="C119" s="2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</row>
    <row r="120" spans="2:37" ht="19.5" customHeight="1" x14ac:dyDescent="0.25">
      <c r="B120" s="1"/>
      <c r="C120" s="2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</row>
    <row r="121" spans="2:37" ht="19.5" customHeight="1" x14ac:dyDescent="0.25">
      <c r="B121" s="1"/>
      <c r="C121" s="2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</row>
    <row r="122" spans="2:37" ht="19.5" customHeight="1" x14ac:dyDescent="0.25">
      <c r="B122" s="1"/>
      <c r="C122" s="2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</row>
    <row r="123" spans="2:37" ht="19.5" customHeight="1" x14ac:dyDescent="0.25">
      <c r="B123" s="1"/>
      <c r="C123" s="2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</row>
    <row r="124" spans="2:37" ht="19.5" customHeight="1" x14ac:dyDescent="0.25">
      <c r="B124" s="1"/>
      <c r="C124" s="2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</row>
    <row r="125" spans="2:37" ht="19.5" customHeight="1" x14ac:dyDescent="0.25">
      <c r="B125" s="1"/>
      <c r="C125" s="2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</row>
    <row r="126" spans="2:37" ht="19.5" customHeight="1" x14ac:dyDescent="0.25">
      <c r="B126" s="1"/>
      <c r="C126" s="2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</row>
    <row r="127" spans="2:37" ht="19.5" customHeight="1" x14ac:dyDescent="0.25">
      <c r="B127" s="1"/>
      <c r="C127" s="2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</row>
    <row r="128" spans="2:37" ht="19.5" customHeight="1" x14ac:dyDescent="0.25">
      <c r="B128" s="1"/>
      <c r="C128" s="2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</row>
    <row r="129" spans="2:37" ht="19.5" customHeight="1" x14ac:dyDescent="0.25">
      <c r="B129" s="1"/>
      <c r="C129" s="2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</row>
    <row r="130" spans="2:37" ht="19.5" customHeight="1" x14ac:dyDescent="0.25">
      <c r="B130" s="1"/>
      <c r="C130" s="2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</row>
    <row r="131" spans="2:37" ht="19.5" customHeight="1" x14ac:dyDescent="0.25">
      <c r="B131" s="1"/>
      <c r="C131" s="2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</row>
    <row r="132" spans="2:37" ht="19.5" customHeight="1" x14ac:dyDescent="0.25">
      <c r="B132" s="1"/>
      <c r="C132" s="2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</row>
    <row r="133" spans="2:37" ht="19.5" customHeight="1" x14ac:dyDescent="0.25">
      <c r="B133" s="1"/>
      <c r="C133" s="2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</row>
    <row r="134" spans="2:37" ht="19.5" customHeight="1" x14ac:dyDescent="0.25">
      <c r="B134" s="1"/>
      <c r="C134" s="2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</row>
    <row r="135" spans="2:37" ht="19.5" customHeight="1" x14ac:dyDescent="0.25">
      <c r="B135" s="1"/>
      <c r="C135" s="2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</row>
    <row r="136" spans="2:37" ht="19.5" customHeight="1" x14ac:dyDescent="0.25">
      <c r="B136" s="1"/>
      <c r="C136" s="2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</row>
    <row r="137" spans="2:37" ht="19.5" customHeight="1" x14ac:dyDescent="0.25">
      <c r="B137" s="1"/>
      <c r="C137" s="2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</row>
    <row r="138" spans="2:37" ht="19.5" customHeight="1" x14ac:dyDescent="0.25">
      <c r="B138" s="1"/>
      <c r="C138" s="2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</row>
    <row r="139" spans="2:37" ht="19.5" customHeight="1" x14ac:dyDescent="0.25">
      <c r="B139" s="1"/>
      <c r="C139" s="2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</row>
    <row r="140" spans="2:37" ht="19.5" customHeight="1" x14ac:dyDescent="0.25">
      <c r="B140" s="1"/>
      <c r="C140" s="2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</row>
    <row r="141" spans="2:37" ht="19.5" customHeight="1" x14ac:dyDescent="0.25">
      <c r="B141" s="1"/>
      <c r="C141" s="2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</row>
    <row r="142" spans="2:37" ht="19.5" customHeight="1" x14ac:dyDescent="0.25">
      <c r="B142" s="1"/>
      <c r="C142" s="2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</row>
    <row r="143" spans="2:37" ht="19.5" customHeight="1" x14ac:dyDescent="0.25">
      <c r="B143" s="1"/>
      <c r="C143" s="2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</row>
    <row r="144" spans="2:37" ht="19.5" customHeight="1" x14ac:dyDescent="0.25">
      <c r="B144" s="1"/>
      <c r="C144" s="2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</row>
    <row r="145" spans="2:37" ht="19.5" customHeight="1" x14ac:dyDescent="0.25">
      <c r="B145" s="1"/>
      <c r="C145" s="2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</row>
    <row r="146" spans="2:37" ht="19.5" customHeight="1" x14ac:dyDescent="0.25">
      <c r="B146" s="1"/>
      <c r="C146" s="2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</row>
    <row r="147" spans="2:37" ht="19.5" customHeight="1" x14ac:dyDescent="0.25">
      <c r="B147" s="1"/>
      <c r="C147" s="2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</row>
    <row r="148" spans="2:37" ht="19.5" customHeight="1" x14ac:dyDescent="0.25">
      <c r="B148" s="1"/>
      <c r="C148" s="2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</row>
    <row r="149" spans="2:37" ht="19.5" customHeight="1" x14ac:dyDescent="0.25">
      <c r="B149" s="1"/>
      <c r="C149" s="2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</row>
    <row r="150" spans="2:37" ht="19.5" customHeight="1" x14ac:dyDescent="0.25">
      <c r="B150" s="1"/>
      <c r="C150" s="2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</row>
    <row r="151" spans="2:37" ht="19.5" customHeight="1" x14ac:dyDescent="0.25">
      <c r="B151" s="1"/>
      <c r="C151" s="2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</row>
    <row r="152" spans="2:37" ht="19.5" customHeight="1" x14ac:dyDescent="0.25">
      <c r="B152" s="1"/>
      <c r="C152" s="2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</row>
    <row r="153" spans="2:37" ht="19.5" customHeight="1" x14ac:dyDescent="0.25">
      <c r="B153" s="1"/>
      <c r="C153" s="2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</row>
    <row r="154" spans="2:37" ht="19.5" customHeight="1" x14ac:dyDescent="0.25">
      <c r="B154" s="1"/>
      <c r="C154" s="2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</row>
    <row r="155" spans="2:37" ht="19.5" customHeight="1" x14ac:dyDescent="0.25">
      <c r="B155" s="1"/>
      <c r="C155" s="2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</row>
    <row r="156" spans="2:37" ht="19.5" customHeight="1" x14ac:dyDescent="0.25">
      <c r="B156" s="1"/>
      <c r="C156" s="2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</row>
    <row r="157" spans="2:37" ht="19.5" customHeight="1" x14ac:dyDescent="0.25">
      <c r="B157" s="1"/>
      <c r="C157" s="2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</row>
    <row r="158" spans="2:37" ht="19.5" customHeight="1" x14ac:dyDescent="0.25">
      <c r="B158" s="1"/>
      <c r="C158" s="2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</row>
    <row r="159" spans="2:37" ht="19.5" customHeight="1" x14ac:dyDescent="0.25">
      <c r="B159" s="1"/>
      <c r="C159" s="2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</row>
    <row r="160" spans="2:37" ht="19.5" customHeight="1" x14ac:dyDescent="0.25">
      <c r="B160" s="1"/>
      <c r="C160" s="2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</row>
    <row r="161" spans="2:37" ht="19.5" customHeight="1" x14ac:dyDescent="0.25">
      <c r="B161" s="1"/>
      <c r="C161" s="2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</row>
    <row r="162" spans="2:37" ht="19.5" customHeight="1" x14ac:dyDescent="0.25">
      <c r="B162" s="1"/>
      <c r="C162" s="2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</row>
    <row r="163" spans="2:37" ht="19.5" customHeight="1" x14ac:dyDescent="0.25">
      <c r="B163" s="1"/>
      <c r="C163" s="2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</row>
    <row r="164" spans="2:37" ht="19.5" customHeight="1" x14ac:dyDescent="0.25">
      <c r="B164" s="1"/>
      <c r="C164" s="2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</row>
    <row r="165" spans="2:37" ht="19.5" customHeight="1" x14ac:dyDescent="0.25">
      <c r="B165" s="1"/>
      <c r="C165" s="2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</row>
    <row r="166" spans="2:37" ht="19.5" customHeight="1" x14ac:dyDescent="0.25">
      <c r="B166" s="1"/>
      <c r="C166" s="2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</row>
    <row r="167" spans="2:37" ht="19.5" customHeight="1" x14ac:dyDescent="0.25">
      <c r="B167" s="1"/>
      <c r="C167" s="2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</row>
    <row r="168" spans="2:37" ht="19.5" customHeight="1" x14ac:dyDescent="0.25">
      <c r="B168" s="1"/>
      <c r="C168" s="2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</row>
    <row r="169" spans="2:37" ht="19.5" customHeight="1" x14ac:dyDescent="0.25">
      <c r="B169" s="1"/>
      <c r="C169" s="2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</row>
    <row r="170" spans="2:37" ht="19.5" customHeight="1" x14ac:dyDescent="0.25">
      <c r="B170" s="1"/>
      <c r="C170" s="2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</row>
    <row r="171" spans="2:37" ht="19.5" customHeight="1" x14ac:dyDescent="0.25">
      <c r="B171" s="1"/>
      <c r="C171" s="2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</row>
    <row r="172" spans="2:37" ht="19.5" customHeight="1" x14ac:dyDescent="0.25">
      <c r="B172" s="1"/>
      <c r="C172" s="2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</row>
    <row r="173" spans="2:37" ht="19.5" customHeight="1" x14ac:dyDescent="0.25">
      <c r="B173" s="1"/>
      <c r="C173" s="2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</row>
    <row r="174" spans="2:37" ht="19.5" customHeight="1" x14ac:dyDescent="0.25">
      <c r="B174" s="1"/>
      <c r="C174" s="2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</row>
    <row r="175" spans="2:37" ht="19.5" customHeight="1" x14ac:dyDescent="0.25">
      <c r="B175" s="1"/>
      <c r="C175" s="2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</row>
    <row r="176" spans="2:37" ht="19.5" customHeight="1" x14ac:dyDescent="0.25">
      <c r="B176" s="1"/>
      <c r="C176" s="2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</row>
    <row r="177" spans="2:37" ht="19.5" customHeight="1" x14ac:dyDescent="0.25">
      <c r="B177" s="1"/>
      <c r="C177" s="2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</row>
    <row r="178" spans="2:37" ht="19.5" customHeight="1" x14ac:dyDescent="0.25">
      <c r="B178" s="1"/>
      <c r="C178" s="2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</row>
    <row r="179" spans="2:37" ht="19.5" customHeight="1" x14ac:dyDescent="0.25">
      <c r="B179" s="1"/>
      <c r="C179" s="2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</row>
    <row r="180" spans="2:37" ht="19.5" customHeight="1" x14ac:dyDescent="0.25">
      <c r="B180" s="1"/>
      <c r="C180" s="2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</row>
    <row r="181" spans="2:37" ht="19.5" customHeight="1" x14ac:dyDescent="0.25">
      <c r="B181" s="1"/>
      <c r="C181" s="2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</row>
    <row r="182" spans="2:37" ht="19.5" customHeight="1" x14ac:dyDescent="0.25">
      <c r="B182" s="1"/>
      <c r="C182" s="2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</row>
    <row r="183" spans="2:37" ht="19.5" customHeight="1" x14ac:dyDescent="0.25">
      <c r="B183" s="1"/>
      <c r="C183" s="2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</row>
    <row r="184" spans="2:37" ht="19.5" customHeight="1" x14ac:dyDescent="0.25">
      <c r="B184" s="1"/>
      <c r="C184" s="2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</row>
    <row r="185" spans="2:37" ht="19.5" customHeight="1" x14ac:dyDescent="0.25">
      <c r="B185" s="1"/>
      <c r="C185" s="2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</row>
    <row r="186" spans="2:37" ht="19.5" customHeight="1" x14ac:dyDescent="0.25">
      <c r="B186" s="1"/>
      <c r="C186" s="2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</row>
    <row r="187" spans="2:37" ht="19.5" customHeight="1" x14ac:dyDescent="0.25">
      <c r="B187" s="1"/>
      <c r="C187" s="2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</row>
    <row r="188" spans="2:37" ht="19.5" customHeight="1" x14ac:dyDescent="0.25">
      <c r="B188" s="1"/>
      <c r="C188" s="2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</row>
    <row r="189" spans="2:37" ht="19.5" customHeight="1" x14ac:dyDescent="0.25">
      <c r="B189" s="1"/>
      <c r="C189" s="2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</row>
    <row r="190" spans="2:37" ht="19.5" customHeight="1" x14ac:dyDescent="0.25">
      <c r="B190" s="1"/>
      <c r="C190" s="2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</row>
    <row r="191" spans="2:37" ht="19.5" customHeight="1" x14ac:dyDescent="0.25">
      <c r="B191" s="1"/>
      <c r="C191" s="2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</row>
    <row r="192" spans="2:37" ht="19.5" customHeight="1" x14ac:dyDescent="0.25">
      <c r="B192" s="1"/>
      <c r="C192" s="2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</row>
    <row r="193" spans="2:37" ht="19.5" customHeight="1" x14ac:dyDescent="0.25">
      <c r="B193" s="1"/>
      <c r="C193" s="2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</row>
    <row r="194" spans="2:37" ht="19.5" customHeight="1" x14ac:dyDescent="0.25">
      <c r="B194" s="1"/>
      <c r="C194" s="2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</row>
    <row r="195" spans="2:37" ht="19.5" customHeight="1" x14ac:dyDescent="0.25">
      <c r="B195" s="1"/>
      <c r="C195" s="2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</row>
    <row r="196" spans="2:37" ht="19.5" customHeight="1" x14ac:dyDescent="0.25">
      <c r="B196" s="1"/>
      <c r="C196" s="2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</row>
    <row r="197" spans="2:37" ht="19.5" customHeight="1" x14ac:dyDescent="0.25">
      <c r="B197" s="1"/>
      <c r="C197" s="2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</row>
    <row r="198" spans="2:37" ht="19.5" customHeight="1" x14ac:dyDescent="0.25">
      <c r="B198" s="1"/>
      <c r="C198" s="2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</row>
    <row r="199" spans="2:37" ht="19.5" customHeight="1" x14ac:dyDescent="0.25">
      <c r="B199" s="1"/>
      <c r="C199" s="2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</row>
    <row r="200" spans="2:37" ht="19.5" customHeight="1" x14ac:dyDescent="0.25">
      <c r="B200" s="1"/>
      <c r="C200" s="2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</row>
    <row r="201" spans="2:37" ht="19.5" customHeight="1" x14ac:dyDescent="0.25">
      <c r="B201" s="1"/>
      <c r="C201" s="2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</row>
    <row r="202" spans="2:37" ht="19.5" customHeight="1" x14ac:dyDescent="0.25">
      <c r="B202" s="1"/>
      <c r="C202" s="2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</row>
    <row r="203" spans="2:37" ht="19.5" customHeight="1" x14ac:dyDescent="0.25">
      <c r="B203" s="1"/>
      <c r="C203" s="2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</row>
    <row r="204" spans="2:37" ht="19.5" customHeight="1" x14ac:dyDescent="0.25">
      <c r="B204" s="1"/>
      <c r="C204" s="2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</row>
    <row r="205" spans="2:37" ht="12.75" customHeight="1" x14ac:dyDescent="0.25"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</row>
    <row r="206" spans="2:37" ht="12.75" customHeight="1" x14ac:dyDescent="0.25"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</row>
    <row r="207" spans="2:37" ht="12.75" customHeight="1" x14ac:dyDescent="0.25"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</row>
    <row r="208" spans="2:37" ht="12.75" customHeight="1" x14ac:dyDescent="0.25"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</row>
    <row r="209" spans="2:37" ht="12.75" customHeight="1" x14ac:dyDescent="0.25"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</row>
    <row r="210" spans="2:37" ht="12.75" customHeight="1" x14ac:dyDescent="0.25"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</row>
    <row r="211" spans="2:37" ht="12.75" customHeight="1" x14ac:dyDescent="0.25"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</row>
    <row r="212" spans="2:37" ht="12.75" customHeight="1" x14ac:dyDescent="0.25"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</row>
    <row r="213" spans="2:37" ht="12.75" customHeight="1" x14ac:dyDescent="0.25"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</row>
    <row r="214" spans="2:37" ht="12.75" customHeight="1" x14ac:dyDescent="0.25"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</row>
    <row r="215" spans="2:37" ht="12.75" customHeight="1" x14ac:dyDescent="0.25"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</row>
    <row r="216" spans="2:37" ht="12.75" customHeight="1" x14ac:dyDescent="0.25"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</row>
    <row r="217" spans="2:37" ht="12.75" customHeight="1" x14ac:dyDescent="0.25"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</row>
    <row r="218" spans="2:37" ht="12.75" customHeight="1" x14ac:dyDescent="0.25"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</row>
    <row r="219" spans="2:37" ht="12.75" customHeight="1" x14ac:dyDescent="0.25"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</row>
    <row r="220" spans="2:37" ht="12.75" customHeight="1" x14ac:dyDescent="0.25"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</row>
    <row r="221" spans="2:37" ht="12.75" customHeight="1" x14ac:dyDescent="0.25"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</row>
    <row r="222" spans="2:37" ht="12.75" customHeight="1" x14ac:dyDescent="0.25"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</row>
    <row r="223" spans="2:37" ht="12.75" customHeight="1" x14ac:dyDescent="0.25"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</row>
    <row r="224" spans="2:37" ht="12.75" customHeight="1" x14ac:dyDescent="0.25"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</row>
    <row r="225" spans="2:37" ht="12.75" customHeight="1" x14ac:dyDescent="0.25"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</row>
    <row r="226" spans="2:37" ht="12.75" customHeight="1" x14ac:dyDescent="0.25"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</row>
    <row r="227" spans="2:37" ht="12.75" customHeight="1" x14ac:dyDescent="0.25"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</row>
    <row r="228" spans="2:37" ht="12.75" customHeight="1" x14ac:dyDescent="0.25"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</row>
    <row r="229" spans="2:37" ht="12.75" customHeight="1" x14ac:dyDescent="0.25"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</row>
    <row r="230" spans="2:37" ht="12.75" customHeight="1" x14ac:dyDescent="0.25"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</row>
    <row r="231" spans="2:37" ht="12.75" customHeight="1" x14ac:dyDescent="0.25"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</row>
    <row r="232" spans="2:37" ht="12.75" customHeight="1" x14ac:dyDescent="0.25"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</row>
    <row r="233" spans="2:37" ht="12.75" customHeight="1" x14ac:dyDescent="0.25"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</row>
    <row r="234" spans="2:37" ht="12.75" customHeight="1" x14ac:dyDescent="0.25"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</row>
    <row r="235" spans="2:37" ht="12.75" customHeight="1" x14ac:dyDescent="0.25"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</row>
    <row r="236" spans="2:37" ht="12.75" customHeight="1" x14ac:dyDescent="0.25"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</row>
    <row r="237" spans="2:37" ht="12.75" customHeight="1" x14ac:dyDescent="0.25"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</row>
    <row r="238" spans="2:37" ht="12.75" customHeight="1" x14ac:dyDescent="0.25"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</row>
    <row r="239" spans="2:37" ht="12.75" customHeight="1" x14ac:dyDescent="0.25"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</row>
    <row r="240" spans="2:37" ht="12.75" customHeight="1" x14ac:dyDescent="0.25"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</row>
    <row r="241" spans="2:37" ht="12.75" customHeight="1" x14ac:dyDescent="0.25"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</row>
    <row r="242" spans="2:37" ht="12.75" customHeight="1" x14ac:dyDescent="0.25"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</row>
    <row r="243" spans="2:37" ht="12.75" customHeight="1" x14ac:dyDescent="0.25"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</row>
    <row r="244" spans="2:37" ht="12.75" customHeight="1" x14ac:dyDescent="0.25"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</row>
    <row r="245" spans="2:37" ht="12.75" customHeight="1" x14ac:dyDescent="0.25"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</row>
    <row r="246" spans="2:37" ht="12.75" customHeight="1" x14ac:dyDescent="0.25"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</row>
    <row r="247" spans="2:37" ht="12.75" customHeight="1" x14ac:dyDescent="0.25"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</row>
    <row r="248" spans="2:37" ht="12.75" customHeight="1" x14ac:dyDescent="0.25"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</row>
    <row r="249" spans="2:37" ht="12.75" customHeight="1" x14ac:dyDescent="0.25"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</row>
    <row r="250" spans="2:37" ht="12.75" customHeight="1" x14ac:dyDescent="0.25"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</row>
    <row r="251" spans="2:37" ht="12.75" customHeight="1" x14ac:dyDescent="0.25"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</row>
    <row r="252" spans="2:37" ht="12.75" customHeight="1" x14ac:dyDescent="0.25"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</row>
    <row r="253" spans="2:37" ht="12.75" customHeight="1" x14ac:dyDescent="0.25"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</row>
    <row r="254" spans="2:37" ht="12.75" customHeight="1" x14ac:dyDescent="0.25"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</row>
    <row r="255" spans="2:37" ht="12.75" customHeight="1" x14ac:dyDescent="0.25"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</row>
    <row r="256" spans="2:37" ht="12.75" customHeight="1" x14ac:dyDescent="0.25"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</row>
    <row r="257" spans="2:37" ht="12.75" customHeight="1" x14ac:dyDescent="0.25"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</row>
    <row r="258" spans="2:37" ht="12.75" customHeight="1" x14ac:dyDescent="0.25"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</row>
    <row r="259" spans="2:37" ht="12.75" customHeight="1" x14ac:dyDescent="0.25"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</row>
    <row r="260" spans="2:37" ht="12.75" customHeight="1" x14ac:dyDescent="0.25"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</row>
    <row r="261" spans="2:37" ht="12.75" customHeight="1" x14ac:dyDescent="0.25"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</row>
    <row r="262" spans="2:37" ht="12.75" customHeight="1" x14ac:dyDescent="0.25"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</row>
    <row r="263" spans="2:37" ht="12.75" customHeight="1" x14ac:dyDescent="0.25"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</row>
    <row r="264" spans="2:37" ht="12.75" customHeight="1" x14ac:dyDescent="0.25"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</row>
    <row r="265" spans="2:37" ht="12.75" customHeight="1" x14ac:dyDescent="0.25"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</row>
    <row r="266" spans="2:37" ht="12.75" customHeight="1" x14ac:dyDescent="0.25"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</row>
    <row r="267" spans="2:37" ht="12.75" customHeight="1" x14ac:dyDescent="0.25"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</row>
    <row r="268" spans="2:37" ht="12.75" customHeight="1" x14ac:dyDescent="0.25"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</row>
    <row r="269" spans="2:37" ht="12.75" customHeight="1" x14ac:dyDescent="0.25"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</row>
    <row r="270" spans="2:37" ht="12.75" customHeight="1" x14ac:dyDescent="0.25"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</row>
    <row r="271" spans="2:37" ht="12.75" customHeight="1" x14ac:dyDescent="0.25"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</row>
    <row r="272" spans="2:37" ht="12.75" customHeight="1" x14ac:dyDescent="0.25"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</row>
    <row r="273" spans="2:37" ht="12.75" customHeight="1" x14ac:dyDescent="0.25"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</row>
    <row r="274" spans="2:37" ht="12.75" customHeight="1" x14ac:dyDescent="0.25"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</row>
    <row r="275" spans="2:37" ht="12.75" customHeight="1" x14ac:dyDescent="0.25"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</row>
    <row r="276" spans="2:37" ht="12.75" customHeight="1" x14ac:dyDescent="0.25"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</row>
    <row r="277" spans="2:37" ht="12.75" customHeight="1" x14ac:dyDescent="0.25"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</row>
    <row r="278" spans="2:37" ht="12.75" customHeight="1" x14ac:dyDescent="0.25"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</row>
    <row r="279" spans="2:37" ht="12.75" customHeight="1" x14ac:dyDescent="0.25"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</row>
    <row r="280" spans="2:37" ht="12.75" customHeight="1" x14ac:dyDescent="0.25"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</row>
    <row r="281" spans="2:37" ht="12.75" customHeight="1" x14ac:dyDescent="0.25"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</row>
    <row r="282" spans="2:37" ht="12.75" customHeight="1" x14ac:dyDescent="0.25"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</row>
    <row r="283" spans="2:37" ht="12.75" customHeight="1" x14ac:dyDescent="0.25"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</row>
    <row r="284" spans="2:37" ht="12.75" customHeight="1" x14ac:dyDescent="0.25"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</row>
    <row r="285" spans="2:37" ht="12.75" customHeight="1" x14ac:dyDescent="0.25"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</row>
    <row r="286" spans="2:37" ht="12.75" customHeight="1" x14ac:dyDescent="0.25"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</row>
    <row r="287" spans="2:37" ht="12.75" customHeight="1" x14ac:dyDescent="0.25"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</row>
    <row r="288" spans="2:37" ht="12.75" customHeight="1" x14ac:dyDescent="0.25"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</row>
    <row r="289" spans="2:37" ht="12.75" customHeight="1" x14ac:dyDescent="0.25"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</row>
    <row r="290" spans="2:37" ht="12.75" customHeight="1" x14ac:dyDescent="0.25"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</row>
    <row r="291" spans="2:37" ht="12.75" customHeight="1" x14ac:dyDescent="0.25"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</row>
    <row r="292" spans="2:37" ht="12.75" customHeight="1" x14ac:dyDescent="0.25"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</row>
    <row r="293" spans="2:37" ht="12.75" customHeight="1" x14ac:dyDescent="0.25"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</row>
    <row r="294" spans="2:37" ht="12.75" customHeight="1" x14ac:dyDescent="0.25"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</row>
    <row r="295" spans="2:37" ht="12.75" customHeight="1" x14ac:dyDescent="0.25"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</row>
    <row r="296" spans="2:37" ht="12.75" customHeight="1" x14ac:dyDescent="0.25"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</row>
    <row r="297" spans="2:37" ht="12.75" customHeight="1" x14ac:dyDescent="0.25"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</row>
    <row r="298" spans="2:37" ht="12.75" customHeight="1" x14ac:dyDescent="0.25"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</row>
    <row r="299" spans="2:37" ht="12.75" customHeight="1" x14ac:dyDescent="0.25"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</row>
    <row r="300" spans="2:37" ht="12.75" customHeight="1" x14ac:dyDescent="0.25"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</row>
    <row r="301" spans="2:37" ht="12.75" customHeight="1" x14ac:dyDescent="0.25"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</row>
    <row r="302" spans="2:37" ht="12.75" customHeight="1" x14ac:dyDescent="0.25"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</row>
    <row r="303" spans="2:37" ht="12.75" customHeight="1" x14ac:dyDescent="0.25"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</row>
    <row r="304" spans="2:37" ht="12.75" customHeight="1" x14ac:dyDescent="0.25"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</row>
    <row r="305" spans="2:37" ht="12.75" customHeight="1" x14ac:dyDescent="0.25"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</row>
    <row r="306" spans="2:37" ht="12.75" customHeight="1" x14ac:dyDescent="0.25"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</row>
    <row r="307" spans="2:37" ht="12.75" customHeight="1" x14ac:dyDescent="0.25"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</row>
    <row r="308" spans="2:37" ht="12.75" customHeight="1" x14ac:dyDescent="0.25"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</row>
    <row r="309" spans="2:37" ht="12.75" customHeight="1" x14ac:dyDescent="0.25"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</row>
    <row r="310" spans="2:37" ht="12.75" customHeight="1" x14ac:dyDescent="0.25"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</row>
    <row r="311" spans="2:37" ht="12.75" customHeight="1" x14ac:dyDescent="0.25"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</row>
    <row r="312" spans="2:37" ht="12.75" customHeight="1" x14ac:dyDescent="0.25"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</row>
    <row r="313" spans="2:37" ht="12.75" customHeight="1" x14ac:dyDescent="0.25"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</row>
    <row r="314" spans="2:37" ht="12.75" customHeight="1" x14ac:dyDescent="0.25"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</row>
    <row r="315" spans="2:37" ht="12.75" customHeight="1" x14ac:dyDescent="0.25"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</row>
    <row r="316" spans="2:37" ht="12.75" customHeight="1" x14ac:dyDescent="0.25"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</row>
    <row r="317" spans="2:37" ht="12.75" customHeight="1" x14ac:dyDescent="0.25"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</row>
    <row r="318" spans="2:37" ht="12.75" customHeight="1" x14ac:dyDescent="0.25"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</row>
    <row r="319" spans="2:37" ht="12.75" customHeight="1" x14ac:dyDescent="0.25"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</row>
    <row r="320" spans="2:37" ht="12.75" customHeight="1" x14ac:dyDescent="0.25"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</row>
    <row r="321" spans="2:37" ht="12.75" customHeight="1" x14ac:dyDescent="0.25"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</row>
    <row r="322" spans="2:37" ht="12.75" customHeight="1" x14ac:dyDescent="0.25"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</row>
    <row r="323" spans="2:37" ht="12.75" customHeight="1" x14ac:dyDescent="0.25"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</row>
    <row r="324" spans="2:37" ht="12.75" customHeight="1" x14ac:dyDescent="0.25"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</row>
    <row r="325" spans="2:37" ht="12.75" customHeight="1" x14ac:dyDescent="0.25"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</row>
    <row r="326" spans="2:37" ht="12.75" customHeight="1" x14ac:dyDescent="0.25"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</row>
    <row r="327" spans="2:37" ht="12.75" customHeight="1" x14ac:dyDescent="0.25"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</row>
    <row r="328" spans="2:37" ht="12.75" customHeight="1" x14ac:dyDescent="0.25"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</row>
    <row r="329" spans="2:37" ht="12.75" customHeight="1" x14ac:dyDescent="0.25"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</row>
    <row r="330" spans="2:37" ht="12.75" customHeight="1" x14ac:dyDescent="0.25"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</row>
    <row r="331" spans="2:37" ht="12.75" customHeight="1" x14ac:dyDescent="0.25"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</row>
    <row r="332" spans="2:37" ht="12.75" customHeight="1" x14ac:dyDescent="0.25"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</row>
    <row r="333" spans="2:37" ht="12.75" customHeight="1" x14ac:dyDescent="0.25"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</row>
    <row r="334" spans="2:37" ht="12.75" customHeight="1" x14ac:dyDescent="0.25"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</row>
    <row r="335" spans="2:37" ht="12.75" customHeight="1" x14ac:dyDescent="0.25"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</row>
    <row r="336" spans="2:37" ht="12.75" customHeight="1" x14ac:dyDescent="0.25"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</row>
    <row r="337" spans="2:37" ht="12.75" customHeight="1" x14ac:dyDescent="0.25"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</row>
    <row r="338" spans="2:37" ht="12.75" customHeight="1" x14ac:dyDescent="0.25"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</row>
    <row r="339" spans="2:37" ht="12.75" customHeight="1" x14ac:dyDescent="0.25"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</row>
    <row r="340" spans="2:37" ht="12.75" customHeight="1" x14ac:dyDescent="0.25"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</row>
    <row r="341" spans="2:37" ht="12.75" customHeight="1" x14ac:dyDescent="0.25"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</row>
    <row r="342" spans="2:37" ht="12.75" customHeight="1" x14ac:dyDescent="0.25"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</row>
    <row r="343" spans="2:37" ht="12.75" customHeight="1" x14ac:dyDescent="0.25"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</row>
    <row r="344" spans="2:37" ht="12.75" customHeight="1" x14ac:dyDescent="0.25"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</row>
    <row r="345" spans="2:37" ht="12.75" customHeight="1" x14ac:dyDescent="0.25"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</row>
    <row r="346" spans="2:37" ht="12.75" customHeight="1" x14ac:dyDescent="0.25"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</row>
    <row r="347" spans="2:37" ht="12.75" customHeight="1" x14ac:dyDescent="0.25"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</row>
    <row r="348" spans="2:37" ht="12.75" customHeight="1" x14ac:dyDescent="0.25"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</row>
    <row r="349" spans="2:37" ht="12.75" customHeight="1" x14ac:dyDescent="0.25"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</row>
    <row r="350" spans="2:37" ht="12.75" customHeight="1" x14ac:dyDescent="0.25"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</row>
    <row r="351" spans="2:37" ht="12.75" customHeight="1" x14ac:dyDescent="0.25"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</row>
    <row r="352" spans="2:37" ht="12.75" customHeight="1" x14ac:dyDescent="0.25"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</row>
    <row r="353" spans="2:37" ht="12.75" customHeight="1" x14ac:dyDescent="0.25"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</row>
    <row r="354" spans="2:37" ht="12.75" customHeight="1" x14ac:dyDescent="0.25"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</row>
    <row r="355" spans="2:37" ht="12.75" customHeight="1" x14ac:dyDescent="0.25"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</row>
    <row r="356" spans="2:37" ht="12.75" customHeight="1" x14ac:dyDescent="0.25"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</row>
    <row r="357" spans="2:37" ht="12.75" customHeight="1" x14ac:dyDescent="0.25"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</row>
    <row r="358" spans="2:37" ht="12.75" customHeight="1" x14ac:dyDescent="0.25"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</row>
    <row r="359" spans="2:37" ht="12.75" customHeight="1" x14ac:dyDescent="0.25"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</row>
    <row r="360" spans="2:37" ht="12.75" customHeight="1" x14ac:dyDescent="0.25"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</row>
    <row r="361" spans="2:37" ht="12.75" customHeight="1" x14ac:dyDescent="0.25"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</row>
    <row r="362" spans="2:37" ht="12.75" customHeight="1" x14ac:dyDescent="0.25"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</row>
    <row r="363" spans="2:37" ht="12.75" customHeight="1" x14ac:dyDescent="0.25"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</row>
    <row r="364" spans="2:37" ht="12.75" customHeight="1" x14ac:dyDescent="0.25"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</row>
    <row r="365" spans="2:37" ht="12.75" customHeight="1" x14ac:dyDescent="0.25"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</row>
    <row r="366" spans="2:37" ht="12.75" customHeight="1" x14ac:dyDescent="0.25"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</row>
    <row r="367" spans="2:37" ht="12.75" customHeight="1" x14ac:dyDescent="0.25"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</row>
    <row r="368" spans="2:37" ht="12.75" customHeight="1" x14ac:dyDescent="0.25"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</row>
    <row r="369" spans="2:37" ht="12.75" customHeight="1" x14ac:dyDescent="0.25"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</row>
    <row r="370" spans="2:37" ht="12.75" customHeight="1" x14ac:dyDescent="0.25"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</row>
    <row r="371" spans="2:37" ht="12.75" customHeight="1" x14ac:dyDescent="0.25"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</row>
    <row r="372" spans="2:37" ht="12.75" customHeight="1" x14ac:dyDescent="0.25"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</row>
    <row r="373" spans="2:37" ht="12.75" customHeight="1" x14ac:dyDescent="0.25"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</row>
    <row r="374" spans="2:37" ht="12.75" customHeight="1" x14ac:dyDescent="0.25"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</row>
    <row r="375" spans="2:37" ht="12.75" customHeight="1" x14ac:dyDescent="0.25"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</row>
    <row r="376" spans="2:37" ht="12.75" customHeight="1" x14ac:dyDescent="0.25"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</row>
    <row r="377" spans="2:37" ht="12.75" customHeight="1" x14ac:dyDescent="0.25"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</row>
    <row r="378" spans="2:37" ht="12.75" customHeight="1" x14ac:dyDescent="0.25"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</row>
    <row r="379" spans="2:37" ht="12.75" customHeight="1" x14ac:dyDescent="0.25"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</row>
    <row r="380" spans="2:37" ht="12.75" customHeight="1" x14ac:dyDescent="0.25"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</row>
    <row r="381" spans="2:37" ht="12.75" customHeight="1" x14ac:dyDescent="0.25"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</row>
    <row r="382" spans="2:37" ht="12.75" customHeight="1" x14ac:dyDescent="0.25"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</row>
    <row r="383" spans="2:37" ht="12.75" customHeight="1" x14ac:dyDescent="0.25"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</row>
    <row r="384" spans="2:37" ht="12.75" customHeight="1" x14ac:dyDescent="0.25"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</row>
    <row r="385" spans="2:37" ht="12.75" customHeight="1" x14ac:dyDescent="0.25"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</row>
    <row r="386" spans="2:37" ht="12.75" customHeight="1" x14ac:dyDescent="0.25"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</row>
    <row r="387" spans="2:37" ht="12.75" customHeight="1" x14ac:dyDescent="0.25"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</row>
    <row r="388" spans="2:37" ht="12.75" customHeight="1" x14ac:dyDescent="0.25"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</row>
    <row r="389" spans="2:37" ht="12.75" customHeight="1" x14ac:dyDescent="0.25"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</row>
    <row r="390" spans="2:37" ht="12.75" customHeight="1" x14ac:dyDescent="0.25"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</row>
    <row r="391" spans="2:37" ht="12.75" customHeight="1" x14ac:dyDescent="0.25"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</row>
    <row r="392" spans="2:37" ht="12.75" customHeight="1" x14ac:dyDescent="0.25"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</row>
    <row r="393" spans="2:37" ht="12.75" customHeight="1" x14ac:dyDescent="0.25"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</row>
    <row r="394" spans="2:37" ht="12.75" customHeight="1" x14ac:dyDescent="0.25"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</row>
    <row r="395" spans="2:37" ht="12.75" customHeight="1" x14ac:dyDescent="0.25"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</row>
    <row r="396" spans="2:37" ht="12.75" customHeight="1" x14ac:dyDescent="0.25"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</row>
    <row r="397" spans="2:37" ht="12.75" customHeight="1" x14ac:dyDescent="0.25"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</row>
    <row r="398" spans="2:37" ht="12.75" customHeight="1" x14ac:dyDescent="0.25"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</row>
    <row r="399" spans="2:37" ht="12.75" customHeight="1" x14ac:dyDescent="0.25"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</row>
    <row r="400" spans="2:37" ht="12.75" customHeight="1" x14ac:dyDescent="0.25"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</row>
    <row r="401" spans="2:37" ht="12.75" customHeight="1" x14ac:dyDescent="0.25"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</row>
    <row r="402" spans="2:37" ht="12.75" customHeight="1" x14ac:dyDescent="0.25"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</row>
    <row r="403" spans="2:37" ht="12.75" customHeight="1" x14ac:dyDescent="0.25"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</row>
    <row r="404" spans="2:37" ht="12.75" customHeight="1" x14ac:dyDescent="0.25"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</row>
    <row r="405" spans="2:37" ht="12.75" customHeight="1" x14ac:dyDescent="0.25"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</row>
    <row r="406" spans="2:37" ht="12.75" customHeight="1" x14ac:dyDescent="0.25"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</row>
    <row r="407" spans="2:37" ht="12.75" customHeight="1" x14ac:dyDescent="0.25"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</row>
    <row r="408" spans="2:37" ht="12.75" customHeight="1" x14ac:dyDescent="0.25"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</row>
    <row r="409" spans="2:37" ht="12.75" customHeight="1" x14ac:dyDescent="0.25"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</row>
    <row r="410" spans="2:37" ht="12.75" customHeight="1" x14ac:dyDescent="0.25"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</row>
    <row r="411" spans="2:37" ht="12.75" customHeight="1" x14ac:dyDescent="0.25"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</row>
    <row r="412" spans="2:37" ht="12.75" customHeight="1" x14ac:dyDescent="0.25"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</row>
    <row r="413" spans="2:37" ht="12.75" customHeight="1" x14ac:dyDescent="0.25"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</row>
    <row r="414" spans="2:37" ht="12.75" customHeight="1" x14ac:dyDescent="0.25"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</row>
    <row r="415" spans="2:37" ht="12.75" customHeight="1" x14ac:dyDescent="0.25"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</row>
    <row r="416" spans="2:37" ht="12.75" customHeight="1" x14ac:dyDescent="0.25"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</row>
    <row r="417" spans="2:37" ht="12.75" customHeight="1" x14ac:dyDescent="0.25"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</row>
    <row r="418" spans="2:37" ht="12.75" customHeight="1" x14ac:dyDescent="0.25"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</row>
    <row r="419" spans="2:37" ht="12.75" customHeight="1" x14ac:dyDescent="0.25"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</row>
    <row r="420" spans="2:37" ht="12.75" customHeight="1" x14ac:dyDescent="0.25"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</row>
    <row r="421" spans="2:37" ht="12.75" customHeight="1" x14ac:dyDescent="0.25"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</row>
    <row r="422" spans="2:37" ht="12.75" customHeight="1" x14ac:dyDescent="0.25"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</row>
    <row r="423" spans="2:37" ht="12.75" customHeight="1" x14ac:dyDescent="0.25"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</row>
    <row r="424" spans="2:37" ht="12.75" customHeight="1" x14ac:dyDescent="0.25"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</row>
    <row r="425" spans="2:37" ht="12.75" customHeight="1" x14ac:dyDescent="0.25"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</row>
    <row r="426" spans="2:37" ht="12.75" customHeight="1" x14ac:dyDescent="0.25"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</row>
    <row r="427" spans="2:37" ht="12.75" customHeight="1" x14ac:dyDescent="0.25"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</row>
    <row r="428" spans="2:37" ht="12.75" customHeight="1" x14ac:dyDescent="0.25"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</row>
    <row r="429" spans="2:37" ht="12.75" customHeight="1" x14ac:dyDescent="0.25"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</row>
    <row r="430" spans="2:37" ht="12.75" customHeight="1" x14ac:dyDescent="0.25"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</row>
    <row r="431" spans="2:37" ht="12.75" customHeight="1" x14ac:dyDescent="0.25"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</row>
    <row r="432" spans="2:37" ht="12.75" customHeight="1" x14ac:dyDescent="0.25"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</row>
    <row r="433" spans="2:37" ht="12.75" customHeight="1" x14ac:dyDescent="0.25"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</row>
    <row r="434" spans="2:37" ht="12.75" customHeight="1" x14ac:dyDescent="0.25"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</row>
    <row r="435" spans="2:37" ht="12.75" customHeight="1" x14ac:dyDescent="0.25"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</row>
    <row r="436" spans="2:37" ht="12.75" customHeight="1" x14ac:dyDescent="0.25"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</row>
    <row r="437" spans="2:37" ht="12.75" customHeight="1" x14ac:dyDescent="0.25"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</row>
    <row r="438" spans="2:37" ht="12.75" customHeight="1" x14ac:dyDescent="0.25"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</row>
    <row r="439" spans="2:37" ht="12.75" customHeight="1" x14ac:dyDescent="0.25"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</row>
    <row r="440" spans="2:37" ht="12.75" customHeight="1" x14ac:dyDescent="0.25"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</row>
    <row r="441" spans="2:37" ht="12.75" customHeight="1" x14ac:dyDescent="0.25"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</row>
    <row r="442" spans="2:37" ht="12.75" customHeight="1" x14ac:dyDescent="0.25"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</row>
    <row r="443" spans="2:37" ht="12.75" customHeight="1" x14ac:dyDescent="0.25"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</row>
    <row r="444" spans="2:37" ht="12.75" customHeight="1" x14ac:dyDescent="0.25"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</row>
    <row r="445" spans="2:37" ht="12.75" customHeight="1" x14ac:dyDescent="0.25"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</row>
    <row r="446" spans="2:37" ht="12.75" customHeight="1" x14ac:dyDescent="0.25"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</row>
    <row r="447" spans="2:37" ht="12.75" customHeight="1" x14ac:dyDescent="0.25"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</row>
    <row r="448" spans="2:37" ht="12.75" customHeight="1" x14ac:dyDescent="0.25"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</row>
    <row r="449" spans="2:37" ht="12.75" customHeight="1" x14ac:dyDescent="0.25"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</row>
    <row r="450" spans="2:37" ht="12.75" customHeight="1" x14ac:dyDescent="0.25"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</row>
    <row r="451" spans="2:37" ht="12.75" customHeight="1" x14ac:dyDescent="0.25"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</row>
    <row r="452" spans="2:37" ht="12.75" customHeight="1" x14ac:dyDescent="0.25"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</row>
    <row r="453" spans="2:37" ht="12.75" customHeight="1" x14ac:dyDescent="0.25"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</row>
    <row r="454" spans="2:37" ht="12.75" customHeight="1" x14ac:dyDescent="0.25"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</row>
    <row r="455" spans="2:37" ht="12.75" customHeight="1" x14ac:dyDescent="0.25"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</row>
    <row r="456" spans="2:37" ht="12.75" customHeight="1" x14ac:dyDescent="0.25"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</row>
    <row r="457" spans="2:37" ht="12.75" customHeight="1" x14ac:dyDescent="0.25"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</row>
    <row r="458" spans="2:37" ht="12.75" customHeight="1" x14ac:dyDescent="0.25"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</row>
    <row r="459" spans="2:37" ht="12.75" customHeight="1" x14ac:dyDescent="0.25"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</row>
    <row r="460" spans="2:37" ht="12.75" customHeight="1" x14ac:dyDescent="0.25"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</row>
    <row r="461" spans="2:37" ht="12.75" customHeight="1" x14ac:dyDescent="0.25"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</row>
    <row r="462" spans="2:37" ht="12.75" customHeight="1" x14ac:dyDescent="0.25"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</row>
    <row r="463" spans="2:37" ht="12.75" customHeight="1" x14ac:dyDescent="0.25"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</row>
    <row r="464" spans="2:37" ht="12.75" customHeight="1" x14ac:dyDescent="0.25"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</row>
    <row r="465" spans="2:37" ht="12.75" customHeight="1" x14ac:dyDescent="0.25"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</row>
    <row r="466" spans="2:37" ht="12.75" customHeight="1" x14ac:dyDescent="0.25"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</row>
    <row r="467" spans="2:37" ht="12.75" customHeight="1" x14ac:dyDescent="0.25"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</row>
    <row r="468" spans="2:37" ht="12.75" customHeight="1" x14ac:dyDescent="0.25"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</row>
    <row r="469" spans="2:37" ht="12.75" customHeight="1" x14ac:dyDescent="0.25"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</row>
    <row r="470" spans="2:37" ht="12.75" customHeight="1" x14ac:dyDescent="0.25"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</row>
    <row r="471" spans="2:37" ht="12.75" customHeight="1" x14ac:dyDescent="0.25"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</row>
    <row r="472" spans="2:37" ht="12.75" customHeight="1" x14ac:dyDescent="0.25"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</row>
    <row r="473" spans="2:37" ht="12.75" customHeight="1" x14ac:dyDescent="0.25"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</row>
    <row r="474" spans="2:37" ht="12.75" customHeight="1" x14ac:dyDescent="0.25"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</row>
    <row r="475" spans="2:37" ht="12.75" customHeight="1" x14ac:dyDescent="0.25"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</row>
    <row r="476" spans="2:37" ht="12.75" customHeight="1" x14ac:dyDescent="0.25"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</row>
    <row r="477" spans="2:37" ht="12.75" customHeight="1" x14ac:dyDescent="0.25"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</row>
    <row r="478" spans="2:37" ht="12.75" customHeight="1" x14ac:dyDescent="0.25"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</row>
    <row r="479" spans="2:37" ht="12.75" customHeight="1" x14ac:dyDescent="0.25"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</row>
    <row r="480" spans="2:37" ht="12.75" customHeight="1" x14ac:dyDescent="0.25"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</row>
    <row r="481" spans="2:37" ht="12.75" customHeight="1" x14ac:dyDescent="0.25"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</row>
    <row r="482" spans="2:37" ht="12.75" customHeight="1" x14ac:dyDescent="0.25"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</row>
    <row r="483" spans="2:37" ht="12.75" customHeight="1" x14ac:dyDescent="0.25"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</row>
    <row r="484" spans="2:37" ht="12.75" customHeight="1" x14ac:dyDescent="0.25"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</row>
    <row r="485" spans="2:37" ht="12.75" customHeight="1" x14ac:dyDescent="0.25"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</row>
    <row r="486" spans="2:37" ht="12.75" customHeight="1" x14ac:dyDescent="0.25"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</row>
    <row r="487" spans="2:37" ht="12.75" customHeight="1" x14ac:dyDescent="0.25"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</row>
    <row r="488" spans="2:37" ht="12.75" customHeight="1" x14ac:dyDescent="0.25"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</row>
    <row r="489" spans="2:37" ht="12.75" customHeight="1" x14ac:dyDescent="0.25"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</row>
    <row r="490" spans="2:37" ht="12.75" customHeight="1" x14ac:dyDescent="0.25"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</row>
    <row r="491" spans="2:37" ht="12.75" customHeight="1" x14ac:dyDescent="0.25"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</row>
    <row r="492" spans="2:37" ht="12.75" customHeight="1" x14ac:dyDescent="0.25"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</row>
    <row r="493" spans="2:37" ht="12.75" customHeight="1" x14ac:dyDescent="0.25"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</row>
    <row r="494" spans="2:37" ht="12.75" customHeight="1" x14ac:dyDescent="0.25"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</row>
    <row r="495" spans="2:37" ht="12.75" customHeight="1" x14ac:dyDescent="0.25"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</row>
    <row r="496" spans="2:37" ht="12.75" customHeight="1" x14ac:dyDescent="0.25"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</row>
    <row r="497" spans="2:37" ht="12.75" customHeight="1" x14ac:dyDescent="0.25"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</row>
    <row r="498" spans="2:37" ht="12.75" customHeight="1" x14ac:dyDescent="0.25"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</row>
    <row r="499" spans="2:37" ht="12.75" customHeight="1" x14ac:dyDescent="0.25"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</row>
    <row r="500" spans="2:37" ht="12.75" customHeight="1" x14ac:dyDescent="0.25"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</row>
    <row r="501" spans="2:37" ht="12.75" customHeight="1" x14ac:dyDescent="0.25"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</row>
    <row r="502" spans="2:37" ht="12.75" customHeight="1" x14ac:dyDescent="0.25"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</row>
    <row r="503" spans="2:37" ht="12.75" customHeight="1" x14ac:dyDescent="0.25"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</row>
    <row r="504" spans="2:37" ht="12.75" customHeight="1" x14ac:dyDescent="0.25"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</row>
    <row r="505" spans="2:37" ht="12.75" customHeight="1" x14ac:dyDescent="0.25"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4"/>
    </row>
    <row r="506" spans="2:37" ht="12.75" customHeight="1" x14ac:dyDescent="0.25"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4"/>
    </row>
    <row r="507" spans="2:37" ht="12.75" customHeight="1" x14ac:dyDescent="0.25"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4"/>
    </row>
    <row r="508" spans="2:37" ht="12.75" customHeight="1" x14ac:dyDescent="0.25"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4"/>
    </row>
    <row r="509" spans="2:37" ht="12.75" customHeight="1" x14ac:dyDescent="0.25"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4"/>
    </row>
    <row r="510" spans="2:37" ht="12.75" customHeight="1" x14ac:dyDescent="0.25"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</row>
    <row r="511" spans="2:37" ht="12.75" customHeight="1" x14ac:dyDescent="0.25"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4"/>
    </row>
    <row r="512" spans="2:37" ht="12.75" customHeight="1" x14ac:dyDescent="0.25"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4"/>
    </row>
    <row r="513" spans="2:37" ht="12.75" customHeight="1" x14ac:dyDescent="0.25"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4"/>
    </row>
    <row r="514" spans="2:37" ht="12.75" customHeight="1" x14ac:dyDescent="0.25"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</row>
    <row r="515" spans="2:37" ht="12.75" customHeight="1" x14ac:dyDescent="0.25"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4"/>
    </row>
    <row r="516" spans="2:37" ht="12.75" customHeight="1" x14ac:dyDescent="0.25"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4"/>
    </row>
    <row r="517" spans="2:37" ht="12.75" customHeight="1" x14ac:dyDescent="0.25"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4"/>
    </row>
    <row r="518" spans="2:37" ht="12.75" customHeight="1" x14ac:dyDescent="0.25"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</row>
    <row r="519" spans="2:37" ht="12.75" customHeight="1" x14ac:dyDescent="0.25"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4"/>
    </row>
    <row r="520" spans="2:37" ht="12.75" customHeight="1" x14ac:dyDescent="0.25"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4"/>
    </row>
    <row r="521" spans="2:37" ht="12.75" customHeight="1" x14ac:dyDescent="0.25"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4"/>
    </row>
    <row r="522" spans="2:37" ht="12.75" customHeight="1" x14ac:dyDescent="0.25"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  <c r="AK522" s="4"/>
    </row>
    <row r="523" spans="2:37" ht="12.75" customHeight="1" x14ac:dyDescent="0.25"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4"/>
    </row>
    <row r="524" spans="2:37" ht="12.75" customHeight="1" x14ac:dyDescent="0.25"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4"/>
    </row>
    <row r="525" spans="2:37" ht="12.75" customHeight="1" x14ac:dyDescent="0.25"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4"/>
    </row>
    <row r="526" spans="2:37" ht="12.75" customHeight="1" x14ac:dyDescent="0.25"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4"/>
    </row>
    <row r="527" spans="2:37" ht="12.75" customHeight="1" x14ac:dyDescent="0.25"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/>
    </row>
    <row r="528" spans="2:37" ht="12.75" customHeight="1" x14ac:dyDescent="0.25"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4"/>
    </row>
    <row r="529" spans="2:37" ht="12.75" customHeight="1" x14ac:dyDescent="0.25"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4"/>
    </row>
    <row r="530" spans="2:37" ht="12.75" customHeight="1" x14ac:dyDescent="0.25"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4"/>
    </row>
    <row r="531" spans="2:37" ht="12.75" customHeight="1" x14ac:dyDescent="0.25"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  <c r="AK531" s="4"/>
    </row>
    <row r="532" spans="2:37" ht="12.75" customHeight="1" x14ac:dyDescent="0.25"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4"/>
    </row>
    <row r="533" spans="2:37" ht="12.75" customHeight="1" x14ac:dyDescent="0.25"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4"/>
    </row>
    <row r="534" spans="2:37" ht="12.75" customHeight="1" x14ac:dyDescent="0.25"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  <c r="AK534" s="4"/>
    </row>
    <row r="535" spans="2:37" ht="12.75" customHeight="1" x14ac:dyDescent="0.25"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  <c r="AK535" s="4"/>
    </row>
    <row r="536" spans="2:37" ht="12.75" customHeight="1" x14ac:dyDescent="0.25"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  <c r="AK536" s="4"/>
    </row>
    <row r="537" spans="2:37" ht="12.75" customHeight="1" x14ac:dyDescent="0.25"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4"/>
    </row>
    <row r="538" spans="2:37" ht="12.75" customHeight="1" x14ac:dyDescent="0.25"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  <c r="AK538" s="4"/>
    </row>
    <row r="539" spans="2:37" ht="12.75" customHeight="1" x14ac:dyDescent="0.25"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4"/>
    </row>
    <row r="540" spans="2:37" ht="12.75" customHeight="1" x14ac:dyDescent="0.25"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4"/>
    </row>
    <row r="541" spans="2:37" ht="12.75" customHeight="1" x14ac:dyDescent="0.25"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4"/>
    </row>
    <row r="542" spans="2:37" ht="12.75" customHeight="1" x14ac:dyDescent="0.25"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4"/>
    </row>
    <row r="543" spans="2:37" ht="12.75" customHeight="1" x14ac:dyDescent="0.25"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4"/>
    </row>
    <row r="544" spans="2:37" ht="12.75" customHeight="1" x14ac:dyDescent="0.25"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  <c r="AK544" s="4"/>
    </row>
    <row r="545" spans="2:37" ht="12.75" customHeight="1" x14ac:dyDescent="0.25"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4"/>
    </row>
    <row r="546" spans="2:37" ht="12.75" customHeight="1" x14ac:dyDescent="0.25"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  <c r="AK546" s="4"/>
    </row>
    <row r="547" spans="2:37" ht="12.75" customHeight="1" x14ac:dyDescent="0.25"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4"/>
    </row>
    <row r="548" spans="2:37" ht="12.75" customHeight="1" x14ac:dyDescent="0.25"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4"/>
    </row>
    <row r="549" spans="2:37" ht="12.75" customHeight="1" x14ac:dyDescent="0.25"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  <c r="AK549" s="4"/>
    </row>
    <row r="550" spans="2:37" ht="12.75" customHeight="1" x14ac:dyDescent="0.25"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  <c r="AK550" s="4"/>
    </row>
    <row r="551" spans="2:37" ht="12.75" customHeight="1" x14ac:dyDescent="0.25"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4"/>
    </row>
    <row r="552" spans="2:37" ht="12.75" customHeight="1" x14ac:dyDescent="0.25"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4"/>
    </row>
    <row r="553" spans="2:37" ht="12.75" customHeight="1" x14ac:dyDescent="0.25"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  <c r="AK553" s="4"/>
    </row>
    <row r="554" spans="2:37" ht="12.75" customHeight="1" x14ac:dyDescent="0.25"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4"/>
    </row>
    <row r="555" spans="2:37" ht="12.75" customHeight="1" x14ac:dyDescent="0.25"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  <c r="AK555" s="4"/>
    </row>
    <row r="556" spans="2:37" ht="12.75" customHeight="1" x14ac:dyDescent="0.25"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  <c r="AK556" s="4"/>
    </row>
    <row r="557" spans="2:37" ht="12.75" customHeight="1" x14ac:dyDescent="0.25"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  <c r="AK557" s="4"/>
    </row>
    <row r="558" spans="2:37" ht="12.75" customHeight="1" x14ac:dyDescent="0.25"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  <c r="AK558" s="4"/>
    </row>
    <row r="559" spans="2:37" ht="12.75" customHeight="1" x14ac:dyDescent="0.25"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  <c r="AK559" s="4"/>
    </row>
    <row r="560" spans="2:37" ht="12.75" customHeight="1" x14ac:dyDescent="0.25"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  <c r="AK560" s="4"/>
    </row>
    <row r="561" spans="2:37" ht="12.75" customHeight="1" x14ac:dyDescent="0.25"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4"/>
    </row>
    <row r="562" spans="2:37" ht="12.75" customHeight="1" x14ac:dyDescent="0.25"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  <c r="AK562" s="4"/>
    </row>
    <row r="563" spans="2:37" ht="12.75" customHeight="1" x14ac:dyDescent="0.25"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  <c r="AK563" s="4"/>
    </row>
    <row r="564" spans="2:37" ht="12.75" customHeight="1" x14ac:dyDescent="0.25"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  <c r="AK564" s="4"/>
    </row>
    <row r="565" spans="2:37" ht="12.75" customHeight="1" x14ac:dyDescent="0.25"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  <c r="AK565" s="4"/>
    </row>
    <row r="566" spans="2:37" ht="12.75" customHeight="1" x14ac:dyDescent="0.25"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  <c r="AK566" s="4"/>
    </row>
    <row r="567" spans="2:37" ht="12.75" customHeight="1" x14ac:dyDescent="0.25"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  <c r="AK567" s="4"/>
    </row>
    <row r="568" spans="2:37" ht="12.75" customHeight="1" x14ac:dyDescent="0.25"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  <c r="AK568" s="4"/>
    </row>
    <row r="569" spans="2:37" ht="12.75" customHeight="1" x14ac:dyDescent="0.25"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  <c r="AK569" s="4"/>
    </row>
    <row r="570" spans="2:37" ht="12.75" customHeight="1" x14ac:dyDescent="0.25"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  <c r="AK570" s="4"/>
    </row>
    <row r="571" spans="2:37" ht="12.75" customHeight="1" x14ac:dyDescent="0.25"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  <c r="AK571" s="4"/>
    </row>
    <row r="572" spans="2:37" ht="12.75" customHeight="1" x14ac:dyDescent="0.25"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  <c r="AK572" s="4"/>
    </row>
    <row r="573" spans="2:37" ht="12.75" customHeight="1" x14ac:dyDescent="0.25"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4"/>
    </row>
    <row r="574" spans="2:37" ht="12.75" customHeight="1" x14ac:dyDescent="0.25"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  <c r="AK574" s="4"/>
    </row>
    <row r="575" spans="2:37" ht="12.75" customHeight="1" x14ac:dyDescent="0.25"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  <c r="AK575" s="4"/>
    </row>
    <row r="576" spans="2:37" ht="12.75" customHeight="1" x14ac:dyDescent="0.25"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  <c r="AK576" s="4"/>
    </row>
    <row r="577" spans="2:37" ht="12.75" customHeight="1" x14ac:dyDescent="0.25"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  <c r="AK577" s="4"/>
    </row>
    <row r="578" spans="2:37" ht="12.75" customHeight="1" x14ac:dyDescent="0.25"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  <c r="AK578" s="4"/>
    </row>
    <row r="579" spans="2:37" ht="12.75" customHeight="1" x14ac:dyDescent="0.25"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  <c r="AK579" s="4"/>
    </row>
    <row r="580" spans="2:37" ht="12.75" customHeight="1" x14ac:dyDescent="0.25"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  <c r="AK580" s="4"/>
    </row>
    <row r="581" spans="2:37" ht="12.75" customHeight="1" x14ac:dyDescent="0.25"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  <c r="AK581" s="4"/>
    </row>
    <row r="582" spans="2:37" ht="12.75" customHeight="1" x14ac:dyDescent="0.25"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  <c r="AK582" s="4"/>
    </row>
    <row r="583" spans="2:37" ht="12.75" customHeight="1" x14ac:dyDescent="0.25"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  <c r="AK583" s="4"/>
    </row>
    <row r="584" spans="2:37" ht="12.75" customHeight="1" x14ac:dyDescent="0.25"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  <c r="AK584" s="4"/>
    </row>
    <row r="585" spans="2:37" ht="12.75" customHeight="1" x14ac:dyDescent="0.25"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  <c r="AK585" s="4"/>
    </row>
    <row r="586" spans="2:37" ht="12.75" customHeight="1" x14ac:dyDescent="0.25"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  <c r="AK586" s="4"/>
    </row>
    <row r="587" spans="2:37" ht="12.75" customHeight="1" x14ac:dyDescent="0.25"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  <c r="AK587" s="4"/>
    </row>
    <row r="588" spans="2:37" ht="12.75" customHeight="1" x14ac:dyDescent="0.25"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  <c r="AK588" s="4"/>
    </row>
    <row r="589" spans="2:37" ht="12.75" customHeight="1" x14ac:dyDescent="0.25"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  <c r="AK589" s="4"/>
    </row>
    <row r="590" spans="2:37" ht="12.75" customHeight="1" x14ac:dyDescent="0.25"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  <c r="AK590" s="4"/>
    </row>
    <row r="591" spans="2:37" ht="12.75" customHeight="1" x14ac:dyDescent="0.25"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  <c r="AK591" s="4"/>
    </row>
    <row r="592" spans="2:37" ht="12.75" customHeight="1" x14ac:dyDescent="0.25"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  <c r="AK592" s="4"/>
    </row>
    <row r="593" spans="2:37" ht="12.75" customHeight="1" x14ac:dyDescent="0.25"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  <c r="AK593" s="4"/>
    </row>
    <row r="594" spans="2:37" ht="12.75" customHeight="1" x14ac:dyDescent="0.25"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  <c r="AK594" s="4"/>
    </row>
    <row r="595" spans="2:37" ht="12.75" customHeight="1" x14ac:dyDescent="0.25"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  <c r="AK595" s="4"/>
    </row>
    <row r="596" spans="2:37" ht="12.75" customHeight="1" x14ac:dyDescent="0.25"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  <c r="AK596" s="4"/>
    </row>
    <row r="597" spans="2:37" ht="12.75" customHeight="1" x14ac:dyDescent="0.25"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  <c r="AK597" s="4"/>
    </row>
    <row r="598" spans="2:37" ht="12.75" customHeight="1" x14ac:dyDescent="0.25"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  <c r="AK598" s="4"/>
    </row>
    <row r="599" spans="2:37" ht="12.75" customHeight="1" x14ac:dyDescent="0.25"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  <c r="AK599" s="4"/>
    </row>
    <row r="600" spans="2:37" ht="12.75" customHeight="1" x14ac:dyDescent="0.25"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  <c r="AK600" s="4"/>
    </row>
    <row r="601" spans="2:37" ht="12.75" customHeight="1" x14ac:dyDescent="0.25"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  <c r="AK601" s="4"/>
    </row>
    <row r="602" spans="2:37" ht="12.75" customHeight="1" x14ac:dyDescent="0.25"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  <c r="AK602" s="4"/>
    </row>
    <row r="603" spans="2:37" ht="12.75" customHeight="1" x14ac:dyDescent="0.25"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  <c r="AK603" s="4"/>
    </row>
    <row r="604" spans="2:37" ht="12.75" customHeight="1" x14ac:dyDescent="0.25"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  <c r="AK604" s="4"/>
    </row>
    <row r="605" spans="2:37" ht="12.75" customHeight="1" x14ac:dyDescent="0.25"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  <c r="AK605" s="4"/>
    </row>
    <row r="606" spans="2:37" ht="12.75" customHeight="1" x14ac:dyDescent="0.25"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  <c r="AK606" s="4"/>
    </row>
    <row r="607" spans="2:37" ht="12.75" customHeight="1" x14ac:dyDescent="0.25"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  <c r="AK607" s="4"/>
    </row>
    <row r="608" spans="2:37" ht="12.75" customHeight="1" x14ac:dyDescent="0.25"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  <c r="AK608" s="4"/>
    </row>
    <row r="609" spans="2:37" ht="12.75" customHeight="1" x14ac:dyDescent="0.25"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  <c r="AK609" s="4"/>
    </row>
    <row r="610" spans="2:37" ht="12.75" customHeight="1" x14ac:dyDescent="0.25"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  <c r="AK610" s="4"/>
    </row>
    <row r="611" spans="2:37" ht="12.75" customHeight="1" x14ac:dyDescent="0.25"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  <c r="AK611" s="4"/>
    </row>
    <row r="612" spans="2:37" ht="12.75" customHeight="1" x14ac:dyDescent="0.25"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  <c r="AK612" s="4"/>
    </row>
    <row r="613" spans="2:37" ht="12.75" customHeight="1" x14ac:dyDescent="0.25"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  <c r="AK613" s="4"/>
    </row>
    <row r="614" spans="2:37" ht="12.75" customHeight="1" x14ac:dyDescent="0.25"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  <c r="AK614" s="4"/>
    </row>
    <row r="615" spans="2:37" ht="12.75" customHeight="1" x14ac:dyDescent="0.25"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  <c r="AK615" s="4"/>
    </row>
    <row r="616" spans="2:37" ht="12.75" customHeight="1" x14ac:dyDescent="0.25"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4"/>
    </row>
    <row r="617" spans="2:37" ht="12.75" customHeight="1" x14ac:dyDescent="0.25"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  <c r="AK617" s="4"/>
    </row>
    <row r="618" spans="2:37" ht="12.75" customHeight="1" x14ac:dyDescent="0.25"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  <c r="AK618" s="4"/>
    </row>
    <row r="619" spans="2:37" ht="12.75" customHeight="1" x14ac:dyDescent="0.25"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  <c r="AK619" s="4"/>
    </row>
    <row r="620" spans="2:37" ht="12.75" customHeight="1" x14ac:dyDescent="0.25"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  <c r="AK620" s="4"/>
    </row>
    <row r="621" spans="2:37" ht="12.75" customHeight="1" x14ac:dyDescent="0.25"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  <c r="AK621" s="4"/>
    </row>
    <row r="622" spans="2:37" ht="12.75" customHeight="1" x14ac:dyDescent="0.25"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  <c r="AK622" s="4"/>
    </row>
    <row r="623" spans="2:37" ht="12.75" customHeight="1" x14ac:dyDescent="0.25"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  <c r="AK623" s="4"/>
    </row>
    <row r="624" spans="2:37" ht="12.75" customHeight="1" x14ac:dyDescent="0.25"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  <c r="AK624" s="4"/>
    </row>
    <row r="625" spans="2:37" ht="12.75" customHeight="1" x14ac:dyDescent="0.25"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  <c r="AK625" s="4"/>
    </row>
    <row r="626" spans="2:37" ht="12.75" customHeight="1" x14ac:dyDescent="0.25"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  <c r="AK626" s="4"/>
    </row>
    <row r="627" spans="2:37" ht="12.75" customHeight="1" x14ac:dyDescent="0.25"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  <c r="AK627" s="4"/>
    </row>
    <row r="628" spans="2:37" ht="12.75" customHeight="1" x14ac:dyDescent="0.25"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  <c r="AK628" s="4"/>
    </row>
    <row r="629" spans="2:37" ht="12.75" customHeight="1" x14ac:dyDescent="0.25"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  <c r="AK629" s="4"/>
    </row>
    <row r="630" spans="2:37" ht="12.75" customHeight="1" x14ac:dyDescent="0.25"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  <c r="AK630" s="4"/>
    </row>
    <row r="631" spans="2:37" ht="12.75" customHeight="1" x14ac:dyDescent="0.25"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  <c r="AK631" s="4"/>
    </row>
    <row r="632" spans="2:37" ht="12.75" customHeight="1" x14ac:dyDescent="0.25"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  <c r="AK632" s="4"/>
    </row>
    <row r="633" spans="2:37" ht="12.75" customHeight="1" x14ac:dyDescent="0.25"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  <c r="AK633" s="4"/>
    </row>
    <row r="634" spans="2:37" ht="12.75" customHeight="1" x14ac:dyDescent="0.25"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  <c r="AK634" s="4"/>
    </row>
    <row r="635" spans="2:37" ht="12.75" customHeight="1" x14ac:dyDescent="0.25"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  <c r="AK635" s="4"/>
    </row>
    <row r="636" spans="2:37" ht="12.75" customHeight="1" x14ac:dyDescent="0.25"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  <c r="AK636" s="4"/>
    </row>
    <row r="637" spans="2:37" ht="12.75" customHeight="1" x14ac:dyDescent="0.25"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  <c r="AK637" s="4"/>
    </row>
    <row r="638" spans="2:37" ht="12.75" customHeight="1" x14ac:dyDescent="0.25"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  <c r="AK638" s="4"/>
    </row>
    <row r="639" spans="2:37" ht="12.75" customHeight="1" x14ac:dyDescent="0.25"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  <c r="AK639" s="4"/>
    </row>
    <row r="640" spans="2:37" ht="12.75" customHeight="1" x14ac:dyDescent="0.25"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  <c r="AK640" s="4"/>
    </row>
    <row r="641" spans="2:37" ht="12.75" customHeight="1" x14ac:dyDescent="0.25"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  <c r="AK641" s="4"/>
    </row>
    <row r="642" spans="2:37" ht="12.75" customHeight="1" x14ac:dyDescent="0.25"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  <c r="AK642" s="4"/>
    </row>
    <row r="643" spans="2:37" ht="12.75" customHeight="1" x14ac:dyDescent="0.25"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  <c r="AK643" s="4"/>
    </row>
    <row r="644" spans="2:37" ht="12.75" customHeight="1" x14ac:dyDescent="0.25"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  <c r="AK644" s="4"/>
    </row>
    <row r="645" spans="2:37" ht="12.75" customHeight="1" x14ac:dyDescent="0.25"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  <c r="AK645" s="4"/>
    </row>
    <row r="646" spans="2:37" ht="12.75" customHeight="1" x14ac:dyDescent="0.25"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  <c r="AK646" s="4"/>
    </row>
    <row r="647" spans="2:37" ht="12.75" customHeight="1" x14ac:dyDescent="0.25"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  <c r="AK647" s="4"/>
    </row>
    <row r="648" spans="2:37" ht="12.75" customHeight="1" x14ac:dyDescent="0.25"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  <c r="AK648" s="4"/>
    </row>
    <row r="649" spans="2:37" ht="12.75" customHeight="1" x14ac:dyDescent="0.25"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  <c r="AK649" s="4"/>
    </row>
    <row r="650" spans="2:37" ht="12.75" customHeight="1" x14ac:dyDescent="0.25"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  <c r="AK650" s="4"/>
    </row>
    <row r="651" spans="2:37" ht="12.75" customHeight="1" x14ac:dyDescent="0.25"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  <c r="AK651" s="4"/>
    </row>
    <row r="652" spans="2:37" ht="12.75" customHeight="1" x14ac:dyDescent="0.25"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  <c r="AK652" s="4"/>
    </row>
    <row r="653" spans="2:37" ht="12.75" customHeight="1" x14ac:dyDescent="0.25"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  <c r="AK653" s="4"/>
    </row>
    <row r="654" spans="2:37" ht="12.75" customHeight="1" x14ac:dyDescent="0.25"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  <c r="AK654" s="4"/>
    </row>
    <row r="655" spans="2:37" ht="12.75" customHeight="1" x14ac:dyDescent="0.25"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  <c r="AK655" s="4"/>
    </row>
    <row r="656" spans="2:37" ht="12.75" customHeight="1" x14ac:dyDescent="0.25"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  <c r="AK656" s="4"/>
    </row>
    <row r="657" spans="2:37" ht="12.75" customHeight="1" x14ac:dyDescent="0.25"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  <c r="AK657" s="4"/>
    </row>
    <row r="658" spans="2:37" ht="12.75" customHeight="1" x14ac:dyDescent="0.25"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  <c r="AK658" s="4"/>
    </row>
    <row r="659" spans="2:37" ht="12.75" customHeight="1" x14ac:dyDescent="0.25"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  <c r="AK659" s="4"/>
    </row>
    <row r="660" spans="2:37" ht="12.75" customHeight="1" x14ac:dyDescent="0.25"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  <c r="AK660" s="4"/>
    </row>
    <row r="661" spans="2:37" ht="12.75" customHeight="1" x14ac:dyDescent="0.25"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  <c r="AK661" s="4"/>
    </row>
    <row r="662" spans="2:37" ht="12.75" customHeight="1" x14ac:dyDescent="0.25"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  <c r="AK662" s="4"/>
    </row>
    <row r="663" spans="2:37" ht="12.75" customHeight="1" x14ac:dyDescent="0.25"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  <c r="AK663" s="4"/>
    </row>
    <row r="664" spans="2:37" ht="12.75" customHeight="1" x14ac:dyDescent="0.25"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  <c r="AK664" s="4"/>
    </row>
    <row r="665" spans="2:37" ht="12.75" customHeight="1" x14ac:dyDescent="0.25"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  <c r="AK665" s="4"/>
    </row>
    <row r="666" spans="2:37" ht="12.75" customHeight="1" x14ac:dyDescent="0.25"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  <c r="AK666" s="4"/>
    </row>
    <row r="667" spans="2:37" ht="12.75" customHeight="1" x14ac:dyDescent="0.25"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  <c r="AK667" s="4"/>
    </row>
    <row r="668" spans="2:37" ht="12.75" customHeight="1" x14ac:dyDescent="0.25"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  <c r="AK668" s="4"/>
    </row>
    <row r="669" spans="2:37" ht="12.75" customHeight="1" x14ac:dyDescent="0.25"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  <c r="AK669" s="4"/>
    </row>
    <row r="670" spans="2:37" ht="12.75" customHeight="1" x14ac:dyDescent="0.25"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  <c r="AK670" s="4"/>
    </row>
    <row r="671" spans="2:37" ht="12.75" customHeight="1" x14ac:dyDescent="0.25"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  <c r="AK671" s="4"/>
    </row>
    <row r="672" spans="2:37" ht="12.75" customHeight="1" x14ac:dyDescent="0.25"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  <c r="AK672" s="4"/>
    </row>
    <row r="673" spans="2:37" ht="12.75" customHeight="1" x14ac:dyDescent="0.25"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  <c r="AK673" s="4"/>
    </row>
    <row r="674" spans="2:37" ht="12.75" customHeight="1" x14ac:dyDescent="0.25"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  <c r="AK674" s="4"/>
    </row>
    <row r="675" spans="2:37" ht="12.75" customHeight="1" x14ac:dyDescent="0.25"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  <c r="AK675" s="4"/>
    </row>
    <row r="676" spans="2:37" ht="12.75" customHeight="1" x14ac:dyDescent="0.25"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  <c r="AK676" s="4"/>
    </row>
    <row r="677" spans="2:37" ht="12.75" customHeight="1" x14ac:dyDescent="0.25"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  <c r="AK677" s="4"/>
    </row>
    <row r="678" spans="2:37" ht="12.75" customHeight="1" x14ac:dyDescent="0.25"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  <c r="AK678" s="4"/>
    </row>
    <row r="679" spans="2:37" ht="12.75" customHeight="1" x14ac:dyDescent="0.25"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  <c r="AK679" s="4"/>
    </row>
    <row r="680" spans="2:37" ht="12.75" customHeight="1" x14ac:dyDescent="0.25"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  <c r="AK680" s="4"/>
    </row>
    <row r="681" spans="2:37" ht="12.75" customHeight="1" x14ac:dyDescent="0.25"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  <c r="AK681" s="4"/>
    </row>
    <row r="682" spans="2:37" ht="12.75" customHeight="1" x14ac:dyDescent="0.25"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  <c r="AK682" s="4"/>
    </row>
    <row r="683" spans="2:37" ht="12.75" customHeight="1" x14ac:dyDescent="0.25"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  <c r="AK683" s="4"/>
    </row>
    <row r="684" spans="2:37" ht="12.75" customHeight="1" x14ac:dyDescent="0.25"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  <c r="AK684" s="4"/>
    </row>
    <row r="685" spans="2:37" ht="12.75" customHeight="1" x14ac:dyDescent="0.25"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  <c r="AK685" s="4"/>
    </row>
    <row r="686" spans="2:37" ht="12.75" customHeight="1" x14ac:dyDescent="0.25"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  <c r="AK686" s="4"/>
    </row>
    <row r="687" spans="2:37" ht="12.75" customHeight="1" x14ac:dyDescent="0.25"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  <c r="AK687" s="4"/>
    </row>
    <row r="688" spans="2:37" ht="12.75" customHeight="1" x14ac:dyDescent="0.25"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  <c r="AK688" s="4"/>
    </row>
    <row r="689" spans="2:37" ht="12.75" customHeight="1" x14ac:dyDescent="0.25"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  <c r="AK689" s="4"/>
    </row>
    <row r="690" spans="2:37" ht="12.75" customHeight="1" x14ac:dyDescent="0.25"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  <c r="AK690" s="4"/>
    </row>
    <row r="691" spans="2:37" ht="12.75" customHeight="1" x14ac:dyDescent="0.25"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  <c r="AK691" s="4"/>
    </row>
    <row r="692" spans="2:37" ht="12.75" customHeight="1" x14ac:dyDescent="0.25"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  <c r="AK692" s="4"/>
    </row>
    <row r="693" spans="2:37" ht="12.75" customHeight="1" x14ac:dyDescent="0.25"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  <c r="AK693" s="4"/>
    </row>
    <row r="694" spans="2:37" ht="12.75" customHeight="1" x14ac:dyDescent="0.25"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  <c r="AK694" s="4"/>
    </row>
    <row r="695" spans="2:37" ht="12.75" customHeight="1" x14ac:dyDescent="0.25"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  <c r="AK695" s="4"/>
    </row>
    <row r="696" spans="2:37" ht="12.75" customHeight="1" x14ac:dyDescent="0.25"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  <c r="AK696" s="4"/>
    </row>
    <row r="697" spans="2:37" ht="12.75" customHeight="1" x14ac:dyDescent="0.25"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  <c r="AK697" s="4"/>
    </row>
    <row r="698" spans="2:37" ht="12.75" customHeight="1" x14ac:dyDescent="0.25"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  <c r="AK698" s="4"/>
    </row>
    <row r="699" spans="2:37" ht="12.75" customHeight="1" x14ac:dyDescent="0.25"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  <c r="AK699" s="4"/>
    </row>
    <row r="700" spans="2:37" ht="12.75" customHeight="1" x14ac:dyDescent="0.25"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  <c r="AK700" s="4"/>
    </row>
    <row r="701" spans="2:37" ht="12.75" customHeight="1" x14ac:dyDescent="0.25"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  <c r="AK701" s="4"/>
    </row>
    <row r="702" spans="2:37" ht="12.75" customHeight="1" x14ac:dyDescent="0.25"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  <c r="AK702" s="4"/>
    </row>
    <row r="703" spans="2:37" ht="12.75" customHeight="1" x14ac:dyDescent="0.25"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  <c r="AK703" s="4"/>
    </row>
    <row r="704" spans="2:37" ht="12.75" customHeight="1" x14ac:dyDescent="0.25"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  <c r="AK704" s="4"/>
    </row>
    <row r="705" spans="2:37" ht="12.75" customHeight="1" x14ac:dyDescent="0.25"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  <c r="AK705" s="4"/>
    </row>
    <row r="706" spans="2:37" ht="12.75" customHeight="1" x14ac:dyDescent="0.25"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  <c r="AK706" s="4"/>
    </row>
    <row r="707" spans="2:37" ht="12.75" customHeight="1" x14ac:dyDescent="0.25"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  <c r="AK707" s="4"/>
    </row>
    <row r="708" spans="2:37" ht="12.75" customHeight="1" x14ac:dyDescent="0.25"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  <c r="AK708" s="4"/>
    </row>
    <row r="709" spans="2:37" ht="12.75" customHeight="1" x14ac:dyDescent="0.25"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  <c r="AK709" s="4"/>
    </row>
    <row r="710" spans="2:37" ht="12.75" customHeight="1" x14ac:dyDescent="0.25"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  <c r="AK710" s="4"/>
    </row>
    <row r="711" spans="2:37" ht="12.75" customHeight="1" x14ac:dyDescent="0.25"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  <c r="AK711" s="4"/>
    </row>
    <row r="712" spans="2:37" ht="12.75" customHeight="1" x14ac:dyDescent="0.25"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  <c r="AK712" s="4"/>
    </row>
    <row r="713" spans="2:37" ht="12.75" customHeight="1" x14ac:dyDescent="0.25"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  <c r="AK713" s="4"/>
    </row>
    <row r="714" spans="2:37" ht="12.75" customHeight="1" x14ac:dyDescent="0.25"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  <c r="AK714" s="4"/>
    </row>
    <row r="715" spans="2:37" ht="12.75" customHeight="1" x14ac:dyDescent="0.25"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  <c r="AK715" s="4"/>
    </row>
    <row r="716" spans="2:37" ht="12.75" customHeight="1" x14ac:dyDescent="0.25"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  <c r="AK716" s="4"/>
    </row>
    <row r="717" spans="2:37" ht="12.75" customHeight="1" x14ac:dyDescent="0.25"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  <c r="AK717" s="4"/>
    </row>
    <row r="718" spans="2:37" ht="12.75" customHeight="1" x14ac:dyDescent="0.25"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  <c r="AK718" s="4"/>
    </row>
    <row r="719" spans="2:37" ht="12.75" customHeight="1" x14ac:dyDescent="0.25"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  <c r="AK719" s="4"/>
    </row>
    <row r="720" spans="2:37" ht="12.75" customHeight="1" x14ac:dyDescent="0.25"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  <c r="AK720" s="4"/>
    </row>
    <row r="721" spans="2:37" ht="12.75" customHeight="1" x14ac:dyDescent="0.25"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4"/>
      <c r="AK721" s="4"/>
    </row>
    <row r="722" spans="2:37" ht="12.75" customHeight="1" x14ac:dyDescent="0.25"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  <c r="AK722" s="4"/>
    </row>
    <row r="723" spans="2:37" ht="12.75" customHeight="1" x14ac:dyDescent="0.25"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  <c r="AK723" s="4"/>
    </row>
    <row r="724" spans="2:37" ht="12.75" customHeight="1" x14ac:dyDescent="0.25"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  <c r="AK724" s="4"/>
    </row>
    <row r="725" spans="2:37" ht="12.75" customHeight="1" x14ac:dyDescent="0.25"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  <c r="AK725" s="4"/>
    </row>
    <row r="726" spans="2:37" ht="12.75" customHeight="1" x14ac:dyDescent="0.25"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  <c r="AK726" s="4"/>
    </row>
    <row r="727" spans="2:37" ht="12.75" customHeight="1" x14ac:dyDescent="0.25"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  <c r="AK727" s="4"/>
    </row>
    <row r="728" spans="2:37" ht="12.75" customHeight="1" x14ac:dyDescent="0.25"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  <c r="AK728" s="4"/>
    </row>
    <row r="729" spans="2:37" ht="12.75" customHeight="1" x14ac:dyDescent="0.25"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  <c r="AK729" s="4"/>
    </row>
    <row r="730" spans="2:37" ht="12.75" customHeight="1" x14ac:dyDescent="0.25"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  <c r="AK730" s="4"/>
    </row>
    <row r="731" spans="2:37" ht="12.75" customHeight="1" x14ac:dyDescent="0.25"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  <c r="AK731" s="4"/>
    </row>
    <row r="732" spans="2:37" ht="12.75" customHeight="1" x14ac:dyDescent="0.25"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  <c r="AK732" s="4"/>
    </row>
    <row r="733" spans="2:37" ht="12.75" customHeight="1" x14ac:dyDescent="0.25"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  <c r="AK733" s="4"/>
    </row>
    <row r="734" spans="2:37" ht="12.75" customHeight="1" x14ac:dyDescent="0.25"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  <c r="AK734" s="4"/>
    </row>
    <row r="735" spans="2:37" ht="12.75" customHeight="1" x14ac:dyDescent="0.25"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  <c r="AK735" s="4"/>
    </row>
    <row r="736" spans="2:37" ht="12.75" customHeight="1" x14ac:dyDescent="0.25"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  <c r="AK736" s="4"/>
    </row>
    <row r="737" spans="2:37" ht="12.75" customHeight="1" x14ac:dyDescent="0.25"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  <c r="AK737" s="4"/>
    </row>
    <row r="738" spans="2:37" ht="12.75" customHeight="1" x14ac:dyDescent="0.25"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  <c r="AK738" s="4"/>
    </row>
    <row r="739" spans="2:37" ht="12.75" customHeight="1" x14ac:dyDescent="0.25"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  <c r="AK739" s="4"/>
    </row>
    <row r="740" spans="2:37" ht="12.75" customHeight="1" x14ac:dyDescent="0.25"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  <c r="AK740" s="4"/>
    </row>
    <row r="741" spans="2:37" ht="12.75" customHeight="1" x14ac:dyDescent="0.25"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  <c r="AK741" s="4"/>
    </row>
    <row r="742" spans="2:37" ht="12.75" customHeight="1" x14ac:dyDescent="0.25"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  <c r="AK742" s="4"/>
    </row>
    <row r="743" spans="2:37" ht="12.75" customHeight="1" x14ac:dyDescent="0.25"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  <c r="AK743" s="4"/>
    </row>
    <row r="744" spans="2:37" ht="12.75" customHeight="1" x14ac:dyDescent="0.25"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  <c r="AK744" s="4"/>
    </row>
    <row r="745" spans="2:37" ht="12.75" customHeight="1" x14ac:dyDescent="0.25"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  <c r="AK745" s="4"/>
    </row>
    <row r="746" spans="2:37" ht="12.75" customHeight="1" x14ac:dyDescent="0.25"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  <c r="AK746" s="4"/>
    </row>
    <row r="747" spans="2:37" ht="12.75" customHeight="1" x14ac:dyDescent="0.25"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  <c r="AK747" s="4"/>
    </row>
    <row r="748" spans="2:37" ht="12.75" customHeight="1" x14ac:dyDescent="0.25"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  <c r="AK748" s="4"/>
    </row>
    <row r="749" spans="2:37" ht="12.75" customHeight="1" x14ac:dyDescent="0.25"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4"/>
      <c r="AK749" s="4"/>
    </row>
    <row r="750" spans="2:37" ht="12.75" customHeight="1" x14ac:dyDescent="0.25"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  <c r="AK750" s="4"/>
    </row>
    <row r="751" spans="2:37" ht="12.75" customHeight="1" x14ac:dyDescent="0.25"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  <c r="AK751" s="4"/>
    </row>
    <row r="752" spans="2:37" ht="12.75" customHeight="1" x14ac:dyDescent="0.25"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  <c r="AK752" s="4"/>
    </row>
    <row r="753" spans="2:37" ht="12.75" customHeight="1" x14ac:dyDescent="0.25"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/>
      <c r="AK753" s="4"/>
    </row>
    <row r="754" spans="2:37" ht="12.75" customHeight="1" x14ac:dyDescent="0.25"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  <c r="AK754" s="4"/>
    </row>
    <row r="755" spans="2:37" ht="12.75" customHeight="1" x14ac:dyDescent="0.25"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  <c r="AJ755" s="4"/>
      <c r="AK755" s="4"/>
    </row>
    <row r="756" spans="2:37" ht="12.75" customHeight="1" x14ac:dyDescent="0.25"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4"/>
      <c r="AK756" s="4"/>
    </row>
    <row r="757" spans="2:37" ht="12.75" customHeight="1" x14ac:dyDescent="0.25"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4"/>
      <c r="AK757" s="4"/>
    </row>
    <row r="758" spans="2:37" ht="12.75" customHeight="1" x14ac:dyDescent="0.25"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  <c r="AK758" s="4"/>
    </row>
    <row r="759" spans="2:37" ht="12.75" customHeight="1" x14ac:dyDescent="0.25"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  <c r="AK759" s="4"/>
    </row>
    <row r="760" spans="2:37" ht="12.75" customHeight="1" x14ac:dyDescent="0.25"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4"/>
      <c r="AK760" s="4"/>
    </row>
    <row r="761" spans="2:37" ht="12.75" customHeight="1" x14ac:dyDescent="0.25"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4"/>
      <c r="AK761" s="4"/>
    </row>
    <row r="762" spans="2:37" ht="12.75" customHeight="1" x14ac:dyDescent="0.25"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</row>
    <row r="763" spans="2:37" ht="12.75" customHeight="1" x14ac:dyDescent="0.25"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  <c r="AK763" s="4"/>
    </row>
    <row r="764" spans="2:37" ht="12.75" customHeight="1" x14ac:dyDescent="0.25"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4"/>
    </row>
    <row r="765" spans="2:37" ht="12.75" customHeight="1" x14ac:dyDescent="0.25"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  <c r="AK765" s="4"/>
    </row>
    <row r="766" spans="2:37" ht="12.75" customHeight="1" x14ac:dyDescent="0.25"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4"/>
      <c r="AK766" s="4"/>
    </row>
    <row r="767" spans="2:37" ht="12.75" customHeight="1" x14ac:dyDescent="0.25"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4"/>
      <c r="AK767" s="4"/>
    </row>
    <row r="768" spans="2:37" ht="12.75" customHeight="1" x14ac:dyDescent="0.25"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  <c r="AK768" s="4"/>
    </row>
    <row r="769" spans="2:37" ht="12.75" customHeight="1" x14ac:dyDescent="0.25"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  <c r="AK769" s="4"/>
    </row>
    <row r="770" spans="2:37" ht="12.75" customHeight="1" x14ac:dyDescent="0.25"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</row>
    <row r="771" spans="2:37" ht="12.75" customHeight="1" x14ac:dyDescent="0.25"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  <c r="AK771" s="4"/>
    </row>
    <row r="772" spans="2:37" ht="12.75" customHeight="1" x14ac:dyDescent="0.25"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  <c r="AK772" s="4"/>
    </row>
    <row r="773" spans="2:37" ht="12.75" customHeight="1" x14ac:dyDescent="0.25"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4"/>
      <c r="AK773" s="4"/>
    </row>
    <row r="774" spans="2:37" ht="12.75" customHeight="1" x14ac:dyDescent="0.25"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4"/>
    </row>
    <row r="775" spans="2:37" ht="12.75" customHeight="1" x14ac:dyDescent="0.25"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  <c r="AK775" s="4"/>
    </row>
    <row r="776" spans="2:37" ht="12.75" customHeight="1" x14ac:dyDescent="0.25"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  <c r="AK776" s="4"/>
    </row>
    <row r="777" spans="2:37" ht="12.75" customHeight="1" x14ac:dyDescent="0.25"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4"/>
      <c r="AK777" s="4"/>
    </row>
    <row r="778" spans="2:37" ht="12.75" customHeight="1" x14ac:dyDescent="0.25"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  <c r="AK778" s="4"/>
    </row>
    <row r="779" spans="2:37" ht="12.75" customHeight="1" x14ac:dyDescent="0.25"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  <c r="AJ779" s="4"/>
      <c r="AK779" s="4"/>
    </row>
    <row r="780" spans="2:37" ht="12.75" customHeight="1" x14ac:dyDescent="0.25"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/>
      <c r="AK780" s="4"/>
    </row>
    <row r="781" spans="2:37" ht="12.75" customHeight="1" x14ac:dyDescent="0.25"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/>
      <c r="AK781" s="4"/>
    </row>
    <row r="782" spans="2:37" ht="12.75" customHeight="1" x14ac:dyDescent="0.25"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  <c r="AK782" s="4"/>
    </row>
    <row r="783" spans="2:37" ht="12.75" customHeight="1" x14ac:dyDescent="0.25"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  <c r="AK783" s="4"/>
    </row>
    <row r="784" spans="2:37" ht="12.75" customHeight="1" x14ac:dyDescent="0.25"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  <c r="AK784" s="4"/>
    </row>
    <row r="785" spans="2:37" ht="12.75" customHeight="1" x14ac:dyDescent="0.25"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4"/>
      <c r="AK785" s="4"/>
    </row>
    <row r="786" spans="2:37" ht="12.75" customHeight="1" x14ac:dyDescent="0.25"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  <c r="AK786" s="4"/>
    </row>
    <row r="787" spans="2:37" ht="12.75" customHeight="1" x14ac:dyDescent="0.25"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  <c r="AK787" s="4"/>
    </row>
    <row r="788" spans="2:37" ht="12.75" customHeight="1" x14ac:dyDescent="0.25"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  <c r="AK788" s="4"/>
    </row>
    <row r="789" spans="2:37" ht="12.75" customHeight="1" x14ac:dyDescent="0.25"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4"/>
      <c r="AK789" s="4"/>
    </row>
    <row r="790" spans="2:37" ht="12.75" customHeight="1" x14ac:dyDescent="0.25"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4"/>
      <c r="AK790" s="4"/>
    </row>
    <row r="791" spans="2:37" ht="12.75" customHeight="1" x14ac:dyDescent="0.25"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  <c r="AK791" s="4"/>
    </row>
    <row r="792" spans="2:37" ht="12.75" customHeight="1" x14ac:dyDescent="0.25"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/>
      <c r="AK792" s="4"/>
    </row>
    <row r="793" spans="2:37" ht="12.75" customHeight="1" x14ac:dyDescent="0.25"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4"/>
      <c r="AK793" s="4"/>
    </row>
    <row r="794" spans="2:37" ht="12.75" customHeight="1" x14ac:dyDescent="0.25"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4"/>
      <c r="AK794" s="4"/>
    </row>
    <row r="795" spans="2:37" ht="12.75" customHeight="1" x14ac:dyDescent="0.25"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/>
      <c r="AK795" s="4"/>
    </row>
    <row r="796" spans="2:37" ht="12.75" customHeight="1" x14ac:dyDescent="0.25"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4"/>
      <c r="AK796" s="4"/>
    </row>
    <row r="797" spans="2:37" ht="12.75" customHeight="1" x14ac:dyDescent="0.25"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4"/>
      <c r="AK797" s="4"/>
    </row>
    <row r="798" spans="2:37" ht="12.75" customHeight="1" x14ac:dyDescent="0.25"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4"/>
      <c r="AK798" s="4"/>
    </row>
    <row r="799" spans="2:37" ht="12.75" customHeight="1" x14ac:dyDescent="0.25"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4"/>
      <c r="AK799" s="4"/>
    </row>
    <row r="800" spans="2:37" ht="12.75" customHeight="1" x14ac:dyDescent="0.25"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4"/>
      <c r="AK800" s="4"/>
    </row>
    <row r="801" spans="2:37" ht="12.75" customHeight="1" x14ac:dyDescent="0.25"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  <c r="AJ801" s="4"/>
      <c r="AK801" s="4"/>
    </row>
    <row r="802" spans="2:37" ht="12.75" customHeight="1" x14ac:dyDescent="0.25"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4"/>
      <c r="AK802" s="4"/>
    </row>
    <row r="803" spans="2:37" ht="12.75" customHeight="1" x14ac:dyDescent="0.25"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  <c r="AK803" s="4"/>
    </row>
    <row r="804" spans="2:37" ht="12.75" customHeight="1" x14ac:dyDescent="0.25"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  <c r="AK804" s="4"/>
    </row>
    <row r="805" spans="2:37" ht="12.75" customHeight="1" x14ac:dyDescent="0.25"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  <c r="AJ805" s="4"/>
      <c r="AK805" s="4"/>
    </row>
    <row r="806" spans="2:37" ht="12.75" customHeight="1" x14ac:dyDescent="0.25"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  <c r="AK806" s="4"/>
    </row>
    <row r="807" spans="2:37" ht="12.75" customHeight="1" x14ac:dyDescent="0.25"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  <c r="AJ807" s="4"/>
      <c r="AK807" s="4"/>
    </row>
    <row r="808" spans="2:37" ht="12.75" customHeight="1" x14ac:dyDescent="0.25"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  <c r="AJ808" s="4"/>
      <c r="AK808" s="4"/>
    </row>
    <row r="809" spans="2:37" ht="12.75" customHeight="1" x14ac:dyDescent="0.25"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  <c r="AJ809" s="4"/>
      <c r="AK809" s="4"/>
    </row>
    <row r="810" spans="2:37" ht="12.75" customHeight="1" x14ac:dyDescent="0.25"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4"/>
      <c r="AK810" s="4"/>
    </row>
    <row r="811" spans="2:37" ht="12.75" customHeight="1" x14ac:dyDescent="0.25"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4"/>
      <c r="AK811" s="4"/>
    </row>
    <row r="812" spans="2:37" ht="12.75" customHeight="1" x14ac:dyDescent="0.25"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4"/>
      <c r="AK812" s="4"/>
    </row>
    <row r="813" spans="2:37" ht="12.75" customHeight="1" x14ac:dyDescent="0.25"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  <c r="AJ813" s="4"/>
      <c r="AK813" s="4"/>
    </row>
    <row r="814" spans="2:37" ht="12.75" customHeight="1" x14ac:dyDescent="0.25"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  <c r="AJ814" s="4"/>
      <c r="AK814" s="4"/>
    </row>
    <row r="815" spans="2:37" ht="12.75" customHeight="1" x14ac:dyDescent="0.25"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  <c r="AJ815" s="4"/>
      <c r="AK815" s="4"/>
    </row>
    <row r="816" spans="2:37" ht="12.75" customHeight="1" x14ac:dyDescent="0.25"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  <c r="AK816" s="4"/>
    </row>
    <row r="817" spans="2:37" ht="12.75" customHeight="1" x14ac:dyDescent="0.25"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4"/>
      <c r="AK817" s="4"/>
    </row>
    <row r="818" spans="2:37" ht="12.75" customHeight="1" x14ac:dyDescent="0.25"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  <c r="AJ818" s="4"/>
      <c r="AK818" s="4"/>
    </row>
    <row r="819" spans="2:37" ht="12.75" customHeight="1" x14ac:dyDescent="0.25"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4"/>
      <c r="AK819" s="4"/>
    </row>
    <row r="820" spans="2:37" ht="12.75" customHeight="1" x14ac:dyDescent="0.25"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  <c r="AJ820" s="4"/>
      <c r="AK820" s="4"/>
    </row>
    <row r="821" spans="2:37" ht="12.75" customHeight="1" x14ac:dyDescent="0.25"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  <c r="AJ821" s="4"/>
      <c r="AK821" s="4"/>
    </row>
    <row r="822" spans="2:37" ht="12.75" customHeight="1" x14ac:dyDescent="0.25"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  <c r="AJ822" s="4"/>
      <c r="AK822" s="4"/>
    </row>
    <row r="823" spans="2:37" ht="12.75" customHeight="1" x14ac:dyDescent="0.25"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  <c r="AJ823" s="4"/>
      <c r="AK823" s="4"/>
    </row>
    <row r="824" spans="2:37" ht="12.75" customHeight="1" x14ac:dyDescent="0.25"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4"/>
      <c r="AK824" s="4"/>
    </row>
    <row r="825" spans="2:37" ht="12.75" customHeight="1" x14ac:dyDescent="0.25"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4"/>
      <c r="AK825" s="4"/>
    </row>
    <row r="826" spans="2:37" ht="12.75" customHeight="1" x14ac:dyDescent="0.25"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  <c r="AK826" s="4"/>
    </row>
    <row r="827" spans="2:37" ht="12.75" customHeight="1" x14ac:dyDescent="0.25"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4"/>
      <c r="AK827" s="4"/>
    </row>
    <row r="828" spans="2:37" ht="12.75" customHeight="1" x14ac:dyDescent="0.25"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4"/>
      <c r="AK828" s="4"/>
    </row>
    <row r="829" spans="2:37" ht="12.75" customHeight="1" x14ac:dyDescent="0.25"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4"/>
      <c r="AK829" s="4"/>
    </row>
    <row r="830" spans="2:37" ht="12.75" customHeight="1" x14ac:dyDescent="0.25"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4"/>
      <c r="AK830" s="4"/>
    </row>
    <row r="831" spans="2:37" ht="12.75" customHeight="1" x14ac:dyDescent="0.25"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  <c r="AJ831" s="4"/>
      <c r="AK831" s="4"/>
    </row>
    <row r="832" spans="2:37" ht="12.75" customHeight="1" x14ac:dyDescent="0.25"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  <c r="AJ832" s="4"/>
      <c r="AK832" s="4"/>
    </row>
    <row r="833" spans="2:37" ht="12.75" customHeight="1" x14ac:dyDescent="0.25"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  <c r="AJ833" s="4"/>
      <c r="AK833" s="4"/>
    </row>
    <row r="834" spans="2:37" ht="12.75" customHeight="1" x14ac:dyDescent="0.25"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4"/>
      <c r="AK834" s="4"/>
    </row>
    <row r="835" spans="2:37" ht="12.75" customHeight="1" x14ac:dyDescent="0.25"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  <c r="AJ835" s="4"/>
      <c r="AK835" s="4"/>
    </row>
    <row r="836" spans="2:37" ht="12.75" customHeight="1" x14ac:dyDescent="0.25"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  <c r="AJ836" s="4"/>
      <c r="AK836" s="4"/>
    </row>
    <row r="837" spans="2:37" ht="12.75" customHeight="1" x14ac:dyDescent="0.25"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  <c r="AJ837" s="4"/>
      <c r="AK837" s="4"/>
    </row>
    <row r="838" spans="2:37" ht="12.75" customHeight="1" x14ac:dyDescent="0.25"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  <c r="AJ838" s="4"/>
      <c r="AK838" s="4"/>
    </row>
    <row r="839" spans="2:37" ht="12.75" customHeight="1" x14ac:dyDescent="0.25"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  <c r="AJ839" s="4"/>
      <c r="AK839" s="4"/>
    </row>
    <row r="840" spans="2:37" ht="12.75" customHeight="1" x14ac:dyDescent="0.25"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  <c r="AJ840" s="4"/>
      <c r="AK840" s="4"/>
    </row>
    <row r="841" spans="2:37" ht="12.75" customHeight="1" x14ac:dyDescent="0.25"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  <c r="AJ841" s="4"/>
      <c r="AK841" s="4"/>
    </row>
    <row r="842" spans="2:37" ht="12.75" customHeight="1" x14ac:dyDescent="0.25"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  <c r="AJ842" s="4"/>
      <c r="AK842" s="4"/>
    </row>
    <row r="843" spans="2:37" ht="12.75" customHeight="1" x14ac:dyDescent="0.25"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  <c r="AJ843" s="4"/>
      <c r="AK843" s="4"/>
    </row>
    <row r="844" spans="2:37" ht="12.75" customHeight="1" x14ac:dyDescent="0.25"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  <c r="AJ844" s="4"/>
      <c r="AK844" s="4"/>
    </row>
    <row r="845" spans="2:37" ht="12.75" customHeight="1" x14ac:dyDescent="0.25"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  <c r="AJ845" s="4"/>
      <c r="AK845" s="4"/>
    </row>
    <row r="846" spans="2:37" ht="12.75" customHeight="1" x14ac:dyDescent="0.25"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  <c r="AJ846" s="4"/>
      <c r="AK846" s="4"/>
    </row>
    <row r="847" spans="2:37" ht="12.75" customHeight="1" x14ac:dyDescent="0.25"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  <c r="AJ847" s="4"/>
      <c r="AK847" s="4"/>
    </row>
    <row r="848" spans="2:37" ht="12.75" customHeight="1" x14ac:dyDescent="0.25"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  <c r="AJ848" s="4"/>
      <c r="AK848" s="4"/>
    </row>
    <row r="849" spans="2:37" ht="12.75" customHeight="1" x14ac:dyDescent="0.25"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  <c r="AJ849" s="4"/>
      <c r="AK849" s="4"/>
    </row>
    <row r="850" spans="2:37" ht="12.75" customHeight="1" x14ac:dyDescent="0.25"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  <c r="AJ850" s="4"/>
      <c r="AK850" s="4"/>
    </row>
    <row r="851" spans="2:37" ht="12.75" customHeight="1" x14ac:dyDescent="0.25"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  <c r="AJ851" s="4"/>
      <c r="AK851" s="4"/>
    </row>
    <row r="852" spans="2:37" ht="12.75" customHeight="1" x14ac:dyDescent="0.25"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  <c r="AJ852" s="4"/>
      <c r="AK852" s="4"/>
    </row>
    <row r="853" spans="2:37" ht="12.75" customHeight="1" x14ac:dyDescent="0.25"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  <c r="AJ853" s="4"/>
      <c r="AK853" s="4"/>
    </row>
    <row r="854" spans="2:37" ht="12.75" customHeight="1" x14ac:dyDescent="0.25"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  <c r="AK854" s="4"/>
    </row>
    <row r="855" spans="2:37" ht="12.75" customHeight="1" x14ac:dyDescent="0.25"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  <c r="AJ855" s="4"/>
      <c r="AK855" s="4"/>
    </row>
    <row r="856" spans="2:37" ht="12.75" customHeight="1" x14ac:dyDescent="0.25"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  <c r="AJ856" s="4"/>
      <c r="AK856" s="4"/>
    </row>
    <row r="857" spans="2:37" ht="12.75" customHeight="1" x14ac:dyDescent="0.25"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  <c r="AJ857" s="4"/>
      <c r="AK857" s="4"/>
    </row>
    <row r="858" spans="2:37" ht="12.75" customHeight="1" x14ac:dyDescent="0.25"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  <c r="AJ858" s="4"/>
      <c r="AK858" s="4"/>
    </row>
    <row r="859" spans="2:37" ht="12.75" customHeight="1" x14ac:dyDescent="0.25"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  <c r="AJ859" s="4"/>
      <c r="AK859" s="4"/>
    </row>
    <row r="860" spans="2:37" ht="12.75" customHeight="1" x14ac:dyDescent="0.25"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  <c r="AJ860" s="4"/>
      <c r="AK860" s="4"/>
    </row>
    <row r="861" spans="2:37" ht="12.75" customHeight="1" x14ac:dyDescent="0.25"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  <c r="AJ861" s="4"/>
      <c r="AK861" s="4"/>
    </row>
    <row r="862" spans="2:37" ht="12.75" customHeight="1" x14ac:dyDescent="0.25"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  <c r="AJ862" s="4"/>
      <c r="AK862" s="4"/>
    </row>
    <row r="863" spans="2:37" ht="12.75" customHeight="1" x14ac:dyDescent="0.25"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  <c r="AJ863" s="4"/>
      <c r="AK863" s="4"/>
    </row>
    <row r="864" spans="2:37" ht="12.75" customHeight="1" x14ac:dyDescent="0.25"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  <c r="AJ864" s="4"/>
      <c r="AK864" s="4"/>
    </row>
    <row r="865" spans="2:37" ht="12.75" customHeight="1" x14ac:dyDescent="0.25"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  <c r="AJ865" s="4"/>
      <c r="AK865" s="4"/>
    </row>
    <row r="866" spans="2:37" ht="12.75" customHeight="1" x14ac:dyDescent="0.25"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  <c r="AJ866" s="4"/>
      <c r="AK866" s="4"/>
    </row>
    <row r="867" spans="2:37" ht="12.75" customHeight="1" x14ac:dyDescent="0.25"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  <c r="AJ867" s="4"/>
      <c r="AK867" s="4"/>
    </row>
    <row r="868" spans="2:37" ht="12.75" customHeight="1" x14ac:dyDescent="0.25"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  <c r="AJ868" s="4"/>
      <c r="AK868" s="4"/>
    </row>
    <row r="869" spans="2:37" ht="12.75" customHeight="1" x14ac:dyDescent="0.25"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  <c r="AJ869" s="4"/>
      <c r="AK869" s="4"/>
    </row>
    <row r="870" spans="2:37" ht="12.75" customHeight="1" x14ac:dyDescent="0.25"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  <c r="AJ870" s="4"/>
      <c r="AK870" s="4"/>
    </row>
    <row r="871" spans="2:37" ht="12.75" customHeight="1" x14ac:dyDescent="0.25"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  <c r="AJ871" s="4"/>
      <c r="AK871" s="4"/>
    </row>
    <row r="872" spans="2:37" ht="12.75" customHeight="1" x14ac:dyDescent="0.25"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  <c r="AJ872" s="4"/>
      <c r="AK872" s="4"/>
    </row>
    <row r="873" spans="2:37" ht="12.75" customHeight="1" x14ac:dyDescent="0.25"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  <c r="AJ873" s="4"/>
      <c r="AK873" s="4"/>
    </row>
    <row r="874" spans="2:37" ht="12.75" customHeight="1" x14ac:dyDescent="0.25"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  <c r="AJ874" s="4"/>
      <c r="AK874" s="4"/>
    </row>
    <row r="875" spans="2:37" ht="12.75" customHeight="1" x14ac:dyDescent="0.25"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  <c r="AJ875" s="4"/>
      <c r="AK875" s="4"/>
    </row>
    <row r="876" spans="2:37" ht="12.75" customHeight="1" x14ac:dyDescent="0.25"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  <c r="AJ876" s="4"/>
      <c r="AK876" s="4"/>
    </row>
    <row r="877" spans="2:37" ht="12.75" customHeight="1" x14ac:dyDescent="0.25"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  <c r="AJ877" s="4"/>
      <c r="AK877" s="4"/>
    </row>
    <row r="878" spans="2:37" ht="12.75" customHeight="1" x14ac:dyDescent="0.25"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  <c r="AJ878" s="4"/>
      <c r="AK878" s="4"/>
    </row>
    <row r="879" spans="2:37" ht="12.75" customHeight="1" x14ac:dyDescent="0.25"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  <c r="AJ879" s="4"/>
      <c r="AK879" s="4"/>
    </row>
    <row r="880" spans="2:37" ht="12.75" customHeight="1" x14ac:dyDescent="0.25"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  <c r="AJ880" s="4"/>
      <c r="AK880" s="4"/>
    </row>
    <row r="881" spans="2:37" ht="12.75" customHeight="1" x14ac:dyDescent="0.25"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  <c r="AJ881" s="4"/>
      <c r="AK881" s="4"/>
    </row>
    <row r="882" spans="2:37" ht="12.75" customHeight="1" x14ac:dyDescent="0.25"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  <c r="AJ882" s="4"/>
      <c r="AK882" s="4"/>
    </row>
    <row r="883" spans="2:37" ht="12.75" customHeight="1" x14ac:dyDescent="0.25"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  <c r="AJ883" s="4"/>
      <c r="AK883" s="4"/>
    </row>
    <row r="884" spans="2:37" ht="12.75" customHeight="1" x14ac:dyDescent="0.25"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  <c r="AJ884" s="4"/>
      <c r="AK884" s="4"/>
    </row>
    <row r="885" spans="2:37" ht="12.75" customHeight="1" x14ac:dyDescent="0.25"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  <c r="AJ885" s="4"/>
      <c r="AK885" s="4"/>
    </row>
    <row r="886" spans="2:37" ht="12.75" customHeight="1" x14ac:dyDescent="0.25"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  <c r="AJ886" s="4"/>
      <c r="AK886" s="4"/>
    </row>
    <row r="887" spans="2:37" ht="12.75" customHeight="1" x14ac:dyDescent="0.25"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  <c r="AJ887" s="4"/>
      <c r="AK887" s="4"/>
    </row>
    <row r="888" spans="2:37" ht="12.75" customHeight="1" x14ac:dyDescent="0.25"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  <c r="AJ888" s="4"/>
      <c r="AK888" s="4"/>
    </row>
    <row r="889" spans="2:37" ht="12.75" customHeight="1" x14ac:dyDescent="0.25"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  <c r="AJ889" s="4"/>
      <c r="AK889" s="4"/>
    </row>
    <row r="890" spans="2:37" ht="12.75" customHeight="1" x14ac:dyDescent="0.25"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  <c r="AJ890" s="4"/>
      <c r="AK890" s="4"/>
    </row>
    <row r="891" spans="2:37" ht="12.75" customHeight="1" x14ac:dyDescent="0.25"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  <c r="AJ891" s="4"/>
      <c r="AK891" s="4"/>
    </row>
    <row r="892" spans="2:37" ht="12.75" customHeight="1" x14ac:dyDescent="0.25"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  <c r="AJ892" s="4"/>
      <c r="AK892" s="4"/>
    </row>
    <row r="893" spans="2:37" ht="12.75" customHeight="1" x14ac:dyDescent="0.25"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  <c r="AJ893" s="4"/>
      <c r="AK893" s="4"/>
    </row>
    <row r="894" spans="2:37" ht="12.75" customHeight="1" x14ac:dyDescent="0.25"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  <c r="AJ894" s="4"/>
      <c r="AK894" s="4"/>
    </row>
    <row r="895" spans="2:37" ht="12.75" customHeight="1" x14ac:dyDescent="0.25"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  <c r="AJ895" s="4"/>
      <c r="AK895" s="4"/>
    </row>
    <row r="896" spans="2:37" ht="12.75" customHeight="1" x14ac:dyDescent="0.25"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  <c r="AJ896" s="4"/>
      <c r="AK896" s="4"/>
    </row>
    <row r="897" spans="2:37" ht="12.75" customHeight="1" x14ac:dyDescent="0.25"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  <c r="AJ897" s="4"/>
      <c r="AK897" s="4"/>
    </row>
    <row r="898" spans="2:37" ht="12.75" customHeight="1" x14ac:dyDescent="0.25"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  <c r="AJ898" s="4"/>
      <c r="AK898" s="4"/>
    </row>
    <row r="899" spans="2:37" ht="12.75" customHeight="1" x14ac:dyDescent="0.25"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  <c r="AJ899" s="4"/>
      <c r="AK899" s="4"/>
    </row>
    <row r="900" spans="2:37" ht="12.75" customHeight="1" x14ac:dyDescent="0.25"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  <c r="AJ900" s="4"/>
      <c r="AK900" s="4"/>
    </row>
    <row r="901" spans="2:37" ht="12.75" customHeight="1" x14ac:dyDescent="0.25"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  <c r="AJ901" s="4"/>
      <c r="AK901" s="4"/>
    </row>
    <row r="902" spans="2:37" ht="12.75" customHeight="1" x14ac:dyDescent="0.25"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  <c r="AJ902" s="4"/>
      <c r="AK902" s="4"/>
    </row>
    <row r="903" spans="2:37" ht="12.75" customHeight="1" x14ac:dyDescent="0.25"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  <c r="AJ903" s="4"/>
      <c r="AK903" s="4"/>
    </row>
    <row r="904" spans="2:37" ht="12.75" customHeight="1" x14ac:dyDescent="0.25"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  <c r="AJ904" s="4"/>
      <c r="AK904" s="4"/>
    </row>
    <row r="905" spans="2:37" ht="12.75" customHeight="1" x14ac:dyDescent="0.25"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  <c r="AJ905" s="4"/>
      <c r="AK905" s="4"/>
    </row>
    <row r="906" spans="2:37" ht="12.75" customHeight="1" x14ac:dyDescent="0.25"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  <c r="AJ906" s="4"/>
      <c r="AK906" s="4"/>
    </row>
    <row r="907" spans="2:37" ht="12.75" customHeight="1" x14ac:dyDescent="0.25"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  <c r="AJ907" s="4"/>
      <c r="AK907" s="4"/>
    </row>
    <row r="908" spans="2:37" ht="12.75" customHeight="1" x14ac:dyDescent="0.25"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  <c r="AJ908" s="4"/>
      <c r="AK908" s="4"/>
    </row>
    <row r="909" spans="2:37" ht="12.75" customHeight="1" x14ac:dyDescent="0.25"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  <c r="AJ909" s="4"/>
      <c r="AK909" s="4"/>
    </row>
    <row r="910" spans="2:37" ht="12.75" customHeight="1" x14ac:dyDescent="0.25"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  <c r="AJ910" s="4"/>
      <c r="AK910" s="4"/>
    </row>
    <row r="911" spans="2:37" ht="12.75" customHeight="1" x14ac:dyDescent="0.25"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  <c r="AJ911" s="4"/>
      <c r="AK911" s="4"/>
    </row>
    <row r="912" spans="2:37" ht="12.75" customHeight="1" x14ac:dyDescent="0.25"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  <c r="AJ912" s="4"/>
      <c r="AK912" s="4"/>
    </row>
    <row r="913" spans="2:37" ht="12.75" customHeight="1" x14ac:dyDescent="0.25"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  <c r="AJ913" s="4"/>
      <c r="AK913" s="4"/>
    </row>
    <row r="914" spans="2:37" ht="12.75" customHeight="1" x14ac:dyDescent="0.25"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  <c r="AJ914" s="4"/>
      <c r="AK914" s="4"/>
    </row>
    <row r="915" spans="2:37" ht="12.75" customHeight="1" x14ac:dyDescent="0.25"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  <c r="AJ915" s="4"/>
      <c r="AK915" s="4"/>
    </row>
    <row r="916" spans="2:37" ht="12.75" customHeight="1" x14ac:dyDescent="0.25"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  <c r="AJ916" s="4"/>
      <c r="AK916" s="4"/>
    </row>
    <row r="917" spans="2:37" ht="12.75" customHeight="1" x14ac:dyDescent="0.25"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  <c r="AJ917" s="4"/>
      <c r="AK917" s="4"/>
    </row>
    <row r="918" spans="2:37" ht="12.75" customHeight="1" x14ac:dyDescent="0.25"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  <c r="AJ918" s="4"/>
      <c r="AK918" s="4"/>
    </row>
    <row r="919" spans="2:37" ht="12.75" customHeight="1" x14ac:dyDescent="0.25"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  <c r="AJ919" s="4"/>
      <c r="AK919" s="4"/>
    </row>
    <row r="920" spans="2:37" ht="12.75" customHeight="1" x14ac:dyDescent="0.25"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  <c r="AJ920" s="4"/>
      <c r="AK920" s="4"/>
    </row>
    <row r="921" spans="2:37" ht="12.75" customHeight="1" x14ac:dyDescent="0.25"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  <c r="AJ921" s="4"/>
      <c r="AK921" s="4"/>
    </row>
    <row r="922" spans="2:37" ht="12.75" customHeight="1" x14ac:dyDescent="0.25"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  <c r="AJ922" s="4"/>
      <c r="AK922" s="4"/>
    </row>
    <row r="923" spans="2:37" ht="12.75" customHeight="1" x14ac:dyDescent="0.25"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  <c r="AJ923" s="4"/>
      <c r="AK923" s="4"/>
    </row>
    <row r="924" spans="2:37" ht="12.75" customHeight="1" x14ac:dyDescent="0.25"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  <c r="AJ924" s="4"/>
      <c r="AK924" s="4"/>
    </row>
    <row r="925" spans="2:37" ht="12.75" customHeight="1" x14ac:dyDescent="0.25"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  <c r="AJ925" s="4"/>
      <c r="AK925" s="4"/>
    </row>
    <row r="926" spans="2:37" ht="12.75" customHeight="1" x14ac:dyDescent="0.25"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  <c r="AJ926" s="4"/>
      <c r="AK926" s="4"/>
    </row>
    <row r="927" spans="2:37" ht="12.75" customHeight="1" x14ac:dyDescent="0.25"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  <c r="AJ927" s="4"/>
      <c r="AK927" s="4"/>
    </row>
    <row r="928" spans="2:37" ht="12.75" customHeight="1" x14ac:dyDescent="0.25"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  <c r="AJ928" s="4"/>
      <c r="AK928" s="4"/>
    </row>
    <row r="929" spans="2:37" ht="12.75" customHeight="1" x14ac:dyDescent="0.25"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  <c r="AJ929" s="4"/>
      <c r="AK929" s="4"/>
    </row>
    <row r="930" spans="2:37" ht="12.75" customHeight="1" x14ac:dyDescent="0.25"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  <c r="AJ930" s="4"/>
      <c r="AK930" s="4"/>
    </row>
    <row r="931" spans="2:37" ht="12.75" customHeight="1" x14ac:dyDescent="0.25"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  <c r="AJ931" s="4"/>
      <c r="AK931" s="4"/>
    </row>
    <row r="932" spans="2:37" ht="12.75" customHeight="1" x14ac:dyDescent="0.25"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  <c r="AJ932" s="4"/>
      <c r="AK932" s="4"/>
    </row>
    <row r="933" spans="2:37" ht="12.75" customHeight="1" x14ac:dyDescent="0.25"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  <c r="AJ933" s="4"/>
      <c r="AK933" s="4"/>
    </row>
    <row r="934" spans="2:37" ht="12.75" customHeight="1" x14ac:dyDescent="0.25"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  <c r="AJ934" s="4"/>
      <c r="AK934" s="4"/>
    </row>
  </sheetData>
  <autoFilter ref="A5:AK51" xr:uid="{8093F7E8-CB8F-41D5-BAFD-5534536EEB27}"/>
  <mergeCells count="1">
    <mergeCell ref="B2:O2"/>
  </mergeCells>
  <conditionalFormatting sqref="D6:T50 V6:V50 C6:C51">
    <cfRule type="cellIs" dxfId="8" priority="2" operator="lessThan">
      <formula>0</formula>
    </cfRule>
  </conditionalFormatting>
  <pageMargins left="0.7" right="0.7" top="0.75" bottom="0.75" header="0" footer="0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3D14DB-6138-45B8-910A-E8B2891BFB0F}">
  <dimension ref="A1:AK52"/>
  <sheetViews>
    <sheetView topLeftCell="C1" zoomScale="90" zoomScaleNormal="90" workbookViewId="0">
      <selection activeCell="H2" sqref="H2"/>
    </sheetView>
  </sheetViews>
  <sheetFormatPr baseColWidth="10" defaultRowHeight="15" x14ac:dyDescent="0.25"/>
  <cols>
    <col min="3" max="3" width="47.42578125" customWidth="1"/>
    <col min="4" max="4" width="27.7109375" customWidth="1"/>
    <col min="6" max="6" width="0" hidden="1" customWidth="1"/>
    <col min="10" max="10" width="14.140625" customWidth="1"/>
    <col min="15" max="15" width="15.42578125" customWidth="1"/>
    <col min="20" max="20" width="14.7109375" customWidth="1"/>
  </cols>
  <sheetData>
    <row r="1" spans="2:37" ht="44.45" customHeight="1" x14ac:dyDescent="0.25">
      <c r="B1" s="13" t="s">
        <v>1</v>
      </c>
      <c r="C1" s="13" t="s">
        <v>2</v>
      </c>
      <c r="D1" s="13" t="s">
        <v>3</v>
      </c>
      <c r="E1" s="13" t="s">
        <v>4</v>
      </c>
      <c r="F1" s="14" t="s">
        <v>5</v>
      </c>
      <c r="G1" s="14" t="s">
        <v>6</v>
      </c>
      <c r="H1" s="14" t="s">
        <v>7</v>
      </c>
      <c r="I1" s="13" t="s">
        <v>8</v>
      </c>
      <c r="J1" s="15" t="s">
        <v>9</v>
      </c>
      <c r="K1" s="15" t="s">
        <v>10</v>
      </c>
      <c r="L1" s="15" t="s">
        <v>11</v>
      </c>
      <c r="M1" s="15" t="s">
        <v>12</v>
      </c>
      <c r="N1" s="15" t="s">
        <v>13</v>
      </c>
      <c r="O1" s="15" t="s">
        <v>14</v>
      </c>
      <c r="P1" s="16" t="s">
        <v>15</v>
      </c>
      <c r="Q1" s="16" t="s">
        <v>16</v>
      </c>
      <c r="R1" s="17" t="s">
        <v>17</v>
      </c>
      <c r="S1" s="15" t="s">
        <v>18</v>
      </c>
      <c r="T1" s="15" t="s">
        <v>19</v>
      </c>
      <c r="U1" s="4"/>
      <c r="V1" s="18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</row>
    <row r="2" spans="2:37" ht="27.6" customHeight="1" x14ac:dyDescent="0.25">
      <c r="B2" s="19">
        <v>1</v>
      </c>
      <c r="C2" s="20" t="s">
        <v>20</v>
      </c>
      <c r="D2" s="20" t="s">
        <v>21</v>
      </c>
      <c r="E2" s="21">
        <v>41827</v>
      </c>
      <c r="F2" s="21">
        <v>46387</v>
      </c>
      <c r="G2" s="22">
        <f t="shared" ref="G2:G41" si="0">YEAR(F2)-YEAR(E2)</f>
        <v>12</v>
      </c>
      <c r="H2" s="23">
        <f>VLOOKUP(G2,Hoja5!$A$3:$B$38,2,0)</f>
        <v>24</v>
      </c>
      <c r="I2" s="24">
        <v>742.96</v>
      </c>
      <c r="J2" s="24">
        <f t="shared" ref="J2:J41" si="1">I2*30.4166</f>
        <v>22598.317136000001</v>
      </c>
      <c r="K2" s="25">
        <f t="shared" ref="K2:K41" si="2">I2*H2*0.25/12</f>
        <v>371.48</v>
      </c>
      <c r="L2" s="25">
        <v>0</v>
      </c>
      <c r="M2" s="25">
        <v>0</v>
      </c>
      <c r="N2" s="25">
        <f t="shared" ref="N2:N41" si="3">J2/2/12</f>
        <v>941.59654733333343</v>
      </c>
      <c r="O2" s="25">
        <f t="shared" ref="O2:O41" si="4">+(J2+K2+L2+M2+N2+U2)</f>
        <v>23911.393683333336</v>
      </c>
      <c r="P2" s="26">
        <v>3972.5716800000005</v>
      </c>
      <c r="Q2" s="26">
        <v>2482.8573000000001</v>
      </c>
      <c r="R2" s="26">
        <v>6164.5185000000001</v>
      </c>
      <c r="S2" s="26">
        <f t="shared" ref="S2:S8" si="5">(K2+L2+M2+N2+J2)*0.04</f>
        <v>956.45574733333342</v>
      </c>
      <c r="T2" s="26">
        <f>+P2+Q2+R2+S2</f>
        <v>13576.403227333334</v>
      </c>
      <c r="U2" s="27"/>
      <c r="V2" s="28">
        <v>2000</v>
      </c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</row>
    <row r="3" spans="2:37" ht="19.5" customHeight="1" x14ac:dyDescent="0.25">
      <c r="B3" s="19">
        <f t="shared" ref="B3:B37" si="6">B2+1</f>
        <v>2</v>
      </c>
      <c r="C3" s="20" t="s">
        <v>33</v>
      </c>
      <c r="D3" s="20" t="s">
        <v>21</v>
      </c>
      <c r="E3" s="21">
        <v>44698</v>
      </c>
      <c r="F3" s="21">
        <v>46387</v>
      </c>
      <c r="G3" s="22">
        <f t="shared" si="0"/>
        <v>4</v>
      </c>
      <c r="H3" s="23">
        <f>VLOOKUP(G3,Hoja5!$A$3:$B$38,2,0)</f>
        <v>18</v>
      </c>
      <c r="I3" s="24">
        <v>489.56</v>
      </c>
      <c r="J3" s="24">
        <f t="shared" si="1"/>
        <v>14890.750695999999</v>
      </c>
      <c r="K3" s="25">
        <f t="shared" si="2"/>
        <v>183.58500000000001</v>
      </c>
      <c r="L3" s="25">
        <f>I2*2*3/12</f>
        <v>371.48</v>
      </c>
      <c r="M3" s="25">
        <f>I3*0.25*2</f>
        <v>244.78</v>
      </c>
      <c r="N3" s="25">
        <f t="shared" si="3"/>
        <v>620.44794566666667</v>
      </c>
      <c r="O3" s="25">
        <f t="shared" si="4"/>
        <v>16311.043641666665</v>
      </c>
      <c r="P3" s="26">
        <v>3972.5716800000005</v>
      </c>
      <c r="Q3" s="26">
        <v>2482.8573000000001</v>
      </c>
      <c r="R3" s="26">
        <v>6164.5185000000001</v>
      </c>
      <c r="S3" s="26">
        <f t="shared" si="5"/>
        <v>652.44174566666663</v>
      </c>
      <c r="T3" s="26">
        <f t="shared" ref="T3:T46" si="7">+P3+Q3+R3+S3</f>
        <v>13272.389225666668</v>
      </c>
      <c r="U3" s="27"/>
      <c r="V3" s="28">
        <v>2000</v>
      </c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7"/>
      <c r="AJ3" s="27"/>
      <c r="AK3" s="27"/>
    </row>
    <row r="4" spans="2:37" ht="19.5" customHeight="1" x14ac:dyDescent="0.25">
      <c r="B4" s="19">
        <f t="shared" si="6"/>
        <v>3</v>
      </c>
      <c r="C4" s="20" t="s">
        <v>40</v>
      </c>
      <c r="D4" s="20" t="s">
        <v>21</v>
      </c>
      <c r="E4" s="21">
        <v>45017</v>
      </c>
      <c r="F4" s="21">
        <v>46387</v>
      </c>
      <c r="G4" s="22">
        <f t="shared" si="0"/>
        <v>3</v>
      </c>
      <c r="H4" s="23">
        <f>VLOOKUP(G4,Hoja5!$A$3:$B$38,2,0)</f>
        <v>16</v>
      </c>
      <c r="I4" s="24">
        <v>917.93</v>
      </c>
      <c r="J4" s="24">
        <f t="shared" si="1"/>
        <v>27920.309637999999</v>
      </c>
      <c r="K4" s="25">
        <f t="shared" si="2"/>
        <v>305.97666666666663</v>
      </c>
      <c r="L4" s="25">
        <f t="shared" ref="L4:L46" si="8">I3*2*3/12</f>
        <v>244.78</v>
      </c>
      <c r="M4" s="25">
        <f>I4*0.25*2</f>
        <v>458.96499999999997</v>
      </c>
      <c r="N4" s="25">
        <f t="shared" si="3"/>
        <v>1163.3462349166666</v>
      </c>
      <c r="O4" s="25">
        <f t="shared" si="4"/>
        <v>30093.377539583329</v>
      </c>
      <c r="P4" s="26">
        <v>3972.5716800000005</v>
      </c>
      <c r="Q4" s="26">
        <v>2482.8573000000001</v>
      </c>
      <c r="R4" s="26">
        <v>6164.5185000000001</v>
      </c>
      <c r="S4" s="26">
        <f t="shared" si="5"/>
        <v>1203.7351015833333</v>
      </c>
      <c r="T4" s="26">
        <f t="shared" si="7"/>
        <v>13823.682581583334</v>
      </c>
      <c r="U4" s="27"/>
      <c r="V4" s="28">
        <v>2000</v>
      </c>
      <c r="W4" s="27"/>
      <c r="X4" s="27"/>
      <c r="Y4" s="27"/>
      <c r="Z4" s="27"/>
      <c r="AA4" s="27"/>
      <c r="AB4" s="27"/>
      <c r="AC4" s="27"/>
      <c r="AD4" s="27"/>
      <c r="AE4" s="27"/>
      <c r="AF4" s="27"/>
      <c r="AG4" s="27"/>
      <c r="AH4" s="27"/>
      <c r="AI4" s="27"/>
      <c r="AJ4" s="27"/>
      <c r="AK4" s="27"/>
    </row>
    <row r="5" spans="2:37" ht="19.5" customHeight="1" x14ac:dyDescent="0.25">
      <c r="B5" s="19">
        <f t="shared" si="6"/>
        <v>4</v>
      </c>
      <c r="C5" s="20" t="s">
        <v>42</v>
      </c>
      <c r="D5" s="20" t="s">
        <v>21</v>
      </c>
      <c r="E5" s="21">
        <v>45114</v>
      </c>
      <c r="F5" s="21">
        <v>46387</v>
      </c>
      <c r="G5" s="22">
        <f t="shared" si="0"/>
        <v>3</v>
      </c>
      <c r="H5" s="23">
        <f>VLOOKUP(G5,Hoja5!$A$3:$B$38,2,0)</f>
        <v>16</v>
      </c>
      <c r="I5" s="24">
        <v>449.47140000000002</v>
      </c>
      <c r="J5" s="24">
        <f t="shared" si="1"/>
        <v>13671.391785240001</v>
      </c>
      <c r="K5" s="25">
        <f t="shared" si="2"/>
        <v>149.82380000000001</v>
      </c>
      <c r="L5" s="25">
        <f t="shared" si="8"/>
        <v>458.96499999999997</v>
      </c>
      <c r="M5" s="25">
        <v>0</v>
      </c>
      <c r="N5" s="25">
        <f t="shared" si="3"/>
        <v>569.64132438500008</v>
      </c>
      <c r="O5" s="25">
        <f t="shared" si="4"/>
        <v>14849.821909625001</v>
      </c>
      <c r="P5" s="26">
        <v>3972.5716800000005</v>
      </c>
      <c r="Q5" s="26">
        <v>2482.8573000000001</v>
      </c>
      <c r="R5" s="26">
        <v>6164.5185000000001</v>
      </c>
      <c r="S5" s="26">
        <f t="shared" si="5"/>
        <v>593.99287638500005</v>
      </c>
      <c r="T5" s="26">
        <f t="shared" si="7"/>
        <v>13213.940356385001</v>
      </c>
      <c r="U5" s="27"/>
      <c r="V5" s="28">
        <v>2000</v>
      </c>
      <c r="W5" s="27"/>
      <c r="X5" s="27"/>
      <c r="Y5" s="27"/>
      <c r="Z5" s="27"/>
      <c r="AA5" s="27"/>
      <c r="AB5" s="27"/>
      <c r="AC5" s="27"/>
      <c r="AD5" s="27"/>
      <c r="AE5" s="27"/>
      <c r="AF5" s="27"/>
      <c r="AG5" s="27"/>
      <c r="AH5" s="27"/>
      <c r="AI5" s="27"/>
      <c r="AJ5" s="27"/>
      <c r="AK5" s="27"/>
    </row>
    <row r="6" spans="2:37" ht="19.5" customHeight="1" x14ac:dyDescent="0.25">
      <c r="B6" s="19">
        <f t="shared" si="6"/>
        <v>5</v>
      </c>
      <c r="C6" s="20" t="s">
        <v>47</v>
      </c>
      <c r="D6" s="20" t="s">
        <v>21</v>
      </c>
      <c r="E6" s="21">
        <v>45551</v>
      </c>
      <c r="F6" s="21">
        <v>46387</v>
      </c>
      <c r="G6" s="22">
        <f t="shared" si="0"/>
        <v>2</v>
      </c>
      <c r="H6" s="23">
        <f>VLOOKUP(G6,Hoja5!$A$3:$B$38,2,0)</f>
        <v>14</v>
      </c>
      <c r="I6" s="24">
        <v>1055.3154</v>
      </c>
      <c r="J6" s="24">
        <f t="shared" si="1"/>
        <v>32099.106395639996</v>
      </c>
      <c r="K6" s="25">
        <f t="shared" si="2"/>
        <v>307.80032499999999</v>
      </c>
      <c r="L6" s="25">
        <f t="shared" si="8"/>
        <v>224.73570000000004</v>
      </c>
      <c r="M6" s="25">
        <f t="shared" ref="M6:M21" si="9">I6*0.25*2</f>
        <v>527.65769999999998</v>
      </c>
      <c r="N6" s="25">
        <f t="shared" si="3"/>
        <v>1337.4627664849997</v>
      </c>
      <c r="O6" s="25">
        <f t="shared" si="4"/>
        <v>34496.762887124998</v>
      </c>
      <c r="P6" s="26">
        <v>3972.5716800000005</v>
      </c>
      <c r="Q6" s="26">
        <v>2482.8573000000001</v>
      </c>
      <c r="R6" s="26">
        <v>6164.5185000000001</v>
      </c>
      <c r="S6" s="26">
        <f t="shared" si="5"/>
        <v>1379.8705154849999</v>
      </c>
      <c r="T6" s="26">
        <f t="shared" si="7"/>
        <v>13999.817995485</v>
      </c>
      <c r="U6" s="27"/>
      <c r="V6" s="28">
        <v>2000</v>
      </c>
      <c r="W6" s="27"/>
      <c r="X6" s="27"/>
      <c r="Y6" s="27"/>
      <c r="Z6" s="27"/>
      <c r="AA6" s="27"/>
      <c r="AB6" s="27"/>
      <c r="AC6" s="27"/>
      <c r="AD6" s="27"/>
      <c r="AE6" s="27"/>
      <c r="AF6" s="27"/>
      <c r="AG6" s="27"/>
      <c r="AH6" s="27"/>
      <c r="AI6" s="27"/>
      <c r="AJ6" s="27"/>
      <c r="AK6" s="27"/>
    </row>
    <row r="7" spans="2:37" ht="19.5" customHeight="1" x14ac:dyDescent="0.25">
      <c r="B7" s="19">
        <f t="shared" si="6"/>
        <v>6</v>
      </c>
      <c r="C7" s="20" t="s">
        <v>49</v>
      </c>
      <c r="D7" s="20" t="s">
        <v>21</v>
      </c>
      <c r="E7" s="21">
        <v>45717</v>
      </c>
      <c r="F7" s="21">
        <v>46387</v>
      </c>
      <c r="G7" s="22">
        <f t="shared" si="0"/>
        <v>1</v>
      </c>
      <c r="H7" s="23">
        <f>VLOOKUP(G7,Hoja5!$A$3:$B$38,2,0)</f>
        <v>12</v>
      </c>
      <c r="I7" s="24">
        <v>966.58</v>
      </c>
      <c r="J7" s="24">
        <f t="shared" si="1"/>
        <v>29400.077228000002</v>
      </c>
      <c r="K7" s="25">
        <f t="shared" si="2"/>
        <v>241.64500000000001</v>
      </c>
      <c r="L7" s="25">
        <f t="shared" si="8"/>
        <v>527.65769999999998</v>
      </c>
      <c r="M7" s="25">
        <f t="shared" si="9"/>
        <v>483.29</v>
      </c>
      <c r="N7" s="25">
        <f t="shared" si="3"/>
        <v>1225.0032178333333</v>
      </c>
      <c r="O7" s="25">
        <f t="shared" si="4"/>
        <v>31877.673145833338</v>
      </c>
      <c r="P7" s="26">
        <v>3972.5716800000005</v>
      </c>
      <c r="Q7" s="26">
        <v>2482.8573000000001</v>
      </c>
      <c r="R7" s="26">
        <v>6164.5185000000001</v>
      </c>
      <c r="S7" s="26">
        <f t="shared" si="5"/>
        <v>1275.1069258333334</v>
      </c>
      <c r="T7" s="26">
        <f t="shared" si="7"/>
        <v>13895.054405833334</v>
      </c>
      <c r="U7" s="27"/>
      <c r="V7" s="28">
        <v>2000</v>
      </c>
      <c r="W7" s="27"/>
      <c r="X7" s="27"/>
      <c r="Y7" s="27"/>
      <c r="Z7" s="27"/>
      <c r="AA7" s="27"/>
      <c r="AB7" s="27"/>
      <c r="AC7" s="27"/>
      <c r="AD7" s="27"/>
      <c r="AE7" s="27"/>
      <c r="AF7" s="27"/>
      <c r="AG7" s="27"/>
      <c r="AH7" s="27"/>
      <c r="AI7" s="27"/>
      <c r="AJ7" s="27"/>
      <c r="AK7" s="27"/>
    </row>
    <row r="8" spans="2:37" ht="19.5" customHeight="1" x14ac:dyDescent="0.25">
      <c r="B8" s="19">
        <f t="shared" si="6"/>
        <v>7</v>
      </c>
      <c r="C8" s="20" t="s">
        <v>51</v>
      </c>
      <c r="D8" s="20" t="s">
        <v>21</v>
      </c>
      <c r="E8" s="21">
        <v>45763</v>
      </c>
      <c r="F8" s="21">
        <v>46387</v>
      </c>
      <c r="G8" s="22">
        <f t="shared" si="0"/>
        <v>1</v>
      </c>
      <c r="H8" s="23">
        <f>VLOOKUP(G8,Hoja5!$A$3:$B$38,2,0)</f>
        <v>12</v>
      </c>
      <c r="I8" s="24">
        <v>794.07</v>
      </c>
      <c r="J8" s="24">
        <f t="shared" si="1"/>
        <v>24152.909562000001</v>
      </c>
      <c r="K8" s="25">
        <f t="shared" si="2"/>
        <v>198.51750000000001</v>
      </c>
      <c r="L8" s="25">
        <f t="shared" si="8"/>
        <v>483.29</v>
      </c>
      <c r="M8" s="25">
        <f t="shared" si="9"/>
        <v>397.03500000000003</v>
      </c>
      <c r="N8" s="25">
        <f t="shared" si="3"/>
        <v>1006.37123175</v>
      </c>
      <c r="O8" s="25">
        <f t="shared" si="4"/>
        <v>26238.123293750003</v>
      </c>
      <c r="P8" s="26">
        <v>3972.5716800000005</v>
      </c>
      <c r="Q8" s="26">
        <v>2482.8573000000001</v>
      </c>
      <c r="R8" s="26">
        <v>6164.5185000000001</v>
      </c>
      <c r="S8" s="26">
        <f t="shared" si="5"/>
        <v>1049.5249317500002</v>
      </c>
      <c r="T8" s="26">
        <f t="shared" si="7"/>
        <v>13669.472411750001</v>
      </c>
      <c r="U8" s="27"/>
      <c r="V8" s="28">
        <v>2000</v>
      </c>
      <c r="W8" s="27"/>
      <c r="X8" s="27"/>
      <c r="Y8" s="27"/>
      <c r="Z8" s="27"/>
      <c r="AA8" s="27"/>
      <c r="AB8" s="27"/>
      <c r="AC8" s="27"/>
      <c r="AD8" s="27"/>
      <c r="AE8" s="27"/>
      <c r="AF8" s="27"/>
      <c r="AG8" s="27"/>
      <c r="AH8" s="27"/>
      <c r="AI8" s="27"/>
      <c r="AJ8" s="27"/>
      <c r="AK8" s="27"/>
    </row>
    <row r="9" spans="2:37" ht="19.5" customHeight="1" x14ac:dyDescent="0.25">
      <c r="B9" s="36">
        <f t="shared" si="6"/>
        <v>8</v>
      </c>
      <c r="C9" s="37" t="s">
        <v>48</v>
      </c>
      <c r="D9" s="20" t="s">
        <v>72</v>
      </c>
      <c r="E9" s="21">
        <v>45618</v>
      </c>
      <c r="F9" s="21">
        <v>46387</v>
      </c>
      <c r="G9" s="22">
        <f t="shared" si="0"/>
        <v>2</v>
      </c>
      <c r="H9" s="23">
        <f>VLOOKUP(G9,Hoja5!$A$3:$B$38,2,0)</f>
        <v>14</v>
      </c>
      <c r="I9" s="24">
        <v>444.13</v>
      </c>
      <c r="J9" s="24">
        <f t="shared" si="1"/>
        <v>13508.924557999999</v>
      </c>
      <c r="K9" s="25">
        <f t="shared" si="2"/>
        <v>129.53791666666666</v>
      </c>
      <c r="L9" s="25">
        <f t="shared" si="8"/>
        <v>397.03500000000003</v>
      </c>
      <c r="M9" s="25">
        <f t="shared" si="9"/>
        <v>222.065</v>
      </c>
      <c r="N9" s="25">
        <f t="shared" si="3"/>
        <v>562.87185658333328</v>
      </c>
      <c r="O9" s="25">
        <f t="shared" si="4"/>
        <v>14820.434331249999</v>
      </c>
      <c r="P9" s="51">
        <v>1358.8528800000001</v>
      </c>
      <c r="Q9" s="51">
        <v>1145.4828</v>
      </c>
      <c r="R9" s="51">
        <v>2114.8155000000002</v>
      </c>
      <c r="S9" s="51">
        <v>588.77943991666666</v>
      </c>
      <c r="T9" s="26">
        <f t="shared" si="7"/>
        <v>5207.9306199166676</v>
      </c>
      <c r="U9" s="27"/>
      <c r="V9" s="28">
        <v>2000</v>
      </c>
      <c r="W9" s="27"/>
      <c r="X9" s="27"/>
      <c r="Y9" s="27"/>
      <c r="Z9" s="27"/>
      <c r="AA9" s="27"/>
      <c r="AB9" s="27"/>
      <c r="AC9" s="27"/>
      <c r="AD9" s="27"/>
      <c r="AE9" s="27"/>
      <c r="AF9" s="27"/>
      <c r="AG9" s="27"/>
      <c r="AH9" s="27"/>
      <c r="AI9" s="27"/>
      <c r="AJ9" s="27"/>
      <c r="AK9" s="27"/>
    </row>
    <row r="10" spans="2:37" ht="19.5" customHeight="1" x14ac:dyDescent="0.25">
      <c r="B10" s="36">
        <f t="shared" si="6"/>
        <v>9</v>
      </c>
      <c r="C10" s="37" t="s">
        <v>36</v>
      </c>
      <c r="D10" s="20" t="s">
        <v>37</v>
      </c>
      <c r="E10" s="21">
        <v>44789</v>
      </c>
      <c r="F10" s="21">
        <v>46387</v>
      </c>
      <c r="G10" s="22">
        <f t="shared" si="0"/>
        <v>4</v>
      </c>
      <c r="H10" s="23">
        <f>VLOOKUP(G10,Hoja5!$A$3:$B$38,2,0)</f>
        <v>18</v>
      </c>
      <c r="I10" s="24">
        <v>444.13</v>
      </c>
      <c r="J10" s="24">
        <f t="shared" si="1"/>
        <v>13508.924557999999</v>
      </c>
      <c r="K10" s="25">
        <f t="shared" si="2"/>
        <v>166.54875000000001</v>
      </c>
      <c r="L10" s="25">
        <f t="shared" si="8"/>
        <v>222.06499999999997</v>
      </c>
      <c r="M10" s="25">
        <f t="shared" si="9"/>
        <v>222.065</v>
      </c>
      <c r="N10" s="25">
        <f t="shared" si="3"/>
        <v>562.87185658333328</v>
      </c>
      <c r="O10" s="25">
        <f t="shared" si="4"/>
        <v>14682.475164583333</v>
      </c>
      <c r="P10" s="51">
        <v>1358.8528800000001</v>
      </c>
      <c r="Q10" s="51">
        <v>1145.4828</v>
      </c>
      <c r="R10" s="51">
        <v>2114.8155000000002</v>
      </c>
      <c r="S10" s="51">
        <v>588.77943991666666</v>
      </c>
      <c r="T10" s="26">
        <f t="shared" si="7"/>
        <v>5207.9306199166676</v>
      </c>
      <c r="U10" s="27"/>
      <c r="V10" s="28">
        <v>2000</v>
      </c>
      <c r="W10" s="27"/>
      <c r="X10" s="27"/>
      <c r="Y10" s="27"/>
      <c r="Z10" s="27"/>
      <c r="AA10" s="27"/>
      <c r="AB10" s="27"/>
      <c r="AC10" s="27"/>
      <c r="AD10" s="27"/>
      <c r="AE10" s="27"/>
      <c r="AF10" s="27"/>
      <c r="AG10" s="27"/>
      <c r="AH10" s="27"/>
      <c r="AI10" s="27"/>
      <c r="AJ10" s="27"/>
      <c r="AK10" s="27"/>
    </row>
    <row r="11" spans="2:37" ht="19.5" customHeight="1" x14ac:dyDescent="0.25">
      <c r="B11" s="36">
        <f t="shared" si="6"/>
        <v>10</v>
      </c>
      <c r="C11" s="37" t="s">
        <v>41</v>
      </c>
      <c r="D11" s="20" t="s">
        <v>37</v>
      </c>
      <c r="E11" s="21">
        <v>45083</v>
      </c>
      <c r="F11" s="21">
        <v>46387</v>
      </c>
      <c r="G11" s="22">
        <f t="shared" si="0"/>
        <v>3</v>
      </c>
      <c r="H11" s="23">
        <f>VLOOKUP(G11,Hoja5!$A$3:$B$38,2,0)</f>
        <v>16</v>
      </c>
      <c r="I11" s="24">
        <v>444.13</v>
      </c>
      <c r="J11" s="24">
        <f t="shared" si="1"/>
        <v>13508.924557999999</v>
      </c>
      <c r="K11" s="25">
        <f t="shared" si="2"/>
        <v>148.04333333333332</v>
      </c>
      <c r="L11" s="25">
        <f t="shared" si="8"/>
        <v>222.06499999999997</v>
      </c>
      <c r="M11" s="25">
        <f t="shared" si="9"/>
        <v>222.065</v>
      </c>
      <c r="N11" s="25">
        <f t="shared" si="3"/>
        <v>562.87185658333328</v>
      </c>
      <c r="O11" s="25">
        <f t="shared" si="4"/>
        <v>14663.969747916666</v>
      </c>
      <c r="P11" s="51">
        <v>1358.8528800000001</v>
      </c>
      <c r="Q11" s="51">
        <v>1145.4828</v>
      </c>
      <c r="R11" s="51">
        <v>2114.8155000000002</v>
      </c>
      <c r="S11" s="51">
        <v>588.77943991666666</v>
      </c>
      <c r="T11" s="26">
        <f t="shared" si="7"/>
        <v>5207.9306199166676</v>
      </c>
      <c r="U11" s="27"/>
      <c r="V11" s="28">
        <v>2000</v>
      </c>
      <c r="W11" s="27"/>
      <c r="X11" s="27"/>
      <c r="Y11" s="27"/>
      <c r="Z11" s="27"/>
      <c r="AA11" s="27"/>
      <c r="AB11" s="27"/>
      <c r="AC11" s="27"/>
      <c r="AD11" s="27"/>
      <c r="AE11" s="27"/>
      <c r="AF11" s="27"/>
      <c r="AG11" s="27"/>
      <c r="AH11" s="27"/>
      <c r="AI11" s="27"/>
      <c r="AJ11" s="27"/>
      <c r="AK11" s="27"/>
    </row>
    <row r="12" spans="2:37" ht="19.5" customHeight="1" x14ac:dyDescent="0.25">
      <c r="B12" s="36">
        <f t="shared" si="6"/>
        <v>11</v>
      </c>
      <c r="C12" s="37" t="s">
        <v>69</v>
      </c>
      <c r="D12" s="20" t="s">
        <v>37</v>
      </c>
      <c r="E12" s="21">
        <v>46237</v>
      </c>
      <c r="F12" s="21">
        <v>46387</v>
      </c>
      <c r="G12" s="22">
        <f t="shared" si="0"/>
        <v>0</v>
      </c>
      <c r="H12" s="23">
        <f>VLOOKUP(G12,Hoja5!$A$3:$B$38,2,0)</f>
        <v>12</v>
      </c>
      <c r="I12" s="24">
        <v>444.13</v>
      </c>
      <c r="J12" s="24">
        <f t="shared" si="1"/>
        <v>13508.924557999999</v>
      </c>
      <c r="K12" s="25">
        <f t="shared" si="2"/>
        <v>111.03249999999998</v>
      </c>
      <c r="L12" s="25">
        <f t="shared" si="8"/>
        <v>222.06499999999997</v>
      </c>
      <c r="M12" s="25">
        <f t="shared" si="9"/>
        <v>222.065</v>
      </c>
      <c r="N12" s="25">
        <f t="shared" si="3"/>
        <v>562.87185658333328</v>
      </c>
      <c r="O12" s="25">
        <f t="shared" si="4"/>
        <v>14626.958914583332</v>
      </c>
      <c r="P12" s="51">
        <v>1358.8528800000001</v>
      </c>
      <c r="Q12" s="51">
        <v>1145.4828</v>
      </c>
      <c r="R12" s="51">
        <v>2114.8155000000002</v>
      </c>
      <c r="S12" s="51">
        <v>588.77943991666666</v>
      </c>
      <c r="T12" s="26">
        <f t="shared" si="7"/>
        <v>5207.9306199166676</v>
      </c>
      <c r="U12" s="31"/>
      <c r="V12" s="28">
        <v>2000</v>
      </c>
      <c r="W12" s="27"/>
      <c r="X12" s="27"/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27"/>
      <c r="AK12" s="27"/>
    </row>
    <row r="13" spans="2:37" ht="19.5" customHeight="1" x14ac:dyDescent="0.25">
      <c r="B13" s="38">
        <f t="shared" si="6"/>
        <v>12</v>
      </c>
      <c r="C13" s="39" t="s">
        <v>26</v>
      </c>
      <c r="D13" s="20" t="s">
        <v>27</v>
      </c>
      <c r="E13" s="21">
        <v>43831</v>
      </c>
      <c r="F13" s="21">
        <v>46387</v>
      </c>
      <c r="G13" s="22">
        <f t="shared" si="0"/>
        <v>6</v>
      </c>
      <c r="H13" s="23">
        <f>VLOOKUP(G13,Hoja5!$A$3:$B$38,2,0)</f>
        <v>22</v>
      </c>
      <c r="I13" s="24">
        <v>444.13</v>
      </c>
      <c r="J13" s="24">
        <f t="shared" si="1"/>
        <v>13508.924557999999</v>
      </c>
      <c r="K13" s="25">
        <f t="shared" si="2"/>
        <v>203.55958333333334</v>
      </c>
      <c r="L13" s="25">
        <f t="shared" si="8"/>
        <v>222.06499999999997</v>
      </c>
      <c r="M13" s="25">
        <f t="shared" si="9"/>
        <v>222.065</v>
      </c>
      <c r="N13" s="25">
        <f t="shared" si="3"/>
        <v>562.87185658333328</v>
      </c>
      <c r="O13" s="25">
        <f t="shared" si="4"/>
        <v>14719.485997916667</v>
      </c>
      <c r="P13" s="51">
        <v>1358.8528800000001</v>
      </c>
      <c r="Q13" s="51">
        <v>1145.4828</v>
      </c>
      <c r="R13" s="51">
        <v>2114.8155000000002</v>
      </c>
      <c r="S13" s="51">
        <v>588.77943991666666</v>
      </c>
      <c r="T13" s="26">
        <f t="shared" si="7"/>
        <v>5207.9306199166676</v>
      </c>
      <c r="U13" s="27"/>
      <c r="V13" s="28">
        <v>3500</v>
      </c>
      <c r="W13" s="27"/>
      <c r="X13" s="27"/>
      <c r="Y13" s="27"/>
      <c r="Z13" s="27"/>
      <c r="AA13" s="27"/>
      <c r="AB13" s="27"/>
      <c r="AC13" s="27"/>
      <c r="AD13" s="27"/>
      <c r="AE13" s="27"/>
      <c r="AF13" s="27"/>
      <c r="AG13" s="27"/>
      <c r="AH13" s="27"/>
      <c r="AI13" s="27"/>
      <c r="AJ13" s="27"/>
      <c r="AK13" s="27"/>
    </row>
    <row r="14" spans="2:37" ht="19.5" customHeight="1" x14ac:dyDescent="0.25">
      <c r="B14" s="38">
        <f t="shared" si="6"/>
        <v>13</v>
      </c>
      <c r="C14" s="39" t="s">
        <v>28</v>
      </c>
      <c r="D14" s="20" t="s">
        <v>27</v>
      </c>
      <c r="E14" s="21">
        <v>43831</v>
      </c>
      <c r="F14" s="21">
        <v>46387</v>
      </c>
      <c r="G14" s="22">
        <f t="shared" si="0"/>
        <v>6</v>
      </c>
      <c r="H14" s="23">
        <f>VLOOKUP(G14,Hoja5!$A$3:$B$38,2,0)</f>
        <v>22</v>
      </c>
      <c r="I14" s="24">
        <v>444.13</v>
      </c>
      <c r="J14" s="24">
        <f t="shared" si="1"/>
        <v>13508.924557999999</v>
      </c>
      <c r="K14" s="25">
        <f t="shared" si="2"/>
        <v>203.55958333333334</v>
      </c>
      <c r="L14" s="25">
        <f t="shared" si="8"/>
        <v>222.06499999999997</v>
      </c>
      <c r="M14" s="25">
        <f t="shared" si="9"/>
        <v>222.065</v>
      </c>
      <c r="N14" s="25">
        <f t="shared" si="3"/>
        <v>562.87185658333328</v>
      </c>
      <c r="O14" s="25">
        <f t="shared" si="4"/>
        <v>14719.485997916667</v>
      </c>
      <c r="P14" s="51">
        <v>1358.8528800000001</v>
      </c>
      <c r="Q14" s="51">
        <v>1145.4828</v>
      </c>
      <c r="R14" s="51">
        <v>2114.8155000000002</v>
      </c>
      <c r="S14" s="51">
        <v>588.77943991666666</v>
      </c>
      <c r="T14" s="26">
        <f t="shared" si="7"/>
        <v>5207.9306199166676</v>
      </c>
      <c r="U14" s="27"/>
      <c r="V14" s="28">
        <v>3500</v>
      </c>
      <c r="W14" s="27"/>
      <c r="X14" s="27"/>
      <c r="Y14" s="27"/>
      <c r="Z14" s="27"/>
      <c r="AA14" s="27"/>
      <c r="AB14" s="27"/>
      <c r="AC14" s="27"/>
      <c r="AD14" s="27"/>
      <c r="AE14" s="27"/>
      <c r="AF14" s="27"/>
      <c r="AG14" s="27"/>
      <c r="AH14" s="27"/>
      <c r="AI14" s="27"/>
      <c r="AJ14" s="27"/>
      <c r="AK14" s="27"/>
    </row>
    <row r="15" spans="2:37" ht="19.5" customHeight="1" x14ac:dyDescent="0.25">
      <c r="B15" s="38">
        <f t="shared" si="6"/>
        <v>14</v>
      </c>
      <c r="C15" s="39" t="s">
        <v>31</v>
      </c>
      <c r="D15" s="20" t="s">
        <v>27</v>
      </c>
      <c r="E15" s="21">
        <v>44151</v>
      </c>
      <c r="F15" s="21">
        <v>46387</v>
      </c>
      <c r="G15" s="22">
        <f t="shared" si="0"/>
        <v>6</v>
      </c>
      <c r="H15" s="23">
        <f>VLOOKUP(G15,Hoja5!$A$3:$B$38,2,0)</f>
        <v>22</v>
      </c>
      <c r="I15" s="24">
        <v>444.13</v>
      </c>
      <c r="J15" s="24">
        <f t="shared" si="1"/>
        <v>13508.924557999999</v>
      </c>
      <c r="K15" s="25">
        <f t="shared" si="2"/>
        <v>203.55958333333334</v>
      </c>
      <c r="L15" s="25">
        <f t="shared" si="8"/>
        <v>222.06499999999997</v>
      </c>
      <c r="M15" s="25">
        <f t="shared" si="9"/>
        <v>222.065</v>
      </c>
      <c r="N15" s="25">
        <f t="shared" si="3"/>
        <v>562.87185658333328</v>
      </c>
      <c r="O15" s="25">
        <f t="shared" si="4"/>
        <v>14719.485997916667</v>
      </c>
      <c r="P15" s="51">
        <v>1358.8528800000001</v>
      </c>
      <c r="Q15" s="51">
        <v>1145.4828</v>
      </c>
      <c r="R15" s="51">
        <v>2114.8155000000002</v>
      </c>
      <c r="S15" s="51">
        <v>588.77943991666666</v>
      </c>
      <c r="T15" s="26">
        <f t="shared" si="7"/>
        <v>5207.9306199166676</v>
      </c>
      <c r="U15" s="27"/>
      <c r="V15" s="28">
        <v>3500</v>
      </c>
      <c r="W15" s="27"/>
      <c r="X15" s="27"/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27"/>
      <c r="AJ15" s="27"/>
      <c r="AK15" s="27"/>
    </row>
    <row r="16" spans="2:37" ht="19.5" customHeight="1" x14ac:dyDescent="0.25">
      <c r="B16" s="38">
        <f t="shared" si="6"/>
        <v>15</v>
      </c>
      <c r="C16" s="39" t="s">
        <v>32</v>
      </c>
      <c r="D16" s="20" t="s">
        <v>27</v>
      </c>
      <c r="E16" s="21">
        <v>44278</v>
      </c>
      <c r="F16" s="21">
        <v>46387</v>
      </c>
      <c r="G16" s="22">
        <f t="shared" si="0"/>
        <v>5</v>
      </c>
      <c r="H16" s="23">
        <f>VLOOKUP(G16,Hoja5!$A$3:$B$38,2,0)</f>
        <v>20</v>
      </c>
      <c r="I16" s="24">
        <v>444.13</v>
      </c>
      <c r="J16" s="24">
        <f t="shared" si="1"/>
        <v>13508.924557999999</v>
      </c>
      <c r="K16" s="25">
        <f t="shared" si="2"/>
        <v>185.05416666666667</v>
      </c>
      <c r="L16" s="25">
        <f t="shared" si="8"/>
        <v>222.06499999999997</v>
      </c>
      <c r="M16" s="25">
        <f t="shared" si="9"/>
        <v>222.065</v>
      </c>
      <c r="N16" s="25">
        <f t="shared" si="3"/>
        <v>562.87185658333328</v>
      </c>
      <c r="O16" s="25">
        <f t="shared" si="4"/>
        <v>14700.98058125</v>
      </c>
      <c r="P16" s="51">
        <v>1358.8528800000001</v>
      </c>
      <c r="Q16" s="51">
        <v>1145.4828</v>
      </c>
      <c r="R16" s="51">
        <v>2114.8155000000002</v>
      </c>
      <c r="S16" s="51">
        <v>588.77943991666666</v>
      </c>
      <c r="T16" s="26">
        <f t="shared" si="7"/>
        <v>5207.9306199166676</v>
      </c>
      <c r="U16" s="27"/>
      <c r="V16" s="28">
        <v>3500</v>
      </c>
      <c r="W16" s="27"/>
      <c r="X16" s="27"/>
      <c r="Y16" s="27"/>
      <c r="Z16" s="27"/>
      <c r="AA16" s="27"/>
      <c r="AB16" s="27"/>
      <c r="AC16" s="27"/>
      <c r="AD16" s="27"/>
      <c r="AE16" s="27"/>
      <c r="AF16" s="27"/>
      <c r="AG16" s="27"/>
      <c r="AH16" s="27"/>
      <c r="AI16" s="27"/>
      <c r="AJ16" s="27"/>
      <c r="AK16" s="27"/>
    </row>
    <row r="17" spans="2:37" ht="19.5" customHeight="1" x14ac:dyDescent="0.25">
      <c r="B17" s="36">
        <f t="shared" si="6"/>
        <v>16</v>
      </c>
      <c r="C17" s="37" t="s">
        <v>46</v>
      </c>
      <c r="D17" s="20" t="s">
        <v>27</v>
      </c>
      <c r="E17" s="21">
        <v>45541</v>
      </c>
      <c r="F17" s="21">
        <v>46387</v>
      </c>
      <c r="G17" s="22">
        <f t="shared" si="0"/>
        <v>2</v>
      </c>
      <c r="H17" s="23">
        <f>VLOOKUP(G17,Hoja5!$A$3:$B$38,2,0)</f>
        <v>14</v>
      </c>
      <c r="I17" s="24">
        <v>444.13</v>
      </c>
      <c r="J17" s="24">
        <f t="shared" si="1"/>
        <v>13508.924557999999</v>
      </c>
      <c r="K17" s="25">
        <f t="shared" si="2"/>
        <v>129.53791666666666</v>
      </c>
      <c r="L17" s="25">
        <f t="shared" si="8"/>
        <v>222.06499999999997</v>
      </c>
      <c r="M17" s="25">
        <f t="shared" si="9"/>
        <v>222.065</v>
      </c>
      <c r="N17" s="25">
        <f t="shared" si="3"/>
        <v>562.87185658333328</v>
      </c>
      <c r="O17" s="25">
        <f t="shared" si="4"/>
        <v>14645.464331249999</v>
      </c>
      <c r="P17" s="51">
        <v>1358.8528800000001</v>
      </c>
      <c r="Q17" s="51">
        <v>1145.4828</v>
      </c>
      <c r="R17" s="51">
        <v>2114.8155000000002</v>
      </c>
      <c r="S17" s="51">
        <v>588.77943991666666</v>
      </c>
      <c r="T17" s="26">
        <f t="shared" si="7"/>
        <v>5207.9306199166676</v>
      </c>
      <c r="U17" s="27"/>
      <c r="V17" s="28">
        <v>2000</v>
      </c>
      <c r="W17" s="27"/>
      <c r="X17" s="27"/>
      <c r="Y17" s="27"/>
      <c r="Z17" s="27"/>
      <c r="AA17" s="27"/>
      <c r="AB17" s="27"/>
      <c r="AC17" s="27"/>
      <c r="AD17" s="27"/>
      <c r="AE17" s="27"/>
      <c r="AF17" s="27"/>
      <c r="AG17" s="27"/>
      <c r="AH17" s="27"/>
      <c r="AI17" s="27"/>
      <c r="AJ17" s="27"/>
      <c r="AK17" s="27"/>
    </row>
    <row r="18" spans="2:37" ht="19.5" customHeight="1" x14ac:dyDescent="0.25">
      <c r="B18" s="36">
        <f t="shared" si="6"/>
        <v>17</v>
      </c>
      <c r="C18" s="37" t="s">
        <v>62</v>
      </c>
      <c r="D18" s="20" t="s">
        <v>27</v>
      </c>
      <c r="E18" s="21">
        <v>46209</v>
      </c>
      <c r="F18" s="21">
        <v>46387</v>
      </c>
      <c r="G18" s="22">
        <f t="shared" si="0"/>
        <v>0</v>
      </c>
      <c r="H18" s="23">
        <f>VLOOKUP(G18,Hoja5!$A$3:$B$38,2,0)</f>
        <v>12</v>
      </c>
      <c r="I18" s="24">
        <v>444.13</v>
      </c>
      <c r="J18" s="24">
        <f t="shared" si="1"/>
        <v>13508.924557999999</v>
      </c>
      <c r="K18" s="25">
        <f t="shared" si="2"/>
        <v>111.03249999999998</v>
      </c>
      <c r="L18" s="25">
        <f t="shared" si="8"/>
        <v>222.06499999999997</v>
      </c>
      <c r="M18" s="25">
        <f t="shared" si="9"/>
        <v>222.065</v>
      </c>
      <c r="N18" s="25">
        <f t="shared" si="3"/>
        <v>562.87185658333328</v>
      </c>
      <c r="O18" s="25">
        <f t="shared" si="4"/>
        <v>14626.958914583332</v>
      </c>
      <c r="P18" s="51">
        <v>1358.8528800000001</v>
      </c>
      <c r="Q18" s="51">
        <v>1145.4828</v>
      </c>
      <c r="R18" s="51">
        <v>2114.8155000000002</v>
      </c>
      <c r="S18" s="51">
        <v>588.77943991666666</v>
      </c>
      <c r="T18" s="26">
        <f t="shared" si="7"/>
        <v>5207.9306199166676</v>
      </c>
      <c r="U18" s="27"/>
      <c r="V18" s="28">
        <v>2000</v>
      </c>
      <c r="W18" s="27"/>
      <c r="X18" s="27"/>
      <c r="Y18" s="27"/>
      <c r="Z18" s="27"/>
      <c r="AA18" s="27"/>
      <c r="AB18" s="27"/>
      <c r="AC18" s="27"/>
      <c r="AD18" s="27"/>
      <c r="AE18" s="27"/>
      <c r="AF18" s="27"/>
      <c r="AG18" s="27"/>
      <c r="AH18" s="27"/>
      <c r="AI18" s="27"/>
      <c r="AJ18" s="27"/>
      <c r="AK18" s="27"/>
    </row>
    <row r="19" spans="2:37" ht="19.5" customHeight="1" x14ac:dyDescent="0.25">
      <c r="B19" s="36">
        <f t="shared" si="6"/>
        <v>18</v>
      </c>
      <c r="C19" s="37" t="s">
        <v>63</v>
      </c>
      <c r="D19" s="20" t="s">
        <v>27</v>
      </c>
      <c r="E19" s="21">
        <v>46210</v>
      </c>
      <c r="F19" s="21">
        <v>46387</v>
      </c>
      <c r="G19" s="22">
        <f t="shared" si="0"/>
        <v>0</v>
      </c>
      <c r="H19" s="23">
        <f>VLOOKUP(G19,Hoja5!$A$3:$B$38,2,0)</f>
        <v>12</v>
      </c>
      <c r="I19" s="24">
        <v>444.13</v>
      </c>
      <c r="J19" s="24">
        <f t="shared" si="1"/>
        <v>13508.924557999999</v>
      </c>
      <c r="K19" s="25">
        <f t="shared" si="2"/>
        <v>111.03249999999998</v>
      </c>
      <c r="L19" s="25">
        <f t="shared" si="8"/>
        <v>222.06499999999997</v>
      </c>
      <c r="M19" s="25">
        <f t="shared" si="9"/>
        <v>222.065</v>
      </c>
      <c r="N19" s="25">
        <f t="shared" si="3"/>
        <v>562.87185658333328</v>
      </c>
      <c r="O19" s="25">
        <f t="shared" si="4"/>
        <v>14626.958914583332</v>
      </c>
      <c r="P19" s="51">
        <v>1358.8528800000001</v>
      </c>
      <c r="Q19" s="51">
        <v>1145.4828</v>
      </c>
      <c r="R19" s="51">
        <v>2114.8155000000002</v>
      </c>
      <c r="S19" s="51">
        <v>588.77943991666666</v>
      </c>
      <c r="T19" s="26">
        <f t="shared" si="7"/>
        <v>5207.9306199166676</v>
      </c>
      <c r="U19" s="27"/>
      <c r="V19" s="28">
        <v>2000</v>
      </c>
      <c r="W19" s="27"/>
      <c r="X19" s="27"/>
      <c r="Y19" s="27"/>
      <c r="Z19" s="27"/>
      <c r="AA19" s="27"/>
      <c r="AB19" s="27"/>
      <c r="AC19" s="27"/>
      <c r="AD19" s="27"/>
      <c r="AE19" s="27"/>
      <c r="AF19" s="27"/>
      <c r="AG19" s="27"/>
      <c r="AH19" s="27"/>
      <c r="AI19" s="27"/>
      <c r="AJ19" s="27"/>
      <c r="AK19" s="27"/>
    </row>
    <row r="20" spans="2:37" ht="19.5" customHeight="1" x14ac:dyDescent="0.25">
      <c r="B20" s="36">
        <f t="shared" si="6"/>
        <v>19</v>
      </c>
      <c r="C20" s="37" t="s">
        <v>64</v>
      </c>
      <c r="D20" s="20" t="s">
        <v>27</v>
      </c>
      <c r="E20" s="21">
        <v>46219</v>
      </c>
      <c r="F20" s="21">
        <v>46387</v>
      </c>
      <c r="G20" s="22">
        <f t="shared" si="0"/>
        <v>0</v>
      </c>
      <c r="H20" s="23">
        <f>VLOOKUP(G20,Hoja5!$A$3:$B$38,2,0)</f>
        <v>12</v>
      </c>
      <c r="I20" s="24">
        <v>444.13</v>
      </c>
      <c r="J20" s="24">
        <f t="shared" si="1"/>
        <v>13508.924557999999</v>
      </c>
      <c r="K20" s="25">
        <f t="shared" si="2"/>
        <v>111.03249999999998</v>
      </c>
      <c r="L20" s="25">
        <f t="shared" si="8"/>
        <v>222.06499999999997</v>
      </c>
      <c r="M20" s="25">
        <f t="shared" si="9"/>
        <v>222.065</v>
      </c>
      <c r="N20" s="25">
        <f t="shared" si="3"/>
        <v>562.87185658333328</v>
      </c>
      <c r="O20" s="25">
        <f t="shared" si="4"/>
        <v>14626.958914583332</v>
      </c>
      <c r="P20" s="51">
        <v>1358.8528800000001</v>
      </c>
      <c r="Q20" s="51">
        <v>1145.4828</v>
      </c>
      <c r="R20" s="51">
        <v>2114.8155000000002</v>
      </c>
      <c r="S20" s="51">
        <v>588.77943991666666</v>
      </c>
      <c r="T20" s="26">
        <f t="shared" si="7"/>
        <v>5207.9306199166676</v>
      </c>
      <c r="U20" s="27"/>
      <c r="V20" s="28">
        <v>2000</v>
      </c>
      <c r="W20" s="27"/>
      <c r="X20" s="27"/>
      <c r="Y20" s="27"/>
      <c r="Z20" s="27"/>
      <c r="AA20" s="27"/>
      <c r="AB20" s="27"/>
      <c r="AC20" s="27"/>
      <c r="AD20" s="27"/>
      <c r="AE20" s="27"/>
      <c r="AF20" s="27"/>
      <c r="AG20" s="27"/>
      <c r="AH20" s="27"/>
      <c r="AI20" s="27"/>
      <c r="AJ20" s="27"/>
      <c r="AK20" s="27"/>
    </row>
    <row r="21" spans="2:37" ht="19.5" customHeight="1" x14ac:dyDescent="0.25">
      <c r="B21" s="40">
        <f t="shared" si="6"/>
        <v>20</v>
      </c>
      <c r="C21" s="41" t="s">
        <v>22</v>
      </c>
      <c r="D21" s="20" t="s">
        <v>73</v>
      </c>
      <c r="E21" s="21">
        <v>43831</v>
      </c>
      <c r="F21" s="21">
        <v>46387</v>
      </c>
      <c r="G21" s="22">
        <f t="shared" si="0"/>
        <v>6</v>
      </c>
      <c r="H21" s="23">
        <f>VLOOKUP(G21,Hoja5!$A$3:$B$38,2,0)</f>
        <v>22</v>
      </c>
      <c r="I21" s="24">
        <v>519.35</v>
      </c>
      <c r="J21" s="24">
        <f t="shared" si="1"/>
        <v>15796.861210000001</v>
      </c>
      <c r="K21" s="25">
        <f t="shared" si="2"/>
        <v>238.03541666666669</v>
      </c>
      <c r="L21" s="25">
        <f t="shared" si="8"/>
        <v>222.06499999999997</v>
      </c>
      <c r="M21" s="25">
        <f t="shared" si="9"/>
        <v>259.67500000000001</v>
      </c>
      <c r="N21" s="25">
        <f t="shared" si="3"/>
        <v>658.20255041666667</v>
      </c>
      <c r="O21" s="25">
        <f t="shared" si="4"/>
        <v>17174.839177083337</v>
      </c>
      <c r="P21" s="26">
        <v>1358.8528800000001</v>
      </c>
      <c r="Q21" s="26">
        <v>849.28305</v>
      </c>
      <c r="R21" s="26">
        <v>2114.8155000000002</v>
      </c>
      <c r="S21" s="26">
        <f t="shared" ref="S21:S27" si="10">(K21+L21+M21+N21+J21)*0.04</f>
        <v>686.99356708333335</v>
      </c>
      <c r="T21" s="26">
        <f t="shared" si="7"/>
        <v>5009.9449970833339</v>
      </c>
      <c r="U21" s="27"/>
      <c r="V21" s="28">
        <v>3500</v>
      </c>
      <c r="W21" s="27"/>
      <c r="X21" s="27"/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7"/>
      <c r="AJ21" s="27"/>
      <c r="AK21" s="27"/>
    </row>
    <row r="22" spans="2:37" ht="19.5" customHeight="1" x14ac:dyDescent="0.25">
      <c r="B22" s="19">
        <f t="shared" si="6"/>
        <v>21</v>
      </c>
      <c r="C22" s="20" t="s">
        <v>34</v>
      </c>
      <c r="D22" s="20" t="s">
        <v>35</v>
      </c>
      <c r="E22" s="21">
        <v>44758</v>
      </c>
      <c r="F22" s="21">
        <v>46387</v>
      </c>
      <c r="G22" s="22">
        <f t="shared" si="0"/>
        <v>4</v>
      </c>
      <c r="H22" s="23">
        <f>VLOOKUP(G22,Hoja5!$A$3:$B$38,2,0)</f>
        <v>18</v>
      </c>
      <c r="I22" s="24">
        <v>685.57039999999995</v>
      </c>
      <c r="J22" s="24">
        <f t="shared" si="1"/>
        <v>20852.720628639996</v>
      </c>
      <c r="K22" s="25">
        <f t="shared" si="2"/>
        <v>257.08889999999997</v>
      </c>
      <c r="L22" s="25">
        <f t="shared" si="8"/>
        <v>259.67500000000001</v>
      </c>
      <c r="M22" s="25">
        <v>0</v>
      </c>
      <c r="N22" s="25">
        <f t="shared" si="3"/>
        <v>868.8633595266665</v>
      </c>
      <c r="O22" s="25">
        <f t="shared" si="4"/>
        <v>22238.34788816666</v>
      </c>
      <c r="P22" s="26">
        <v>1358.8528800000001</v>
      </c>
      <c r="Q22" s="26">
        <v>849.28305</v>
      </c>
      <c r="R22" s="26">
        <v>2114.8155000000002</v>
      </c>
      <c r="S22" s="26">
        <f t="shared" si="10"/>
        <v>889.53391552666653</v>
      </c>
      <c r="T22" s="26">
        <f t="shared" si="7"/>
        <v>5212.4853455266675</v>
      </c>
      <c r="U22" s="27"/>
      <c r="V22" s="28">
        <v>2000</v>
      </c>
      <c r="W22" s="27"/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27"/>
      <c r="AJ22" s="27"/>
      <c r="AK22" s="27"/>
    </row>
    <row r="23" spans="2:37" ht="19.5" customHeight="1" x14ac:dyDescent="0.25">
      <c r="B23" s="19">
        <f t="shared" si="6"/>
        <v>22</v>
      </c>
      <c r="C23" s="20" t="s">
        <v>29</v>
      </c>
      <c r="D23" s="20" t="s">
        <v>30</v>
      </c>
      <c r="E23" s="21">
        <v>46189</v>
      </c>
      <c r="F23" s="21">
        <v>46387</v>
      </c>
      <c r="G23" s="22">
        <f t="shared" si="0"/>
        <v>0</v>
      </c>
      <c r="H23" s="23">
        <f>VLOOKUP(G23,Hoja5!$A$3:$B$38,2,0)</f>
        <v>12</v>
      </c>
      <c r="I23" s="24">
        <v>404.22840000000002</v>
      </c>
      <c r="J23" s="24">
        <f t="shared" si="1"/>
        <v>12295.253551440001</v>
      </c>
      <c r="K23" s="25">
        <f t="shared" si="2"/>
        <v>101.05710000000001</v>
      </c>
      <c r="L23" s="25">
        <f t="shared" si="8"/>
        <v>342.78519999999997</v>
      </c>
      <c r="M23" s="25">
        <f>I23*0.25*2</f>
        <v>202.11420000000001</v>
      </c>
      <c r="N23" s="25">
        <f t="shared" si="3"/>
        <v>512.30223131000002</v>
      </c>
      <c r="O23" s="25">
        <f t="shared" si="4"/>
        <v>13453.512282750002</v>
      </c>
      <c r="P23" s="26">
        <v>1358.8528800000001</v>
      </c>
      <c r="Q23" s="26">
        <v>849.28305</v>
      </c>
      <c r="R23" s="26">
        <v>2114.8155000000002</v>
      </c>
      <c r="S23" s="26">
        <f t="shared" si="10"/>
        <v>538.14049131000002</v>
      </c>
      <c r="T23" s="26">
        <f t="shared" si="7"/>
        <v>4861.0919213100005</v>
      </c>
      <c r="U23" s="27"/>
      <c r="V23" s="28">
        <v>2000</v>
      </c>
      <c r="W23" s="27"/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27"/>
      <c r="AI23" s="27"/>
      <c r="AJ23" s="27"/>
      <c r="AK23" s="27"/>
    </row>
    <row r="24" spans="2:37" ht="19.5" customHeight="1" x14ac:dyDescent="0.25">
      <c r="B24" s="19">
        <f t="shared" si="6"/>
        <v>23</v>
      </c>
      <c r="C24" s="20" t="s">
        <v>50</v>
      </c>
      <c r="D24" s="20" t="s">
        <v>30</v>
      </c>
      <c r="E24" s="21">
        <v>46174</v>
      </c>
      <c r="F24" s="21">
        <v>46387</v>
      </c>
      <c r="G24" s="22">
        <f t="shared" si="0"/>
        <v>0</v>
      </c>
      <c r="H24" s="23">
        <f>VLOOKUP(G24,Hoja5!$A$3:$B$38,2,0)</f>
        <v>12</v>
      </c>
      <c r="I24" s="24">
        <v>575.34490000000005</v>
      </c>
      <c r="J24" s="24">
        <f t="shared" si="1"/>
        <v>17500.035685340001</v>
      </c>
      <c r="K24" s="25">
        <f t="shared" si="2"/>
        <v>143.83622500000001</v>
      </c>
      <c r="L24" s="25">
        <f t="shared" si="8"/>
        <v>202.11420000000001</v>
      </c>
      <c r="M24" s="25">
        <f>I24*0.25*2</f>
        <v>287.67245000000003</v>
      </c>
      <c r="N24" s="25">
        <f t="shared" si="3"/>
        <v>729.16815355583333</v>
      </c>
      <c r="O24" s="25">
        <f t="shared" si="4"/>
        <v>18862.826713895836</v>
      </c>
      <c r="P24" s="26">
        <v>1358.8528800000001</v>
      </c>
      <c r="Q24" s="26">
        <v>849.28305</v>
      </c>
      <c r="R24" s="26">
        <v>2114.8155000000002</v>
      </c>
      <c r="S24" s="26">
        <f t="shared" si="10"/>
        <v>754.51306855583334</v>
      </c>
      <c r="T24" s="26">
        <f t="shared" si="7"/>
        <v>5077.4644985558343</v>
      </c>
      <c r="U24" s="27"/>
      <c r="V24" s="28">
        <v>2000</v>
      </c>
      <c r="W24" s="27"/>
      <c r="X24" s="27"/>
      <c r="Y24" s="27"/>
      <c r="Z24" s="27"/>
      <c r="AA24" s="27"/>
      <c r="AB24" s="27"/>
      <c r="AC24" s="27"/>
      <c r="AD24" s="27"/>
      <c r="AE24" s="27"/>
      <c r="AF24" s="27"/>
      <c r="AG24" s="27"/>
      <c r="AH24" s="27"/>
      <c r="AI24" s="27"/>
      <c r="AJ24" s="27"/>
      <c r="AK24" s="27"/>
    </row>
    <row r="25" spans="2:37" ht="19.5" customHeight="1" x14ac:dyDescent="0.25">
      <c r="B25" s="19">
        <f t="shared" si="6"/>
        <v>24</v>
      </c>
      <c r="C25" s="20" t="s">
        <v>53</v>
      </c>
      <c r="D25" s="20" t="s">
        <v>30</v>
      </c>
      <c r="E25" s="21">
        <v>46235</v>
      </c>
      <c r="F25" s="21">
        <v>46387</v>
      </c>
      <c r="G25" s="22">
        <f t="shared" si="0"/>
        <v>0</v>
      </c>
      <c r="H25" s="23">
        <f>VLOOKUP(G25,Hoja5!$A$3:$B$38,2,0)</f>
        <v>12</v>
      </c>
      <c r="I25" s="24">
        <v>575.34259999999995</v>
      </c>
      <c r="J25" s="24">
        <f t="shared" si="1"/>
        <v>17499.965727159997</v>
      </c>
      <c r="K25" s="25">
        <f t="shared" si="2"/>
        <v>143.83564999999999</v>
      </c>
      <c r="L25" s="25">
        <f t="shared" si="8"/>
        <v>287.67245000000003</v>
      </c>
      <c r="M25" s="25">
        <f>I25*0.25*2</f>
        <v>287.67129999999997</v>
      </c>
      <c r="N25" s="25">
        <f t="shared" si="3"/>
        <v>729.16523863166651</v>
      </c>
      <c r="O25" s="25">
        <f t="shared" si="4"/>
        <v>18948.310365791669</v>
      </c>
      <c r="P25" s="26">
        <v>1358.8528800000001</v>
      </c>
      <c r="Q25" s="26">
        <v>849.28305</v>
      </c>
      <c r="R25" s="26">
        <v>2114.8155000000002</v>
      </c>
      <c r="S25" s="26">
        <f t="shared" si="10"/>
        <v>757.93241463166657</v>
      </c>
      <c r="T25" s="26">
        <f t="shared" si="7"/>
        <v>5080.8838446316677</v>
      </c>
      <c r="U25" s="27"/>
      <c r="V25" s="28">
        <v>2000</v>
      </c>
      <c r="W25" s="27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/>
      <c r="AK25" s="27"/>
    </row>
    <row r="26" spans="2:37" ht="19.5" customHeight="1" x14ac:dyDescent="0.25">
      <c r="B26" s="19">
        <f t="shared" si="6"/>
        <v>25</v>
      </c>
      <c r="C26" s="20" t="s">
        <v>54</v>
      </c>
      <c r="D26" s="20" t="s">
        <v>30</v>
      </c>
      <c r="E26" s="21">
        <v>45983</v>
      </c>
      <c r="F26" s="21">
        <v>46387</v>
      </c>
      <c r="G26" s="22">
        <f t="shared" si="0"/>
        <v>1</v>
      </c>
      <c r="H26" s="23">
        <f>VLOOKUP(G26,Hoja5!$A$3:$B$38,2,0)</f>
        <v>12</v>
      </c>
      <c r="I26" s="24">
        <v>575.34259999999995</v>
      </c>
      <c r="J26" s="24">
        <f t="shared" si="1"/>
        <v>17499.965727159997</v>
      </c>
      <c r="K26" s="25">
        <f t="shared" si="2"/>
        <v>143.83564999999999</v>
      </c>
      <c r="L26" s="25">
        <f t="shared" si="8"/>
        <v>287.67129999999997</v>
      </c>
      <c r="M26" s="25">
        <f>I26*0.25*2</f>
        <v>287.67129999999997</v>
      </c>
      <c r="N26" s="25">
        <f t="shared" si="3"/>
        <v>729.16523863166651</v>
      </c>
      <c r="O26" s="25">
        <f t="shared" si="4"/>
        <v>18948.309215791665</v>
      </c>
      <c r="P26" s="26">
        <v>3972.5716800000005</v>
      </c>
      <c r="Q26" s="26">
        <v>2482.8573000000001</v>
      </c>
      <c r="R26" s="26">
        <v>6164.5185000000001</v>
      </c>
      <c r="S26" s="26">
        <f t="shared" si="10"/>
        <v>757.93236863166646</v>
      </c>
      <c r="T26" s="26">
        <f t="shared" si="7"/>
        <v>13377.879848631666</v>
      </c>
      <c r="U26" s="27"/>
      <c r="V26" s="28">
        <v>2000</v>
      </c>
      <c r="W26" s="27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27"/>
    </row>
    <row r="27" spans="2:37" ht="19.5" customHeight="1" x14ac:dyDescent="0.25">
      <c r="B27" s="19">
        <f t="shared" si="6"/>
        <v>26</v>
      </c>
      <c r="C27" s="20" t="s">
        <v>55</v>
      </c>
      <c r="D27" s="20" t="s">
        <v>30</v>
      </c>
      <c r="E27" s="21">
        <v>46054</v>
      </c>
      <c r="F27" s="21">
        <v>46387</v>
      </c>
      <c r="G27" s="22">
        <f t="shared" si="0"/>
        <v>0</v>
      </c>
      <c r="H27" s="23">
        <f>VLOOKUP(G27,Hoja5!$A$3:$B$38,2,0)</f>
        <v>12</v>
      </c>
      <c r="I27" s="24">
        <v>401.55650000000003</v>
      </c>
      <c r="J27" s="24">
        <f t="shared" si="1"/>
        <v>12213.9834379</v>
      </c>
      <c r="K27" s="25">
        <f t="shared" si="2"/>
        <v>100.38912499999999</v>
      </c>
      <c r="L27" s="25">
        <f t="shared" si="8"/>
        <v>287.67129999999997</v>
      </c>
      <c r="M27" s="25">
        <v>0</v>
      </c>
      <c r="N27" s="25">
        <f t="shared" si="3"/>
        <v>508.91597657916668</v>
      </c>
      <c r="O27" s="25">
        <f t="shared" si="4"/>
        <v>13110.959839479166</v>
      </c>
      <c r="P27" s="26">
        <v>1657.6560000000002</v>
      </c>
      <c r="Q27" s="26">
        <v>1036.0350000000001</v>
      </c>
      <c r="R27" s="26">
        <v>2486.4</v>
      </c>
      <c r="S27" s="26">
        <f t="shared" si="10"/>
        <v>524.4383935791667</v>
      </c>
      <c r="T27" s="26">
        <f t="shared" si="7"/>
        <v>5704.5293935791669</v>
      </c>
      <c r="U27" s="27"/>
      <c r="V27" s="28">
        <v>2000</v>
      </c>
      <c r="W27" s="27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27"/>
      <c r="AK27" s="27"/>
    </row>
    <row r="28" spans="2:37" ht="19.5" customHeight="1" x14ac:dyDescent="0.25">
      <c r="B28" s="19">
        <f t="shared" si="6"/>
        <v>27</v>
      </c>
      <c r="C28" s="20" t="s">
        <v>66</v>
      </c>
      <c r="D28" s="20" t="s">
        <v>30</v>
      </c>
      <c r="E28" s="21">
        <v>46235</v>
      </c>
      <c r="F28" s="21">
        <v>46387</v>
      </c>
      <c r="G28" s="22">
        <f t="shared" si="0"/>
        <v>0</v>
      </c>
      <c r="H28" s="23">
        <f>VLOOKUP(G28,Hoja5!$A$3:$B$38,2,0)</f>
        <v>12</v>
      </c>
      <c r="I28" s="24">
        <v>404.18</v>
      </c>
      <c r="J28" s="24">
        <f t="shared" si="1"/>
        <v>12293.781387999999</v>
      </c>
      <c r="K28" s="25">
        <f t="shared" si="2"/>
        <v>101.045</v>
      </c>
      <c r="L28" s="25">
        <f t="shared" si="8"/>
        <v>200.77824999999999</v>
      </c>
      <c r="M28" s="25">
        <f>I28*0.25*2</f>
        <v>202.09</v>
      </c>
      <c r="N28" s="25">
        <f t="shared" si="3"/>
        <v>512.24089116666664</v>
      </c>
      <c r="O28" s="25">
        <f t="shared" si="4"/>
        <v>13309.935529166665</v>
      </c>
      <c r="P28" s="51">
        <v>1358.8528800000001</v>
      </c>
      <c r="Q28" s="51">
        <v>1145.4828</v>
      </c>
      <c r="R28" s="51">
        <v>3062.85</v>
      </c>
      <c r="S28" s="51">
        <v>588.77943991666666</v>
      </c>
      <c r="T28" s="26">
        <f t="shared" si="7"/>
        <v>6155.9651199166674</v>
      </c>
      <c r="U28" s="29">
        <f>SUM(U1:U27)</f>
        <v>0</v>
      </c>
      <c r="V28" s="28">
        <v>2000</v>
      </c>
      <c r="W28" s="27"/>
      <c r="X28" s="27"/>
      <c r="Y28" s="27"/>
      <c r="Z28" s="27"/>
      <c r="AA28" s="27"/>
      <c r="AB28" s="27"/>
      <c r="AC28" s="27"/>
      <c r="AD28" s="27"/>
      <c r="AE28" s="27"/>
      <c r="AF28" s="27"/>
      <c r="AG28" s="27"/>
      <c r="AH28" s="27"/>
      <c r="AI28" s="27"/>
      <c r="AJ28" s="27"/>
      <c r="AK28" s="27"/>
    </row>
    <row r="29" spans="2:37" ht="19.5" customHeight="1" x14ac:dyDescent="0.25">
      <c r="B29" s="38">
        <f t="shared" si="6"/>
        <v>28</v>
      </c>
      <c r="C29" s="39" t="s">
        <v>24</v>
      </c>
      <c r="D29" s="20" t="s">
        <v>25</v>
      </c>
      <c r="E29" s="21">
        <v>42751</v>
      </c>
      <c r="F29" s="21">
        <v>46387</v>
      </c>
      <c r="G29" s="22">
        <f t="shared" si="0"/>
        <v>9</v>
      </c>
      <c r="H29" s="23">
        <f>VLOOKUP(G29,Hoja5!$A$3:$B$38,2,0)</f>
        <v>22</v>
      </c>
      <c r="I29" s="24">
        <v>444.13</v>
      </c>
      <c r="J29" s="24">
        <f t="shared" si="1"/>
        <v>13508.924557999999</v>
      </c>
      <c r="K29" s="25">
        <f t="shared" si="2"/>
        <v>203.55958333333334</v>
      </c>
      <c r="L29" s="25">
        <f t="shared" si="8"/>
        <v>202.09</v>
      </c>
      <c r="M29" s="25">
        <f>I29*0.25*2</f>
        <v>222.065</v>
      </c>
      <c r="N29" s="25">
        <f t="shared" si="3"/>
        <v>562.87185658333328</v>
      </c>
      <c r="O29" s="25">
        <f t="shared" si="4"/>
        <v>14699.510997916666</v>
      </c>
      <c r="P29" s="51">
        <v>1358.8528800000001</v>
      </c>
      <c r="Q29" s="51">
        <v>1145.4828</v>
      </c>
      <c r="R29" s="51">
        <v>2114.8155000000002</v>
      </c>
      <c r="S29" s="51">
        <v>588.77943991666666</v>
      </c>
      <c r="T29" s="26">
        <f t="shared" si="7"/>
        <v>5207.9306199166676</v>
      </c>
      <c r="U29" s="27"/>
      <c r="V29" s="28">
        <v>3500</v>
      </c>
      <c r="W29" s="27"/>
      <c r="X29" s="27"/>
      <c r="Y29" s="27"/>
      <c r="Z29" s="27"/>
      <c r="AA29" s="27"/>
      <c r="AB29" s="27"/>
      <c r="AC29" s="27"/>
      <c r="AD29" s="27"/>
      <c r="AE29" s="27"/>
      <c r="AF29" s="27"/>
      <c r="AG29" s="27"/>
      <c r="AH29" s="27"/>
      <c r="AI29" s="27"/>
      <c r="AJ29" s="27"/>
      <c r="AK29" s="27"/>
    </row>
    <row r="30" spans="2:37" ht="19.5" customHeight="1" x14ac:dyDescent="0.25">
      <c r="B30" s="36">
        <f t="shared" si="6"/>
        <v>29</v>
      </c>
      <c r="C30" s="37" t="s">
        <v>43</v>
      </c>
      <c r="D30" s="20" t="s">
        <v>25</v>
      </c>
      <c r="E30" s="21">
        <v>45145</v>
      </c>
      <c r="F30" s="21">
        <v>46387</v>
      </c>
      <c r="G30" s="22">
        <f t="shared" si="0"/>
        <v>3</v>
      </c>
      <c r="H30" s="23">
        <f>VLOOKUP(G30,Hoja5!$A$3:$B$38,2,0)</f>
        <v>16</v>
      </c>
      <c r="I30" s="24">
        <v>444.13</v>
      </c>
      <c r="J30" s="24">
        <f t="shared" si="1"/>
        <v>13508.924557999999</v>
      </c>
      <c r="K30" s="25">
        <f t="shared" si="2"/>
        <v>148.04333333333332</v>
      </c>
      <c r="L30" s="25">
        <f t="shared" si="8"/>
        <v>222.06499999999997</v>
      </c>
      <c r="M30" s="25">
        <f>I30*0.25*2</f>
        <v>222.065</v>
      </c>
      <c r="N30" s="25">
        <f t="shared" si="3"/>
        <v>562.87185658333328</v>
      </c>
      <c r="O30" s="25">
        <f t="shared" si="4"/>
        <v>14663.969747916666</v>
      </c>
      <c r="P30" s="51">
        <v>1358.8528800000001</v>
      </c>
      <c r="Q30" s="51">
        <v>1145.4828</v>
      </c>
      <c r="R30" s="51">
        <v>2265.9</v>
      </c>
      <c r="S30" s="51">
        <v>588.77943991666666</v>
      </c>
      <c r="T30" s="26">
        <f t="shared" si="7"/>
        <v>5359.0151199166667</v>
      </c>
      <c r="U30" s="27"/>
      <c r="V30" s="28">
        <v>2000</v>
      </c>
      <c r="W30" s="27"/>
      <c r="X30" s="27"/>
      <c r="Y30" s="27"/>
      <c r="Z30" s="27"/>
      <c r="AA30" s="27"/>
      <c r="AB30" s="27"/>
      <c r="AC30" s="27"/>
      <c r="AD30" s="27"/>
      <c r="AE30" s="27"/>
      <c r="AF30" s="27"/>
      <c r="AG30" s="27"/>
      <c r="AH30" s="27"/>
      <c r="AI30" s="27"/>
      <c r="AJ30" s="27"/>
      <c r="AK30" s="27"/>
    </row>
    <row r="31" spans="2:37" ht="19.5" customHeight="1" x14ac:dyDescent="0.25">
      <c r="B31" s="36">
        <f t="shared" si="6"/>
        <v>30</v>
      </c>
      <c r="C31" s="37" t="s">
        <v>44</v>
      </c>
      <c r="D31" s="20" t="s">
        <v>25</v>
      </c>
      <c r="E31" s="21">
        <v>45253</v>
      </c>
      <c r="F31" s="21">
        <v>46387</v>
      </c>
      <c r="G31" s="22">
        <f t="shared" si="0"/>
        <v>3</v>
      </c>
      <c r="H31" s="23">
        <f>VLOOKUP(G31,Hoja5!$A$3:$B$38,2,0)</f>
        <v>16</v>
      </c>
      <c r="I31" s="24">
        <v>444.13</v>
      </c>
      <c r="J31" s="24">
        <f t="shared" si="1"/>
        <v>13508.924557999999</v>
      </c>
      <c r="K31" s="25">
        <f t="shared" si="2"/>
        <v>148.04333333333332</v>
      </c>
      <c r="L31" s="25">
        <f t="shared" si="8"/>
        <v>222.06499999999997</v>
      </c>
      <c r="M31" s="25">
        <f>I31*0.25*2</f>
        <v>222.065</v>
      </c>
      <c r="N31" s="25">
        <f t="shared" si="3"/>
        <v>562.87185658333328</v>
      </c>
      <c r="O31" s="25">
        <f t="shared" si="4"/>
        <v>14663.969747916666</v>
      </c>
      <c r="P31" s="51">
        <v>1358.8528800000001</v>
      </c>
      <c r="Q31" s="51">
        <v>1145.4828</v>
      </c>
      <c r="R31" s="51">
        <v>2114.8155000000002</v>
      </c>
      <c r="S31" s="51">
        <v>588.03922324999996</v>
      </c>
      <c r="T31" s="26">
        <f t="shared" si="7"/>
        <v>5207.1904032500006</v>
      </c>
      <c r="U31" s="27"/>
      <c r="V31" s="28">
        <v>2000</v>
      </c>
      <c r="W31" s="27"/>
      <c r="X31" s="27"/>
      <c r="Y31" s="27"/>
      <c r="Z31" s="27"/>
      <c r="AA31" s="27"/>
      <c r="AB31" s="27"/>
      <c r="AC31" s="27"/>
      <c r="AD31" s="27"/>
      <c r="AE31" s="27"/>
      <c r="AF31" s="27"/>
      <c r="AG31" s="27"/>
      <c r="AH31" s="27"/>
      <c r="AI31" s="27"/>
      <c r="AJ31" s="27"/>
      <c r="AK31" s="27"/>
    </row>
    <row r="32" spans="2:37" ht="19.5" customHeight="1" x14ac:dyDescent="0.25">
      <c r="B32" s="36">
        <f t="shared" si="6"/>
        <v>31</v>
      </c>
      <c r="C32" s="37" t="s">
        <v>45</v>
      </c>
      <c r="D32" s="20" t="s">
        <v>25</v>
      </c>
      <c r="E32" s="21">
        <v>45505</v>
      </c>
      <c r="F32" s="21">
        <v>46387</v>
      </c>
      <c r="G32" s="22">
        <f t="shared" si="0"/>
        <v>2</v>
      </c>
      <c r="H32" s="23">
        <f>VLOOKUP(G32,Hoja5!$A$3:$B$38,2,0)</f>
        <v>14</v>
      </c>
      <c r="I32" s="24">
        <v>444.13</v>
      </c>
      <c r="J32" s="24">
        <f t="shared" si="1"/>
        <v>13508.924557999999</v>
      </c>
      <c r="K32" s="25">
        <f t="shared" si="2"/>
        <v>129.53791666666666</v>
      </c>
      <c r="L32" s="25">
        <f t="shared" si="8"/>
        <v>222.06499999999997</v>
      </c>
      <c r="M32" s="25">
        <f>I32*0.25*2</f>
        <v>222.065</v>
      </c>
      <c r="N32" s="25">
        <f t="shared" si="3"/>
        <v>562.87185658333328</v>
      </c>
      <c r="O32" s="25">
        <f t="shared" si="4"/>
        <v>14645.464331249999</v>
      </c>
      <c r="P32" s="51">
        <v>1358.8528800000001</v>
      </c>
      <c r="Q32" s="51">
        <v>1145.4828</v>
      </c>
      <c r="R32" s="51">
        <v>2114.8155000000002</v>
      </c>
      <c r="S32" s="51">
        <v>585.81857324999999</v>
      </c>
      <c r="T32" s="26">
        <f t="shared" si="7"/>
        <v>5204.9697532500004</v>
      </c>
      <c r="U32" s="27"/>
      <c r="V32" s="28">
        <v>2000</v>
      </c>
      <c r="W32" s="27"/>
      <c r="X32" s="27"/>
      <c r="Y32" s="27"/>
      <c r="Z32" s="27"/>
      <c r="AA32" s="27"/>
      <c r="AB32" s="27"/>
      <c r="AC32" s="27"/>
      <c r="AD32" s="27"/>
      <c r="AE32" s="27"/>
      <c r="AF32" s="27"/>
      <c r="AG32" s="27"/>
      <c r="AH32" s="27"/>
      <c r="AI32" s="27"/>
      <c r="AJ32" s="27"/>
      <c r="AK32" s="27"/>
    </row>
    <row r="33" spans="1:37" ht="19.5" customHeight="1" x14ac:dyDescent="0.25">
      <c r="B33" s="36">
        <f t="shared" si="6"/>
        <v>32</v>
      </c>
      <c r="C33" s="37" t="s">
        <v>52</v>
      </c>
      <c r="D33" s="20" t="s">
        <v>25</v>
      </c>
      <c r="E33" s="21">
        <v>45877</v>
      </c>
      <c r="F33" s="21">
        <v>46387</v>
      </c>
      <c r="G33" s="22">
        <f t="shared" si="0"/>
        <v>1</v>
      </c>
      <c r="H33" s="23">
        <f>VLOOKUP(G33,Hoja5!$A$3:$B$38,2,0)</f>
        <v>12</v>
      </c>
      <c r="I33" s="24">
        <v>444.13</v>
      </c>
      <c r="J33" s="24">
        <f t="shared" si="1"/>
        <v>13508.924557999999</v>
      </c>
      <c r="K33" s="25">
        <f t="shared" si="2"/>
        <v>111.03249999999998</v>
      </c>
      <c r="L33" s="25">
        <f t="shared" si="8"/>
        <v>222.06499999999997</v>
      </c>
      <c r="M33" s="25">
        <v>0</v>
      </c>
      <c r="N33" s="25">
        <f t="shared" si="3"/>
        <v>562.87185658333328</v>
      </c>
      <c r="O33" s="25">
        <f t="shared" si="4"/>
        <v>14404.893914583332</v>
      </c>
      <c r="P33" s="51">
        <v>1358.8528800000001</v>
      </c>
      <c r="Q33" s="51">
        <v>1145.4828</v>
      </c>
      <c r="R33" s="51">
        <v>3062.85</v>
      </c>
      <c r="S33" s="51">
        <v>588.77943991666666</v>
      </c>
      <c r="T33" s="26">
        <f t="shared" si="7"/>
        <v>6155.9651199166674</v>
      </c>
      <c r="U33" s="27"/>
      <c r="V33" s="28">
        <v>2000</v>
      </c>
      <c r="W33" s="27"/>
      <c r="X33" s="27"/>
      <c r="Y33" s="27"/>
      <c r="Z33" s="27"/>
      <c r="AA33" s="27"/>
      <c r="AB33" s="27"/>
      <c r="AC33" s="27"/>
      <c r="AD33" s="27"/>
      <c r="AE33" s="27"/>
      <c r="AF33" s="27"/>
      <c r="AG33" s="27"/>
      <c r="AH33" s="27"/>
      <c r="AI33" s="27"/>
      <c r="AJ33" s="27"/>
      <c r="AK33" s="27"/>
    </row>
    <row r="34" spans="1:37" ht="19.5" customHeight="1" x14ac:dyDescent="0.25">
      <c r="B34" s="36">
        <f t="shared" si="6"/>
        <v>33</v>
      </c>
      <c r="C34" s="37" t="s">
        <v>56</v>
      </c>
      <c r="D34" s="20" t="s">
        <v>25</v>
      </c>
      <c r="E34" s="21">
        <v>46054</v>
      </c>
      <c r="F34" s="21">
        <v>46387</v>
      </c>
      <c r="G34" s="22">
        <f t="shared" si="0"/>
        <v>0</v>
      </c>
      <c r="H34" s="23">
        <f>VLOOKUP(G34,Hoja5!$A$3:$B$38,2,0)</f>
        <v>12</v>
      </c>
      <c r="I34" s="24">
        <v>444.13</v>
      </c>
      <c r="J34" s="24">
        <f t="shared" si="1"/>
        <v>13508.924557999999</v>
      </c>
      <c r="K34" s="25">
        <f t="shared" si="2"/>
        <v>111.03249999999998</v>
      </c>
      <c r="L34" s="25">
        <f t="shared" si="8"/>
        <v>222.06499999999997</v>
      </c>
      <c r="M34" s="25">
        <f t="shared" ref="M34:M41" si="11">I34*0.25*2</f>
        <v>222.065</v>
      </c>
      <c r="N34" s="25">
        <f t="shared" si="3"/>
        <v>562.87185658333328</v>
      </c>
      <c r="O34" s="25">
        <f t="shared" si="4"/>
        <v>14626.958914583332</v>
      </c>
      <c r="P34" s="51">
        <v>1358.8528800000001</v>
      </c>
      <c r="Q34" s="51">
        <v>1145.4828</v>
      </c>
      <c r="R34" s="51">
        <v>3062.85</v>
      </c>
      <c r="S34" s="51">
        <v>588.77943991666666</v>
      </c>
      <c r="T34" s="26">
        <f t="shared" si="7"/>
        <v>6155.9651199166674</v>
      </c>
      <c r="U34" s="27"/>
      <c r="V34" s="28">
        <v>2000</v>
      </c>
      <c r="W34" s="27"/>
      <c r="X34" s="27"/>
      <c r="Y34" s="27"/>
      <c r="Z34" s="27"/>
      <c r="AA34" s="27"/>
      <c r="AB34" s="27"/>
      <c r="AC34" s="27"/>
      <c r="AD34" s="27"/>
      <c r="AE34" s="27"/>
      <c r="AF34" s="27"/>
      <c r="AG34" s="27"/>
      <c r="AH34" s="27"/>
      <c r="AI34" s="27"/>
      <c r="AJ34" s="27"/>
      <c r="AK34" s="27"/>
    </row>
    <row r="35" spans="1:37" ht="19.5" customHeight="1" x14ac:dyDescent="0.25">
      <c r="B35" s="36">
        <f t="shared" si="6"/>
        <v>34</v>
      </c>
      <c r="C35" s="37" t="s">
        <v>57</v>
      </c>
      <c r="D35" s="20" t="s">
        <v>25</v>
      </c>
      <c r="E35" s="21">
        <v>46063</v>
      </c>
      <c r="F35" s="21">
        <v>46387</v>
      </c>
      <c r="G35" s="22">
        <f t="shared" si="0"/>
        <v>0</v>
      </c>
      <c r="H35" s="23">
        <f>VLOOKUP(G35,Hoja5!$A$3:$B$38,2,0)</f>
        <v>12</v>
      </c>
      <c r="I35" s="24">
        <v>444.13</v>
      </c>
      <c r="J35" s="24">
        <f t="shared" si="1"/>
        <v>13508.924557999999</v>
      </c>
      <c r="K35" s="25">
        <f t="shared" si="2"/>
        <v>111.03249999999998</v>
      </c>
      <c r="L35" s="25">
        <f t="shared" si="8"/>
        <v>222.06499999999997</v>
      </c>
      <c r="M35" s="25">
        <f t="shared" si="11"/>
        <v>222.065</v>
      </c>
      <c r="N35" s="25">
        <f t="shared" si="3"/>
        <v>562.87185658333328</v>
      </c>
      <c r="O35" s="25">
        <f t="shared" si="4"/>
        <v>14626.958914583332</v>
      </c>
      <c r="P35" s="51">
        <v>1358.8528800000001</v>
      </c>
      <c r="Q35" s="51">
        <v>1145.4828</v>
      </c>
      <c r="R35" s="51">
        <v>3062.85</v>
      </c>
      <c r="S35" s="51">
        <v>588.77943991666666</v>
      </c>
      <c r="T35" s="26">
        <f t="shared" si="7"/>
        <v>6155.9651199166674</v>
      </c>
      <c r="U35" s="27"/>
      <c r="V35" s="28">
        <v>2000</v>
      </c>
      <c r="W35" s="27"/>
      <c r="X35" s="27"/>
      <c r="Y35" s="27"/>
      <c r="Z35" s="27"/>
      <c r="AA35" s="27"/>
      <c r="AB35" s="27"/>
      <c r="AC35" s="27"/>
      <c r="AD35" s="27"/>
      <c r="AE35" s="27"/>
      <c r="AF35" s="27"/>
      <c r="AG35" s="27"/>
      <c r="AH35" s="27"/>
      <c r="AI35" s="27"/>
      <c r="AJ35" s="27"/>
      <c r="AK35" s="27"/>
    </row>
    <row r="36" spans="1:37" ht="19.5" customHeight="1" x14ac:dyDescent="0.25">
      <c r="B36" s="36">
        <f t="shared" si="6"/>
        <v>35</v>
      </c>
      <c r="C36" s="37" t="s">
        <v>58</v>
      </c>
      <c r="D36" s="20" t="s">
        <v>25</v>
      </c>
      <c r="E36" s="21">
        <v>46062</v>
      </c>
      <c r="F36" s="21">
        <v>46387</v>
      </c>
      <c r="G36" s="22">
        <f t="shared" si="0"/>
        <v>0</v>
      </c>
      <c r="H36" s="23">
        <f>VLOOKUP(G36,Hoja5!$A$3:$B$38,2,0)</f>
        <v>12</v>
      </c>
      <c r="I36" s="24">
        <v>444.13</v>
      </c>
      <c r="J36" s="24">
        <f t="shared" si="1"/>
        <v>13508.924557999999</v>
      </c>
      <c r="K36" s="25">
        <f t="shared" si="2"/>
        <v>111.03249999999998</v>
      </c>
      <c r="L36" s="25">
        <f t="shared" si="8"/>
        <v>222.06499999999997</v>
      </c>
      <c r="M36" s="25">
        <f t="shared" si="11"/>
        <v>222.065</v>
      </c>
      <c r="N36" s="25">
        <f t="shared" si="3"/>
        <v>562.87185658333328</v>
      </c>
      <c r="O36" s="25">
        <f t="shared" si="4"/>
        <v>14626.958914583332</v>
      </c>
      <c r="P36" s="51">
        <v>1358.8528800000001</v>
      </c>
      <c r="Q36" s="51">
        <v>1145.4828</v>
      </c>
      <c r="R36" s="51">
        <v>3062.85</v>
      </c>
      <c r="S36" s="51">
        <v>588.77943991666666</v>
      </c>
      <c r="T36" s="26">
        <f t="shared" si="7"/>
        <v>6155.9651199166674</v>
      </c>
      <c r="U36" s="27"/>
      <c r="V36" s="28">
        <v>2000</v>
      </c>
      <c r="W36" s="27"/>
      <c r="X36" s="27"/>
      <c r="Y36" s="27"/>
      <c r="Z36" s="27"/>
      <c r="AA36" s="27"/>
      <c r="AB36" s="27"/>
      <c r="AC36" s="27"/>
      <c r="AD36" s="27"/>
      <c r="AE36" s="27"/>
      <c r="AF36" s="27"/>
      <c r="AG36" s="27"/>
      <c r="AH36" s="27"/>
      <c r="AI36" s="27"/>
      <c r="AJ36" s="27"/>
      <c r="AK36" s="27"/>
    </row>
    <row r="37" spans="1:37" ht="19.5" customHeight="1" x14ac:dyDescent="0.25">
      <c r="B37" s="36">
        <f t="shared" si="6"/>
        <v>36</v>
      </c>
      <c r="C37" s="37" t="s">
        <v>59</v>
      </c>
      <c r="D37" s="20" t="s">
        <v>25</v>
      </c>
      <c r="E37" s="21">
        <v>46082</v>
      </c>
      <c r="F37" s="21">
        <v>46387</v>
      </c>
      <c r="G37" s="22">
        <f t="shared" si="0"/>
        <v>0</v>
      </c>
      <c r="H37" s="23">
        <f>VLOOKUP(G37,Hoja5!$A$3:$B$38,2,0)</f>
        <v>12</v>
      </c>
      <c r="I37" s="24">
        <v>444.13</v>
      </c>
      <c r="J37" s="24">
        <f t="shared" si="1"/>
        <v>13508.924557999999</v>
      </c>
      <c r="K37" s="25">
        <f t="shared" si="2"/>
        <v>111.03249999999998</v>
      </c>
      <c r="L37" s="25">
        <f t="shared" si="8"/>
        <v>222.06499999999997</v>
      </c>
      <c r="M37" s="25">
        <f t="shared" si="11"/>
        <v>222.065</v>
      </c>
      <c r="N37" s="25">
        <f t="shared" si="3"/>
        <v>562.87185658333328</v>
      </c>
      <c r="O37" s="25">
        <f t="shared" si="4"/>
        <v>14626.958914583332</v>
      </c>
      <c r="P37" s="51">
        <v>1358.8528800000001</v>
      </c>
      <c r="Q37" s="51">
        <v>1145.4828</v>
      </c>
      <c r="R37" s="51">
        <v>3062.85</v>
      </c>
      <c r="S37" s="51">
        <v>588.77943991666666</v>
      </c>
      <c r="T37" s="26">
        <f t="shared" si="7"/>
        <v>6155.9651199166674</v>
      </c>
      <c r="U37" s="27"/>
      <c r="V37" s="28">
        <v>2000</v>
      </c>
      <c r="W37" s="27"/>
      <c r="X37" s="27"/>
      <c r="Y37" s="27"/>
      <c r="Z37" s="27"/>
      <c r="AA37" s="27"/>
      <c r="AB37" s="27"/>
      <c r="AC37" s="27"/>
      <c r="AD37" s="27"/>
      <c r="AE37" s="27"/>
      <c r="AF37" s="27"/>
      <c r="AG37" s="27"/>
      <c r="AH37" s="27"/>
      <c r="AI37" s="27"/>
      <c r="AJ37" s="27"/>
      <c r="AK37" s="27"/>
    </row>
    <row r="38" spans="1:37" ht="19.5" customHeight="1" x14ac:dyDescent="0.25">
      <c r="B38" s="36">
        <f t="shared" ref="B38:B46" si="12">B37+1</f>
        <v>37</v>
      </c>
      <c r="C38" s="37" t="s">
        <v>60</v>
      </c>
      <c r="D38" s="20" t="s">
        <v>25</v>
      </c>
      <c r="E38" s="21">
        <v>46174</v>
      </c>
      <c r="F38" s="21">
        <v>46387</v>
      </c>
      <c r="G38" s="22">
        <f t="shared" si="0"/>
        <v>0</v>
      </c>
      <c r="H38" s="23">
        <f>VLOOKUP(G38,Hoja5!$A$3:$B$38,2,0)</f>
        <v>12</v>
      </c>
      <c r="I38" s="24">
        <v>444.13</v>
      </c>
      <c r="J38" s="24">
        <f t="shared" si="1"/>
        <v>13508.924557999999</v>
      </c>
      <c r="K38" s="25">
        <f t="shared" si="2"/>
        <v>111.03249999999998</v>
      </c>
      <c r="L38" s="25">
        <f t="shared" si="8"/>
        <v>222.06499999999997</v>
      </c>
      <c r="M38" s="25">
        <f t="shared" si="11"/>
        <v>222.065</v>
      </c>
      <c r="N38" s="25">
        <f t="shared" si="3"/>
        <v>562.87185658333328</v>
      </c>
      <c r="O38" s="25">
        <f t="shared" si="4"/>
        <v>14626.958914583332</v>
      </c>
      <c r="P38" s="51">
        <v>1358.8528800000001</v>
      </c>
      <c r="Q38" s="51">
        <v>1145.4828</v>
      </c>
      <c r="R38" s="51">
        <v>3062.85</v>
      </c>
      <c r="S38" s="51">
        <v>588.77943991666666</v>
      </c>
      <c r="T38" s="26">
        <f t="shared" si="7"/>
        <v>6155.9651199166674</v>
      </c>
      <c r="U38" s="27"/>
      <c r="V38" s="28">
        <v>2000</v>
      </c>
      <c r="W38" s="27"/>
      <c r="X38" s="27"/>
      <c r="Y38" s="27"/>
      <c r="Z38" s="27"/>
      <c r="AA38" s="27"/>
      <c r="AB38" s="27"/>
      <c r="AC38" s="27"/>
      <c r="AD38" s="27"/>
      <c r="AE38" s="27"/>
      <c r="AF38" s="27"/>
      <c r="AG38" s="27"/>
      <c r="AH38" s="27"/>
      <c r="AI38" s="27"/>
      <c r="AJ38" s="27"/>
      <c r="AK38" s="27"/>
    </row>
    <row r="39" spans="1:37" ht="19.5" customHeight="1" x14ac:dyDescent="0.25">
      <c r="B39" s="36">
        <f t="shared" si="12"/>
        <v>38</v>
      </c>
      <c r="C39" s="37" t="s">
        <v>61</v>
      </c>
      <c r="D39" s="20" t="s">
        <v>25</v>
      </c>
      <c r="E39" s="21">
        <v>46204</v>
      </c>
      <c r="F39" s="21">
        <v>46387</v>
      </c>
      <c r="G39" s="22">
        <f t="shared" si="0"/>
        <v>0</v>
      </c>
      <c r="H39" s="23">
        <f>VLOOKUP(G39,Hoja5!$A$3:$B$38,2,0)</f>
        <v>12</v>
      </c>
      <c r="I39" s="24">
        <v>444.13</v>
      </c>
      <c r="J39" s="24">
        <f t="shared" si="1"/>
        <v>13508.924557999999</v>
      </c>
      <c r="K39" s="25">
        <f t="shared" si="2"/>
        <v>111.03249999999998</v>
      </c>
      <c r="L39" s="25">
        <f t="shared" si="8"/>
        <v>222.06499999999997</v>
      </c>
      <c r="M39" s="25">
        <f t="shared" si="11"/>
        <v>222.065</v>
      </c>
      <c r="N39" s="25">
        <f t="shared" si="3"/>
        <v>562.87185658333328</v>
      </c>
      <c r="O39" s="25">
        <f t="shared" si="4"/>
        <v>14626.958914583332</v>
      </c>
      <c r="P39" s="51">
        <v>1358.8528800000001</v>
      </c>
      <c r="Q39" s="51">
        <v>1145.4828</v>
      </c>
      <c r="R39" s="51">
        <v>3062.85</v>
      </c>
      <c r="S39" s="51">
        <v>588.77943991666666</v>
      </c>
      <c r="T39" s="26">
        <f t="shared" si="7"/>
        <v>6155.9651199166674</v>
      </c>
      <c r="U39" s="27"/>
      <c r="V39" s="28">
        <v>2000</v>
      </c>
      <c r="W39" s="27"/>
      <c r="X39" s="27"/>
      <c r="Y39" s="27"/>
      <c r="Z39" s="27"/>
      <c r="AA39" s="27"/>
      <c r="AB39" s="27"/>
      <c r="AC39" s="27"/>
      <c r="AD39" s="27"/>
      <c r="AE39" s="27"/>
      <c r="AF39" s="27"/>
      <c r="AG39" s="27"/>
      <c r="AH39" s="27"/>
      <c r="AI39" s="27"/>
      <c r="AJ39" s="27"/>
      <c r="AK39" s="27"/>
    </row>
    <row r="40" spans="1:37" ht="19.5" customHeight="1" x14ac:dyDescent="0.25">
      <c r="B40" s="36">
        <f t="shared" si="12"/>
        <v>39</v>
      </c>
      <c r="C40" s="37" t="s">
        <v>68</v>
      </c>
      <c r="D40" s="20" t="s">
        <v>25</v>
      </c>
      <c r="E40" s="21">
        <v>46238</v>
      </c>
      <c r="F40" s="21">
        <v>46387</v>
      </c>
      <c r="G40" s="22">
        <f t="shared" si="0"/>
        <v>0</v>
      </c>
      <c r="H40" s="23">
        <f>VLOOKUP(G40,Hoja5!$A$3:$B$38,2,0)</f>
        <v>12</v>
      </c>
      <c r="I40" s="24">
        <v>444.13</v>
      </c>
      <c r="J40" s="24">
        <f t="shared" si="1"/>
        <v>13508.924557999999</v>
      </c>
      <c r="K40" s="25">
        <f t="shared" si="2"/>
        <v>111.03249999999998</v>
      </c>
      <c r="L40" s="25">
        <f t="shared" si="8"/>
        <v>222.06499999999997</v>
      </c>
      <c r="M40" s="25">
        <f t="shared" si="11"/>
        <v>222.065</v>
      </c>
      <c r="N40" s="25">
        <f t="shared" si="3"/>
        <v>562.87185658333328</v>
      </c>
      <c r="O40" s="25">
        <f t="shared" si="4"/>
        <v>14626.958914583332</v>
      </c>
      <c r="P40" s="51">
        <v>1358.8528800000001</v>
      </c>
      <c r="Q40" s="51">
        <v>1145.4828</v>
      </c>
      <c r="R40" s="51">
        <v>3062.85</v>
      </c>
      <c r="S40" s="51">
        <v>588.77943991666666</v>
      </c>
      <c r="T40" s="26">
        <f t="shared" si="7"/>
        <v>6155.9651199166674</v>
      </c>
      <c r="U40" s="31"/>
      <c r="V40" s="28">
        <v>2000</v>
      </c>
      <c r="W40" s="31"/>
      <c r="X40" s="31"/>
      <c r="Y40" s="31"/>
      <c r="Z40" s="31"/>
      <c r="AA40" s="31"/>
      <c r="AB40" s="31"/>
      <c r="AC40" s="31"/>
      <c r="AD40" s="31"/>
      <c r="AE40" s="31"/>
      <c r="AF40" s="31"/>
      <c r="AG40" s="31"/>
      <c r="AH40" s="31"/>
      <c r="AI40" s="31"/>
      <c r="AJ40" s="31"/>
      <c r="AK40" s="31"/>
    </row>
    <row r="41" spans="1:37" ht="19.5" customHeight="1" x14ac:dyDescent="0.25">
      <c r="B41" s="36">
        <f t="shared" si="12"/>
        <v>40</v>
      </c>
      <c r="C41" s="37" t="s">
        <v>70</v>
      </c>
      <c r="D41" s="20" t="s">
        <v>25</v>
      </c>
      <c r="E41" s="21">
        <v>46239</v>
      </c>
      <c r="F41" s="21">
        <v>46387</v>
      </c>
      <c r="G41" s="22">
        <f t="shared" si="0"/>
        <v>0</v>
      </c>
      <c r="H41" s="23">
        <f>VLOOKUP(G41,Hoja5!$A$3:$B$38,2,0)</f>
        <v>12</v>
      </c>
      <c r="I41" s="24">
        <v>444.13</v>
      </c>
      <c r="J41" s="24">
        <f t="shared" si="1"/>
        <v>13508.924557999999</v>
      </c>
      <c r="K41" s="25">
        <f t="shared" si="2"/>
        <v>111.03249999999998</v>
      </c>
      <c r="L41" s="25">
        <f t="shared" si="8"/>
        <v>222.06499999999997</v>
      </c>
      <c r="M41" s="25">
        <f t="shared" si="11"/>
        <v>222.065</v>
      </c>
      <c r="N41" s="25">
        <f t="shared" si="3"/>
        <v>562.87185658333328</v>
      </c>
      <c r="O41" s="25">
        <f t="shared" si="4"/>
        <v>14626.958914583332</v>
      </c>
      <c r="P41" s="51">
        <v>1358.8528800000001</v>
      </c>
      <c r="Q41" s="51">
        <v>1145.4828</v>
      </c>
      <c r="R41" s="51">
        <v>3062.85</v>
      </c>
      <c r="S41" s="51">
        <v>588.77943991666666</v>
      </c>
      <c r="T41" s="26">
        <f t="shared" si="7"/>
        <v>6155.9651199166674</v>
      </c>
      <c r="U41" s="31"/>
      <c r="V41" s="28">
        <v>2000</v>
      </c>
      <c r="W41" s="31"/>
      <c r="X41" s="31"/>
      <c r="Y41" s="31"/>
      <c r="Z41" s="31"/>
      <c r="AA41" s="31"/>
      <c r="AB41" s="31"/>
      <c r="AC41" s="31"/>
      <c r="AD41" s="31"/>
      <c r="AE41" s="31"/>
      <c r="AF41" s="31"/>
      <c r="AG41" s="31"/>
      <c r="AH41" s="31"/>
      <c r="AI41" s="31"/>
      <c r="AJ41" s="31"/>
      <c r="AK41" s="31"/>
    </row>
    <row r="42" spans="1:37" ht="19.5" customHeight="1" x14ac:dyDescent="0.25">
      <c r="B42" s="36">
        <f t="shared" si="12"/>
        <v>41</v>
      </c>
      <c r="C42" s="37" t="s">
        <v>67</v>
      </c>
      <c r="D42" s="20" t="s">
        <v>25</v>
      </c>
      <c r="E42" s="21">
        <v>46235</v>
      </c>
      <c r="F42" s="21">
        <v>46387</v>
      </c>
      <c r="G42" s="22">
        <v>0</v>
      </c>
      <c r="H42" s="23">
        <f>VLOOKUP(G42,Hoja5!$A$3:$B$38,2,0)</f>
        <v>12</v>
      </c>
      <c r="I42" s="24">
        <v>444.13</v>
      </c>
      <c r="J42" s="24">
        <v>10512.889458</v>
      </c>
      <c r="K42" s="25">
        <v>86.407499999999985</v>
      </c>
      <c r="L42" s="25">
        <f t="shared" si="8"/>
        <v>222.06499999999997</v>
      </c>
      <c r="M42" s="25">
        <v>172.815</v>
      </c>
      <c r="N42" s="25">
        <v>438.03706074999997</v>
      </c>
      <c r="O42" s="25">
        <v>11473.25401875</v>
      </c>
      <c r="P42" s="51">
        <v>1358.8528800000001</v>
      </c>
      <c r="Q42" s="51">
        <v>1145.4828</v>
      </c>
      <c r="R42" s="51">
        <v>3062.85</v>
      </c>
      <c r="S42" s="51">
        <v>588.77943991666666</v>
      </c>
      <c r="T42" s="26">
        <f t="shared" si="7"/>
        <v>6155.9651199166674</v>
      </c>
      <c r="U42" s="31"/>
      <c r="V42" s="28">
        <v>2000</v>
      </c>
      <c r="W42" s="31"/>
      <c r="X42" s="31"/>
      <c r="Y42" s="31"/>
      <c r="Z42" s="31"/>
      <c r="AA42" s="31"/>
      <c r="AB42" s="31"/>
      <c r="AC42" s="31"/>
      <c r="AD42" s="31"/>
      <c r="AE42" s="31"/>
      <c r="AF42" s="31"/>
      <c r="AG42" s="31"/>
      <c r="AH42" s="31"/>
      <c r="AI42" s="31"/>
      <c r="AJ42" s="31"/>
      <c r="AK42" s="31"/>
    </row>
    <row r="43" spans="1:37" s="30" customFormat="1" ht="19.5" customHeight="1" x14ac:dyDescent="0.25">
      <c r="A43"/>
      <c r="B43" s="19">
        <f t="shared" si="12"/>
        <v>42</v>
      </c>
      <c r="C43" s="20" t="s">
        <v>65</v>
      </c>
      <c r="D43" s="20" t="s">
        <v>74</v>
      </c>
      <c r="E43" s="21">
        <v>46235</v>
      </c>
      <c r="F43" s="21">
        <v>46387</v>
      </c>
      <c r="G43" s="22">
        <f>YEAR(F43)-YEAR(E43)</f>
        <v>0</v>
      </c>
      <c r="H43" s="23">
        <f>VLOOKUP(G43,Hoja5!$A$3:$B$38,2,0)</f>
        <v>12</v>
      </c>
      <c r="I43" s="24">
        <v>526.21</v>
      </c>
      <c r="J43" s="24">
        <f>I43*30.4166</f>
        <v>16005.519086</v>
      </c>
      <c r="K43" s="25">
        <f>I43*H43*0.25/12</f>
        <v>131.55250000000001</v>
      </c>
      <c r="L43" s="25">
        <f t="shared" si="8"/>
        <v>222.06499999999997</v>
      </c>
      <c r="M43" s="25">
        <f>I43*0.25*2</f>
        <v>263.10500000000002</v>
      </c>
      <c r="N43" s="25">
        <f>J43/2/12</f>
        <v>666.89662858333338</v>
      </c>
      <c r="O43" s="25">
        <f>+(J43+K43+L43+M43+N43+U43)</f>
        <v>17289.138214583334</v>
      </c>
      <c r="P43" s="26">
        <v>1894.2</v>
      </c>
      <c r="Q43" s="26">
        <v>1183.875</v>
      </c>
      <c r="R43" s="26">
        <v>3062.85</v>
      </c>
      <c r="S43" s="26">
        <f>(K43+L43+M43+N43+J43)*0.04</f>
        <v>691.56552858333339</v>
      </c>
      <c r="T43" s="26">
        <f t="shared" si="7"/>
        <v>6832.4905285833329</v>
      </c>
      <c r="U43" s="27"/>
      <c r="V43" s="28">
        <v>2000</v>
      </c>
      <c r="W43" s="29"/>
      <c r="X43" s="29"/>
      <c r="Y43" s="29"/>
      <c r="Z43" s="29"/>
      <c r="AA43" s="29"/>
      <c r="AB43" s="29"/>
      <c r="AC43" s="29"/>
      <c r="AD43" s="29"/>
      <c r="AE43" s="29"/>
      <c r="AF43" s="29"/>
      <c r="AG43" s="29"/>
      <c r="AH43" s="29"/>
      <c r="AI43" s="29"/>
      <c r="AJ43" s="29"/>
      <c r="AK43" s="29"/>
    </row>
    <row r="44" spans="1:37" ht="19.5" customHeight="1" x14ac:dyDescent="0.25">
      <c r="B44" s="19">
        <f t="shared" si="12"/>
        <v>43</v>
      </c>
      <c r="C44" s="20" t="s">
        <v>38</v>
      </c>
      <c r="D44" s="20" t="s">
        <v>39</v>
      </c>
      <c r="E44" s="21">
        <v>45979</v>
      </c>
      <c r="F44" s="21">
        <v>46387</v>
      </c>
      <c r="G44" s="22">
        <f>YEAR(F44)-YEAR(E44)</f>
        <v>1</v>
      </c>
      <c r="H44" s="23">
        <f>VLOOKUP(G44,Hoja5!$A$3:$B$38,2,0)</f>
        <v>12</v>
      </c>
      <c r="I44" s="24">
        <v>576.96669999999995</v>
      </c>
      <c r="J44" s="24">
        <f>I44*30.4166</f>
        <v>17549.365327219999</v>
      </c>
      <c r="K44" s="25">
        <f>I44*H44*0.25/12</f>
        <v>144.24167499999999</v>
      </c>
      <c r="L44" s="25">
        <f t="shared" si="8"/>
        <v>263.10500000000002</v>
      </c>
      <c r="M44" s="25">
        <f>I44*0.25*2</f>
        <v>288.48334999999997</v>
      </c>
      <c r="N44" s="25">
        <f>J44/2/12</f>
        <v>731.22355530083325</v>
      </c>
      <c r="O44" s="25">
        <f>+(J44+K44+L44+M44+N44+U44)</f>
        <v>18976.418907520831</v>
      </c>
      <c r="P44" s="26">
        <v>1894.2</v>
      </c>
      <c r="Q44" s="26">
        <v>1183.875</v>
      </c>
      <c r="R44" s="26">
        <v>3062.85</v>
      </c>
      <c r="S44" s="26">
        <f>(K44+L44+M44+N44+J44)*0.04</f>
        <v>759.0567563008334</v>
      </c>
      <c r="T44" s="26">
        <f t="shared" si="7"/>
        <v>6899.9817563008328</v>
      </c>
      <c r="U44" s="27"/>
      <c r="V44" s="28">
        <v>2000</v>
      </c>
      <c r="W44" s="31"/>
      <c r="X44" s="31"/>
      <c r="Y44" s="31"/>
      <c r="Z44" s="31"/>
      <c r="AA44" s="31"/>
      <c r="AB44" s="31"/>
      <c r="AC44" s="31"/>
      <c r="AD44" s="31"/>
      <c r="AE44" s="31"/>
      <c r="AF44" s="31"/>
      <c r="AG44" s="31"/>
      <c r="AH44" s="31"/>
      <c r="AI44" s="31"/>
      <c r="AJ44" s="31"/>
      <c r="AK44" s="31"/>
    </row>
    <row r="45" spans="1:37" ht="19.5" customHeight="1" x14ac:dyDescent="0.25">
      <c r="B45" s="19">
        <f t="shared" si="12"/>
        <v>44</v>
      </c>
      <c r="C45" s="20" t="s">
        <v>71</v>
      </c>
      <c r="D45" s="20" t="s">
        <v>71</v>
      </c>
      <c r="E45" s="21">
        <v>46022</v>
      </c>
      <c r="F45" s="21">
        <v>46387</v>
      </c>
      <c r="G45" s="22">
        <v>0</v>
      </c>
      <c r="H45" s="23">
        <f>VLOOKUP(G45,Hoja5!$A$3:$B$38,2,0)</f>
        <v>12</v>
      </c>
      <c r="I45" s="24">
        <v>444.13</v>
      </c>
      <c r="J45" s="24">
        <f>I45*30.4166</f>
        <v>13508.924557999999</v>
      </c>
      <c r="K45" s="25">
        <f>I45*H45*0.25/12</f>
        <v>111.03249999999998</v>
      </c>
      <c r="L45" s="25">
        <f t="shared" si="8"/>
        <v>288.48334999999997</v>
      </c>
      <c r="M45" s="25">
        <f>I45*0.25*2</f>
        <v>222.065</v>
      </c>
      <c r="N45" s="25">
        <f>J45/2/12</f>
        <v>562.87185658333328</v>
      </c>
      <c r="O45" s="25">
        <f>+(J45+K45+L45+M45+N45+U45)</f>
        <v>14693.377264583332</v>
      </c>
      <c r="P45" s="51">
        <v>1358.8528800000001</v>
      </c>
      <c r="Q45" s="51">
        <v>1145.4828</v>
      </c>
      <c r="R45" s="51">
        <v>3062.85</v>
      </c>
      <c r="S45" s="51">
        <v>588.77943991666666</v>
      </c>
      <c r="T45" s="26">
        <f t="shared" si="7"/>
        <v>6155.9651199166674</v>
      </c>
      <c r="U45" s="31"/>
      <c r="V45" s="28">
        <v>2000</v>
      </c>
      <c r="W45" s="31"/>
      <c r="X45" s="31"/>
      <c r="Y45" s="31"/>
      <c r="Z45" s="31"/>
      <c r="AA45" s="31"/>
      <c r="AB45" s="31"/>
      <c r="AC45" s="31"/>
      <c r="AD45" s="31"/>
      <c r="AE45" s="31"/>
      <c r="AF45" s="31"/>
      <c r="AG45" s="31"/>
      <c r="AH45" s="31"/>
      <c r="AI45" s="31"/>
      <c r="AJ45" s="31"/>
      <c r="AK45" s="31"/>
    </row>
    <row r="46" spans="1:37" ht="19.5" customHeight="1" x14ac:dyDescent="0.25">
      <c r="B46" s="19">
        <f t="shared" si="12"/>
        <v>45</v>
      </c>
      <c r="C46" s="20" t="s">
        <v>71</v>
      </c>
      <c r="D46" s="20" t="s">
        <v>71</v>
      </c>
      <c r="E46" s="21">
        <v>46022</v>
      </c>
      <c r="F46" s="21">
        <v>46387</v>
      </c>
      <c r="G46" s="22">
        <v>0</v>
      </c>
      <c r="H46" s="23">
        <f>VLOOKUP(G46,Hoja5!$A$3:$B$38,2,0)</f>
        <v>12</v>
      </c>
      <c r="I46" s="24">
        <v>444.13</v>
      </c>
      <c r="J46" s="24">
        <f>I46*30.4166</f>
        <v>13508.924557999999</v>
      </c>
      <c r="K46" s="25">
        <f>I46*H46*0.25/12</f>
        <v>111.03249999999998</v>
      </c>
      <c r="L46" s="25">
        <f t="shared" si="8"/>
        <v>222.06499999999997</v>
      </c>
      <c r="M46" s="25">
        <f>I46*0.25*2</f>
        <v>222.065</v>
      </c>
      <c r="N46" s="25">
        <f>J46/2/12</f>
        <v>562.87185658333328</v>
      </c>
      <c r="O46" s="25">
        <f>+(J46+K46+L46+M46+N46+U46)</f>
        <v>14626.958914583332</v>
      </c>
      <c r="P46" s="51">
        <v>1358.8528800000001</v>
      </c>
      <c r="Q46" s="51">
        <v>1145.4828</v>
      </c>
      <c r="R46" s="51">
        <v>3062.85</v>
      </c>
      <c r="S46" s="51">
        <v>588.77943991666666</v>
      </c>
      <c r="T46" s="26">
        <f t="shared" si="7"/>
        <v>6155.9651199166674</v>
      </c>
      <c r="U46" s="31"/>
      <c r="V46" s="28">
        <v>2000</v>
      </c>
      <c r="W46" s="31"/>
      <c r="X46" s="31"/>
      <c r="Y46" s="31"/>
      <c r="Z46" s="31"/>
      <c r="AA46" s="31"/>
      <c r="AB46" s="31"/>
      <c r="AC46" s="31"/>
      <c r="AD46" s="31"/>
      <c r="AE46" s="31"/>
      <c r="AF46" s="31"/>
      <c r="AG46" s="31"/>
      <c r="AH46" s="31"/>
      <c r="AI46" s="31"/>
      <c r="AJ46" s="31"/>
      <c r="AK46" s="31"/>
    </row>
    <row r="47" spans="1:37" x14ac:dyDescent="0.25">
      <c r="I47" s="42">
        <f>SUM(I2:I46)</f>
        <v>23095.618900000009</v>
      </c>
      <c r="J47" s="43">
        <f t="shared" ref="J47:O47" si="13">SUM(J2:J46)</f>
        <v>699494.16673373943</v>
      </c>
      <c r="K47" s="43">
        <f t="shared" si="13"/>
        <v>7014.2255333333351</v>
      </c>
      <c r="L47" s="43">
        <f t="shared" si="13"/>
        <v>11325.744450000004</v>
      </c>
      <c r="M47" s="43">
        <f t="shared" si="13"/>
        <v>10136.7153</v>
      </c>
      <c r="N47" s="43">
        <f t="shared" si="13"/>
        <v>29145.590280572502</v>
      </c>
      <c r="O47" s="43">
        <f t="shared" si="13"/>
        <v>757157.48229764577</v>
      </c>
      <c r="T47" s="52">
        <f>SUM(T2:T46)</f>
        <v>317009.33223248913</v>
      </c>
      <c r="V47" s="43">
        <f>SUM(V2:V46)</f>
        <v>99000</v>
      </c>
    </row>
    <row r="49" spans="3:4" ht="15.75" thickBot="1" x14ac:dyDescent="0.3"/>
    <row r="50" spans="3:4" ht="15.75" thickBot="1" x14ac:dyDescent="0.3">
      <c r="C50" s="44"/>
      <c r="D50" s="47" t="s">
        <v>75</v>
      </c>
    </row>
    <row r="51" spans="3:4" ht="15.75" thickBot="1" x14ac:dyDescent="0.3">
      <c r="C51" s="45"/>
      <c r="D51" s="47" t="s">
        <v>76</v>
      </c>
    </row>
    <row r="52" spans="3:4" ht="15.75" thickBot="1" x14ac:dyDescent="0.3">
      <c r="C52" s="46"/>
      <c r="D52" s="47" t="s">
        <v>77</v>
      </c>
    </row>
  </sheetData>
  <sortState xmlns:xlrd2="http://schemas.microsoft.com/office/spreadsheetml/2017/richdata2" ref="B2:V46">
    <sortCondition ref="D2:D46"/>
  </sortState>
  <conditionalFormatting sqref="C2:H46">
    <cfRule type="cellIs" dxfId="7" priority="1" operator="lessThan">
      <formula>0</formula>
    </cfRule>
  </conditionalFormatting>
  <conditionalFormatting sqref="I4:K42">
    <cfRule type="cellIs" dxfId="6" priority="7" operator="lessThan">
      <formula>0</formula>
    </cfRule>
  </conditionalFormatting>
  <conditionalFormatting sqref="I43:S46">
    <cfRule type="cellIs" dxfId="5" priority="2" operator="lessThan">
      <formula>0</formula>
    </cfRule>
  </conditionalFormatting>
  <conditionalFormatting sqref="L21:S42">
    <cfRule type="cellIs" dxfId="4" priority="4" operator="lessThan">
      <formula>0</formula>
    </cfRule>
  </conditionalFormatting>
  <conditionalFormatting sqref="P9:S20">
    <cfRule type="cellIs" dxfId="3" priority="3" operator="lessThan">
      <formula>0</formula>
    </cfRule>
  </conditionalFormatting>
  <conditionalFormatting sqref="S2:T2 I2:O3 P2:R8 V2:V46 S3:S8 T3:T46 L4:O20">
    <cfRule type="cellIs" dxfId="2" priority="11" operator="lessThan">
      <formula>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86BD5-8A84-479A-904F-591876F23751}">
  <dimension ref="A1:AK52"/>
  <sheetViews>
    <sheetView tabSelected="1" topLeftCell="A25" workbookViewId="0">
      <selection activeCell="H2" sqref="H2:H46"/>
    </sheetView>
  </sheetViews>
  <sheetFormatPr baseColWidth="10" defaultRowHeight="15" x14ac:dyDescent="0.25"/>
  <cols>
    <col min="3" max="3" width="47.42578125" customWidth="1"/>
    <col min="4" max="4" width="27.7109375" customWidth="1"/>
    <col min="6" max="6" width="0" hidden="1" customWidth="1"/>
    <col min="10" max="10" width="14.140625" customWidth="1"/>
    <col min="15" max="15" width="15.42578125" customWidth="1"/>
  </cols>
  <sheetData>
    <row r="1" spans="2:37" ht="44.45" customHeight="1" x14ac:dyDescent="0.25">
      <c r="B1" s="13" t="s">
        <v>1</v>
      </c>
      <c r="C1" s="13" t="s">
        <v>2</v>
      </c>
      <c r="D1" s="13" t="s">
        <v>3</v>
      </c>
      <c r="E1" s="13" t="s">
        <v>4</v>
      </c>
      <c r="F1" s="14" t="s">
        <v>5</v>
      </c>
      <c r="G1" s="14" t="s">
        <v>6</v>
      </c>
      <c r="H1" s="14" t="s">
        <v>7</v>
      </c>
      <c r="I1" s="13" t="s">
        <v>8</v>
      </c>
      <c r="J1" s="15" t="s">
        <v>9</v>
      </c>
      <c r="K1" s="15" t="s">
        <v>10</v>
      </c>
      <c r="L1" s="15" t="s">
        <v>11</v>
      </c>
      <c r="M1" s="15" t="s">
        <v>12</v>
      </c>
      <c r="N1" s="15" t="s">
        <v>13</v>
      </c>
      <c r="O1" s="15" t="s">
        <v>14</v>
      </c>
      <c r="P1" s="16" t="s">
        <v>15</v>
      </c>
      <c r="Q1" s="16" t="s">
        <v>16</v>
      </c>
      <c r="R1" s="17" t="s">
        <v>17</v>
      </c>
      <c r="S1" s="15" t="s">
        <v>18</v>
      </c>
      <c r="T1" s="15" t="s">
        <v>19</v>
      </c>
      <c r="U1" s="4"/>
      <c r="V1" s="18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</row>
    <row r="2" spans="2:37" ht="27.6" customHeight="1" x14ac:dyDescent="0.25">
      <c r="B2" s="19">
        <v>1</v>
      </c>
      <c r="C2" s="20" t="s">
        <v>20</v>
      </c>
      <c r="D2" s="20" t="s">
        <v>21</v>
      </c>
      <c r="E2" s="21">
        <v>41827</v>
      </c>
      <c r="F2" s="21">
        <v>46387</v>
      </c>
      <c r="G2" s="22">
        <f t="shared" ref="G2:G41" si="0">YEAR(F2)-YEAR(E2)</f>
        <v>12</v>
      </c>
      <c r="H2" s="23">
        <f>VLOOKUP(G2,Hoja5!$A$3:$B$38,2,0)</f>
        <v>24</v>
      </c>
      <c r="I2" s="24">
        <v>742.96</v>
      </c>
      <c r="J2" s="24">
        <f t="shared" ref="J2:J41" si="1">I2*30.4166</f>
        <v>22598.317136000001</v>
      </c>
      <c r="K2" s="25">
        <f t="shared" ref="K2:K41" si="2">I2*H2*0.25/12</f>
        <v>371.48</v>
      </c>
      <c r="L2" s="25">
        <v>0</v>
      </c>
      <c r="M2" s="25">
        <v>0</v>
      </c>
      <c r="N2" s="25">
        <f t="shared" ref="N2:N41" si="3">J2/2/12</f>
        <v>941.59654733333343</v>
      </c>
      <c r="O2" s="25">
        <f t="shared" ref="O2:O41" si="4">+(J2+K2+L2+M2+N2+U2)</f>
        <v>23911.393683333336</v>
      </c>
      <c r="P2" s="26">
        <v>3972.5716800000005</v>
      </c>
      <c r="Q2" s="26">
        <v>2482.8573000000001</v>
      </c>
      <c r="R2" s="26">
        <v>6164.5185000000001</v>
      </c>
      <c r="S2" s="26">
        <f t="shared" ref="S2:S8" si="5">(K2+L2+M2+N2+J2)*0.04</f>
        <v>956.45574733333342</v>
      </c>
      <c r="T2" s="26">
        <f>+P2+Q2+R2+S2</f>
        <v>13576.403227333334</v>
      </c>
      <c r="U2" s="27"/>
      <c r="V2" s="28">
        <v>2000</v>
      </c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</row>
    <row r="3" spans="2:37" ht="19.5" customHeight="1" x14ac:dyDescent="0.25">
      <c r="B3" s="19">
        <f t="shared" ref="B3:B37" si="6">B2+1</f>
        <v>2</v>
      </c>
      <c r="C3" s="20" t="s">
        <v>33</v>
      </c>
      <c r="D3" s="20" t="s">
        <v>21</v>
      </c>
      <c r="E3" s="21">
        <v>44698</v>
      </c>
      <c r="F3" s="21">
        <v>46387</v>
      </c>
      <c r="G3" s="22">
        <f t="shared" si="0"/>
        <v>4</v>
      </c>
      <c r="H3" s="23">
        <f>VLOOKUP(G3,Hoja5!$A$3:$B$38,2,0)</f>
        <v>18</v>
      </c>
      <c r="I3" s="24">
        <v>489.56</v>
      </c>
      <c r="J3" s="24">
        <f t="shared" si="1"/>
        <v>14890.750695999999</v>
      </c>
      <c r="K3" s="25">
        <f t="shared" si="2"/>
        <v>183.58500000000001</v>
      </c>
      <c r="L3" s="25">
        <f>I2*2*3/12</f>
        <v>371.48</v>
      </c>
      <c r="M3" s="25">
        <f>I3*0.25*2</f>
        <v>244.78</v>
      </c>
      <c r="N3" s="25">
        <f t="shared" si="3"/>
        <v>620.44794566666667</v>
      </c>
      <c r="O3" s="25">
        <f t="shared" si="4"/>
        <v>16311.043641666665</v>
      </c>
      <c r="P3" s="26">
        <v>3972.5716800000005</v>
      </c>
      <c r="Q3" s="26">
        <v>2482.8573000000001</v>
      </c>
      <c r="R3" s="26">
        <v>6164.5185000000001</v>
      </c>
      <c r="S3" s="26">
        <f t="shared" si="5"/>
        <v>652.44174566666663</v>
      </c>
      <c r="T3" s="26">
        <f t="shared" ref="T3:T46" si="7">+P3+Q3+R3+S3</f>
        <v>13272.389225666668</v>
      </c>
      <c r="U3" s="27"/>
      <c r="V3" s="28">
        <v>2000</v>
      </c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7"/>
      <c r="AJ3" s="27"/>
      <c r="AK3" s="27"/>
    </row>
    <row r="4" spans="2:37" ht="19.5" customHeight="1" x14ac:dyDescent="0.25">
      <c r="B4" s="19">
        <f t="shared" si="6"/>
        <v>3</v>
      </c>
      <c r="C4" s="20" t="s">
        <v>40</v>
      </c>
      <c r="D4" s="20" t="s">
        <v>21</v>
      </c>
      <c r="E4" s="21">
        <v>45017</v>
      </c>
      <c r="F4" s="21">
        <v>46387</v>
      </c>
      <c r="G4" s="22">
        <f t="shared" si="0"/>
        <v>3</v>
      </c>
      <c r="H4" s="23">
        <f>VLOOKUP(G4,Hoja5!$A$3:$B$38,2,0)</f>
        <v>16</v>
      </c>
      <c r="I4" s="24">
        <v>917.93</v>
      </c>
      <c r="J4" s="24">
        <f t="shared" si="1"/>
        <v>27920.309637999999</v>
      </c>
      <c r="K4" s="25">
        <f t="shared" si="2"/>
        <v>305.97666666666663</v>
      </c>
      <c r="L4" s="25">
        <f t="shared" ref="L4:L46" si="8">I3*2*3/12</f>
        <v>244.78</v>
      </c>
      <c r="M4" s="25">
        <f>I4*0.25*2</f>
        <v>458.96499999999997</v>
      </c>
      <c r="N4" s="25">
        <f t="shared" si="3"/>
        <v>1163.3462349166666</v>
      </c>
      <c r="O4" s="25">
        <f t="shared" si="4"/>
        <v>30093.377539583329</v>
      </c>
      <c r="P4" s="26">
        <v>3972.5716800000005</v>
      </c>
      <c r="Q4" s="26">
        <v>2482.8573000000001</v>
      </c>
      <c r="R4" s="26">
        <v>6164.5185000000001</v>
      </c>
      <c r="S4" s="26">
        <f t="shared" si="5"/>
        <v>1203.7351015833333</v>
      </c>
      <c r="T4" s="26">
        <f t="shared" si="7"/>
        <v>13823.682581583334</v>
      </c>
      <c r="U4" s="27"/>
      <c r="V4" s="28">
        <v>2000</v>
      </c>
      <c r="W4" s="27"/>
      <c r="X4" s="27"/>
      <c r="Y4" s="27"/>
      <c r="Z4" s="27"/>
      <c r="AA4" s="27"/>
      <c r="AB4" s="27"/>
      <c r="AC4" s="27"/>
      <c r="AD4" s="27"/>
      <c r="AE4" s="27"/>
      <c r="AF4" s="27"/>
      <c r="AG4" s="27"/>
      <c r="AH4" s="27"/>
      <c r="AI4" s="27"/>
      <c r="AJ4" s="27"/>
      <c r="AK4" s="27"/>
    </row>
    <row r="5" spans="2:37" ht="19.5" customHeight="1" x14ac:dyDescent="0.25">
      <c r="B5" s="19">
        <f t="shared" si="6"/>
        <v>4</v>
      </c>
      <c r="C5" s="20" t="s">
        <v>42</v>
      </c>
      <c r="D5" s="20" t="s">
        <v>21</v>
      </c>
      <c r="E5" s="21">
        <v>45114</v>
      </c>
      <c r="F5" s="21">
        <v>46387</v>
      </c>
      <c r="G5" s="22">
        <f t="shared" si="0"/>
        <v>3</v>
      </c>
      <c r="H5" s="23">
        <f>VLOOKUP(G5,Hoja5!$A$3:$B$38,2,0)</f>
        <v>16</v>
      </c>
      <c r="I5" s="24">
        <v>449.47140000000002</v>
      </c>
      <c r="J5" s="24">
        <f t="shared" si="1"/>
        <v>13671.391785240001</v>
      </c>
      <c r="K5" s="25">
        <f t="shared" si="2"/>
        <v>149.82380000000001</v>
      </c>
      <c r="L5" s="25">
        <f t="shared" si="8"/>
        <v>458.96499999999997</v>
      </c>
      <c r="M5" s="25">
        <v>0</v>
      </c>
      <c r="N5" s="25">
        <f t="shared" si="3"/>
        <v>569.64132438500008</v>
      </c>
      <c r="O5" s="25">
        <f t="shared" si="4"/>
        <v>14849.821909625001</v>
      </c>
      <c r="P5" s="26">
        <v>3972.5716800000005</v>
      </c>
      <c r="Q5" s="26">
        <v>2482.8573000000001</v>
      </c>
      <c r="R5" s="26">
        <v>6164.5185000000001</v>
      </c>
      <c r="S5" s="26">
        <f t="shared" si="5"/>
        <v>593.99287638500005</v>
      </c>
      <c r="T5" s="26">
        <f t="shared" si="7"/>
        <v>13213.940356385001</v>
      </c>
      <c r="U5" s="27"/>
      <c r="V5" s="28">
        <v>2000</v>
      </c>
      <c r="W5" s="27"/>
      <c r="X5" s="27"/>
      <c r="Y5" s="27"/>
      <c r="Z5" s="27"/>
      <c r="AA5" s="27"/>
      <c r="AB5" s="27"/>
      <c r="AC5" s="27"/>
      <c r="AD5" s="27"/>
      <c r="AE5" s="27"/>
      <c r="AF5" s="27"/>
      <c r="AG5" s="27"/>
      <c r="AH5" s="27"/>
      <c r="AI5" s="27"/>
      <c r="AJ5" s="27"/>
      <c r="AK5" s="27"/>
    </row>
    <row r="6" spans="2:37" ht="19.5" customHeight="1" x14ac:dyDescent="0.25">
      <c r="B6" s="19">
        <f t="shared" si="6"/>
        <v>5</v>
      </c>
      <c r="C6" s="20" t="s">
        <v>47</v>
      </c>
      <c r="D6" s="20" t="s">
        <v>21</v>
      </c>
      <c r="E6" s="21">
        <v>45551</v>
      </c>
      <c r="F6" s="21">
        <v>46387</v>
      </c>
      <c r="G6" s="22">
        <f t="shared" si="0"/>
        <v>2</v>
      </c>
      <c r="H6" s="23">
        <f>VLOOKUP(G6,Hoja5!$A$3:$B$38,2,0)</f>
        <v>14</v>
      </c>
      <c r="I6" s="24">
        <v>1055.3154</v>
      </c>
      <c r="J6" s="24">
        <f t="shared" si="1"/>
        <v>32099.106395639996</v>
      </c>
      <c r="K6" s="25">
        <f t="shared" si="2"/>
        <v>307.80032499999999</v>
      </c>
      <c r="L6" s="25">
        <f t="shared" si="8"/>
        <v>224.73570000000004</v>
      </c>
      <c r="M6" s="25">
        <f t="shared" ref="M6:M21" si="9">I6*0.25*2</f>
        <v>527.65769999999998</v>
      </c>
      <c r="N6" s="25">
        <f t="shared" si="3"/>
        <v>1337.4627664849997</v>
      </c>
      <c r="O6" s="25">
        <f t="shared" si="4"/>
        <v>34496.762887124998</v>
      </c>
      <c r="P6" s="26">
        <v>3972.5716800000005</v>
      </c>
      <c r="Q6" s="26">
        <v>2482.8573000000001</v>
      </c>
      <c r="R6" s="26">
        <v>6164.5185000000001</v>
      </c>
      <c r="S6" s="26">
        <f t="shared" si="5"/>
        <v>1379.8705154849999</v>
      </c>
      <c r="T6" s="26">
        <f t="shared" si="7"/>
        <v>13999.817995485</v>
      </c>
      <c r="U6" s="27"/>
      <c r="V6" s="28">
        <v>2000</v>
      </c>
      <c r="W6" s="27"/>
      <c r="X6" s="27"/>
      <c r="Y6" s="27"/>
      <c r="Z6" s="27"/>
      <c r="AA6" s="27"/>
      <c r="AB6" s="27"/>
      <c r="AC6" s="27"/>
      <c r="AD6" s="27"/>
      <c r="AE6" s="27"/>
      <c r="AF6" s="27"/>
      <c r="AG6" s="27"/>
      <c r="AH6" s="27"/>
      <c r="AI6" s="27"/>
      <c r="AJ6" s="27"/>
      <c r="AK6" s="27"/>
    </row>
    <row r="7" spans="2:37" ht="19.5" customHeight="1" x14ac:dyDescent="0.25">
      <c r="B7" s="19">
        <f t="shared" si="6"/>
        <v>6</v>
      </c>
      <c r="C7" s="20" t="s">
        <v>49</v>
      </c>
      <c r="D7" s="20" t="s">
        <v>21</v>
      </c>
      <c r="E7" s="21">
        <v>45717</v>
      </c>
      <c r="F7" s="21">
        <v>46387</v>
      </c>
      <c r="G7" s="22">
        <f t="shared" si="0"/>
        <v>1</v>
      </c>
      <c r="H7" s="23">
        <f>VLOOKUP(G7,Hoja5!$A$3:$B$38,2,0)</f>
        <v>12</v>
      </c>
      <c r="I7" s="24">
        <v>966.58</v>
      </c>
      <c r="J7" s="24">
        <f t="shared" si="1"/>
        <v>29400.077228000002</v>
      </c>
      <c r="K7" s="25">
        <f t="shared" si="2"/>
        <v>241.64500000000001</v>
      </c>
      <c r="L7" s="25">
        <f t="shared" si="8"/>
        <v>527.65769999999998</v>
      </c>
      <c r="M7" s="25">
        <f t="shared" si="9"/>
        <v>483.29</v>
      </c>
      <c r="N7" s="25">
        <f t="shared" si="3"/>
        <v>1225.0032178333333</v>
      </c>
      <c r="O7" s="25">
        <f t="shared" si="4"/>
        <v>31877.673145833338</v>
      </c>
      <c r="P7" s="26">
        <v>3972.5716800000005</v>
      </c>
      <c r="Q7" s="26">
        <v>2482.8573000000001</v>
      </c>
      <c r="R7" s="26">
        <v>6164.5185000000001</v>
      </c>
      <c r="S7" s="26">
        <f t="shared" si="5"/>
        <v>1275.1069258333334</v>
      </c>
      <c r="T7" s="26">
        <f t="shared" si="7"/>
        <v>13895.054405833334</v>
      </c>
      <c r="U7" s="27"/>
      <c r="V7" s="28">
        <v>2000</v>
      </c>
      <c r="W7" s="27"/>
      <c r="X7" s="27"/>
      <c r="Y7" s="27"/>
      <c r="Z7" s="27"/>
      <c r="AA7" s="27"/>
      <c r="AB7" s="27"/>
      <c r="AC7" s="27"/>
      <c r="AD7" s="27"/>
      <c r="AE7" s="27"/>
      <c r="AF7" s="27"/>
      <c r="AG7" s="27"/>
      <c r="AH7" s="27"/>
      <c r="AI7" s="27"/>
      <c r="AJ7" s="27"/>
      <c r="AK7" s="27"/>
    </row>
    <row r="8" spans="2:37" ht="19.5" customHeight="1" x14ac:dyDescent="0.25">
      <c r="B8" s="19">
        <f t="shared" si="6"/>
        <v>7</v>
      </c>
      <c r="C8" s="20" t="s">
        <v>51</v>
      </c>
      <c r="D8" s="20" t="s">
        <v>21</v>
      </c>
      <c r="E8" s="21">
        <v>45763</v>
      </c>
      <c r="F8" s="21">
        <v>46387</v>
      </c>
      <c r="G8" s="22">
        <f t="shared" si="0"/>
        <v>1</v>
      </c>
      <c r="H8" s="23">
        <f>VLOOKUP(G8,Hoja5!$A$3:$B$38,2,0)</f>
        <v>12</v>
      </c>
      <c r="I8" s="24">
        <v>794.07</v>
      </c>
      <c r="J8" s="24">
        <f t="shared" si="1"/>
        <v>24152.909562000001</v>
      </c>
      <c r="K8" s="25">
        <f t="shared" si="2"/>
        <v>198.51750000000001</v>
      </c>
      <c r="L8" s="25">
        <f t="shared" si="8"/>
        <v>483.29</v>
      </c>
      <c r="M8" s="25">
        <f t="shared" si="9"/>
        <v>397.03500000000003</v>
      </c>
      <c r="N8" s="25">
        <f t="shared" si="3"/>
        <v>1006.37123175</v>
      </c>
      <c r="O8" s="25">
        <f t="shared" si="4"/>
        <v>26238.123293750003</v>
      </c>
      <c r="P8" s="26">
        <v>3972.5716800000005</v>
      </c>
      <c r="Q8" s="26">
        <v>2482.8573000000001</v>
      </c>
      <c r="R8" s="26">
        <v>6164.5185000000001</v>
      </c>
      <c r="S8" s="26">
        <f t="shared" si="5"/>
        <v>1049.5249317500002</v>
      </c>
      <c r="T8" s="26">
        <f t="shared" si="7"/>
        <v>13669.472411750001</v>
      </c>
      <c r="U8" s="27"/>
      <c r="V8" s="28">
        <v>2000</v>
      </c>
      <c r="W8" s="27"/>
      <c r="X8" s="27"/>
      <c r="Y8" s="27"/>
      <c r="Z8" s="27"/>
      <c r="AA8" s="27"/>
      <c r="AB8" s="27"/>
      <c r="AC8" s="27"/>
      <c r="AD8" s="27"/>
      <c r="AE8" s="27"/>
      <c r="AF8" s="27"/>
      <c r="AG8" s="27"/>
      <c r="AH8" s="27"/>
      <c r="AI8" s="27"/>
      <c r="AJ8" s="27"/>
      <c r="AK8" s="27"/>
    </row>
    <row r="9" spans="2:37" ht="19.5" customHeight="1" x14ac:dyDescent="0.25">
      <c r="B9" s="36">
        <f t="shared" si="6"/>
        <v>8</v>
      </c>
      <c r="C9" s="37" t="s">
        <v>48</v>
      </c>
      <c r="D9" s="20" t="s">
        <v>72</v>
      </c>
      <c r="E9" s="21">
        <v>45618</v>
      </c>
      <c r="F9" s="21">
        <v>46387</v>
      </c>
      <c r="G9" s="22">
        <f t="shared" si="0"/>
        <v>2</v>
      </c>
      <c r="H9" s="23">
        <f>VLOOKUP(G9,Hoja5!$A$3:$B$38,2,0)</f>
        <v>14</v>
      </c>
      <c r="I9" s="48">
        <v>488.51</v>
      </c>
      <c r="J9" s="24">
        <f t="shared" si="1"/>
        <v>14858.813265999999</v>
      </c>
      <c r="K9" s="25">
        <f t="shared" si="2"/>
        <v>142.48208333333332</v>
      </c>
      <c r="L9" s="25">
        <f t="shared" si="8"/>
        <v>397.03500000000003</v>
      </c>
      <c r="M9" s="25">
        <f t="shared" si="9"/>
        <v>244.255</v>
      </c>
      <c r="N9" s="25">
        <f t="shared" si="3"/>
        <v>619.11721941666667</v>
      </c>
      <c r="O9" s="25">
        <f t="shared" si="4"/>
        <v>16261.702568749999</v>
      </c>
      <c r="P9" s="51">
        <v>1358.8528800000001</v>
      </c>
      <c r="Q9" s="51">
        <v>1145.4828</v>
      </c>
      <c r="R9" s="51">
        <v>2114.8155000000002</v>
      </c>
      <c r="S9" s="51">
        <f t="shared" ref="S9:S20" si="10">O9*0.04</f>
        <v>650.46810274999996</v>
      </c>
      <c r="T9" s="26">
        <f t="shared" si="7"/>
        <v>5269.6192827500008</v>
      </c>
      <c r="U9" s="27"/>
      <c r="V9" s="28">
        <v>2000</v>
      </c>
      <c r="W9" s="27"/>
      <c r="X9" s="27"/>
      <c r="Y9" s="27"/>
      <c r="Z9" s="27"/>
      <c r="AA9" s="27"/>
      <c r="AB9" s="27"/>
      <c r="AC9" s="27"/>
      <c r="AD9" s="27"/>
      <c r="AE9" s="27"/>
      <c r="AF9" s="27"/>
      <c r="AG9" s="27"/>
      <c r="AH9" s="27"/>
      <c r="AI9" s="27"/>
      <c r="AJ9" s="27"/>
      <c r="AK9" s="27"/>
    </row>
    <row r="10" spans="2:37" ht="19.5" customHeight="1" x14ac:dyDescent="0.25">
      <c r="B10" s="36">
        <f t="shared" si="6"/>
        <v>9</v>
      </c>
      <c r="C10" s="37" t="s">
        <v>36</v>
      </c>
      <c r="D10" s="20" t="s">
        <v>37</v>
      </c>
      <c r="E10" s="21">
        <v>44789</v>
      </c>
      <c r="F10" s="21">
        <v>46387</v>
      </c>
      <c r="G10" s="22">
        <f t="shared" si="0"/>
        <v>4</v>
      </c>
      <c r="H10" s="23">
        <f>VLOOKUP(G10,Hoja5!$A$3:$B$38,2,0)</f>
        <v>18</v>
      </c>
      <c r="I10" s="48">
        <v>488.51</v>
      </c>
      <c r="J10" s="24">
        <f t="shared" si="1"/>
        <v>14858.813265999999</v>
      </c>
      <c r="K10" s="25">
        <f t="shared" si="2"/>
        <v>183.19125</v>
      </c>
      <c r="L10" s="25">
        <f t="shared" si="8"/>
        <v>244.255</v>
      </c>
      <c r="M10" s="25">
        <f t="shared" si="9"/>
        <v>244.255</v>
      </c>
      <c r="N10" s="25">
        <f t="shared" si="3"/>
        <v>619.11721941666667</v>
      </c>
      <c r="O10" s="25">
        <f t="shared" si="4"/>
        <v>16149.631735416664</v>
      </c>
      <c r="P10" s="51">
        <v>1358.8528800000001</v>
      </c>
      <c r="Q10" s="51">
        <v>1145.4828</v>
      </c>
      <c r="R10" s="51">
        <v>2114.8155000000002</v>
      </c>
      <c r="S10" s="51">
        <f t="shared" si="10"/>
        <v>645.9852694166666</v>
      </c>
      <c r="T10" s="26">
        <f t="shared" si="7"/>
        <v>5265.1364494166673</v>
      </c>
      <c r="U10" s="27"/>
      <c r="V10" s="28">
        <v>2000</v>
      </c>
      <c r="W10" s="27"/>
      <c r="X10" s="27"/>
      <c r="Y10" s="27"/>
      <c r="Z10" s="27"/>
      <c r="AA10" s="27"/>
      <c r="AB10" s="27"/>
      <c r="AC10" s="27"/>
      <c r="AD10" s="27"/>
      <c r="AE10" s="27"/>
      <c r="AF10" s="27"/>
      <c r="AG10" s="27"/>
      <c r="AH10" s="27"/>
      <c r="AI10" s="27"/>
      <c r="AJ10" s="27"/>
      <c r="AK10" s="27"/>
    </row>
    <row r="11" spans="2:37" ht="19.5" customHeight="1" x14ac:dyDescent="0.25">
      <c r="B11" s="36">
        <f t="shared" si="6"/>
        <v>10</v>
      </c>
      <c r="C11" s="37" t="s">
        <v>41</v>
      </c>
      <c r="D11" s="20" t="s">
        <v>37</v>
      </c>
      <c r="E11" s="21">
        <v>45083</v>
      </c>
      <c r="F11" s="21">
        <v>46387</v>
      </c>
      <c r="G11" s="22">
        <f t="shared" si="0"/>
        <v>3</v>
      </c>
      <c r="H11" s="23">
        <f>VLOOKUP(G11,Hoja5!$A$3:$B$38,2,0)</f>
        <v>16</v>
      </c>
      <c r="I11" s="48">
        <v>488.51</v>
      </c>
      <c r="J11" s="24">
        <f t="shared" si="1"/>
        <v>14858.813265999999</v>
      </c>
      <c r="K11" s="25">
        <f t="shared" si="2"/>
        <v>162.83666666666667</v>
      </c>
      <c r="L11" s="25">
        <f t="shared" si="8"/>
        <v>244.255</v>
      </c>
      <c r="M11" s="25">
        <f t="shared" si="9"/>
        <v>244.255</v>
      </c>
      <c r="N11" s="25">
        <f t="shared" si="3"/>
        <v>619.11721941666667</v>
      </c>
      <c r="O11" s="25">
        <f t="shared" si="4"/>
        <v>16129.27715208333</v>
      </c>
      <c r="P11" s="51">
        <v>1358.8528800000001</v>
      </c>
      <c r="Q11" s="51">
        <v>1145.4828</v>
      </c>
      <c r="R11" s="51">
        <v>2114.8155000000002</v>
      </c>
      <c r="S11" s="51">
        <f t="shared" si="10"/>
        <v>645.17108608333319</v>
      </c>
      <c r="T11" s="26">
        <f t="shared" si="7"/>
        <v>5264.3222660833344</v>
      </c>
      <c r="U11" s="27"/>
      <c r="V11" s="28">
        <v>2000</v>
      </c>
      <c r="W11" s="27"/>
      <c r="X11" s="27"/>
      <c r="Y11" s="27"/>
      <c r="Z11" s="27"/>
      <c r="AA11" s="27"/>
      <c r="AB11" s="27"/>
      <c r="AC11" s="27"/>
      <c r="AD11" s="27"/>
      <c r="AE11" s="27"/>
      <c r="AF11" s="27"/>
      <c r="AG11" s="27"/>
      <c r="AH11" s="27"/>
      <c r="AI11" s="27"/>
      <c r="AJ11" s="27"/>
      <c r="AK11" s="27"/>
    </row>
    <row r="12" spans="2:37" ht="19.5" customHeight="1" x14ac:dyDescent="0.25">
      <c r="B12" s="36">
        <f t="shared" si="6"/>
        <v>11</v>
      </c>
      <c r="C12" s="37" t="s">
        <v>69</v>
      </c>
      <c r="D12" s="20" t="s">
        <v>37</v>
      </c>
      <c r="E12" s="21">
        <v>46237</v>
      </c>
      <c r="F12" s="21">
        <v>46387</v>
      </c>
      <c r="G12" s="22">
        <f t="shared" si="0"/>
        <v>0</v>
      </c>
      <c r="H12" s="23">
        <f>VLOOKUP(G12,Hoja5!$A$3:$B$38,2,0)</f>
        <v>12</v>
      </c>
      <c r="I12" s="48">
        <v>488.51</v>
      </c>
      <c r="J12" s="24">
        <f t="shared" si="1"/>
        <v>14858.813265999999</v>
      </c>
      <c r="K12" s="25">
        <f t="shared" si="2"/>
        <v>122.1275</v>
      </c>
      <c r="L12" s="25">
        <f t="shared" si="8"/>
        <v>244.255</v>
      </c>
      <c r="M12" s="25">
        <f t="shared" si="9"/>
        <v>244.255</v>
      </c>
      <c r="N12" s="25">
        <f t="shared" si="3"/>
        <v>619.11721941666667</v>
      </c>
      <c r="O12" s="25">
        <f t="shared" si="4"/>
        <v>16088.567985416665</v>
      </c>
      <c r="P12" s="51">
        <v>1358.8528800000001</v>
      </c>
      <c r="Q12" s="51">
        <v>1145.4828</v>
      </c>
      <c r="R12" s="51">
        <v>2114.8155000000002</v>
      </c>
      <c r="S12" s="51">
        <f t="shared" si="10"/>
        <v>643.54271941666661</v>
      </c>
      <c r="T12" s="26">
        <f t="shared" si="7"/>
        <v>5262.6938994166676</v>
      </c>
      <c r="U12" s="31"/>
      <c r="V12" s="28">
        <v>2000</v>
      </c>
      <c r="W12" s="27"/>
      <c r="X12" s="27"/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27"/>
      <c r="AK12" s="27"/>
    </row>
    <row r="13" spans="2:37" ht="19.5" customHeight="1" x14ac:dyDescent="0.25">
      <c r="B13" s="38">
        <f t="shared" si="6"/>
        <v>12</v>
      </c>
      <c r="C13" s="39" t="s">
        <v>26</v>
      </c>
      <c r="D13" s="20" t="s">
        <v>27</v>
      </c>
      <c r="E13" s="21">
        <v>43831</v>
      </c>
      <c r="F13" s="21">
        <v>46387</v>
      </c>
      <c r="G13" s="22">
        <f t="shared" si="0"/>
        <v>6</v>
      </c>
      <c r="H13" s="23">
        <f>VLOOKUP(G13,Hoja5!$A$3:$B$38,2,0)</f>
        <v>22</v>
      </c>
      <c r="I13" s="48">
        <v>488.51</v>
      </c>
      <c r="J13" s="24">
        <f t="shared" si="1"/>
        <v>14858.813265999999</v>
      </c>
      <c r="K13" s="25">
        <f t="shared" si="2"/>
        <v>223.90041666666664</v>
      </c>
      <c r="L13" s="25">
        <f t="shared" si="8"/>
        <v>244.255</v>
      </c>
      <c r="M13" s="25">
        <f t="shared" si="9"/>
        <v>244.255</v>
      </c>
      <c r="N13" s="25">
        <f t="shared" si="3"/>
        <v>619.11721941666667</v>
      </c>
      <c r="O13" s="25">
        <f t="shared" si="4"/>
        <v>16190.340902083331</v>
      </c>
      <c r="P13" s="51">
        <v>1358.8528800000001</v>
      </c>
      <c r="Q13" s="51">
        <v>1145.4828</v>
      </c>
      <c r="R13" s="51">
        <v>2114.8155000000002</v>
      </c>
      <c r="S13" s="51">
        <f t="shared" si="10"/>
        <v>647.61363608333329</v>
      </c>
      <c r="T13" s="26">
        <f t="shared" si="7"/>
        <v>5266.7648160833342</v>
      </c>
      <c r="U13" s="27"/>
      <c r="V13" s="28">
        <v>3500</v>
      </c>
      <c r="W13" s="27"/>
      <c r="X13" s="27"/>
      <c r="Y13" s="27"/>
      <c r="Z13" s="27"/>
      <c r="AA13" s="27"/>
      <c r="AB13" s="27"/>
      <c r="AC13" s="27"/>
      <c r="AD13" s="27"/>
      <c r="AE13" s="27"/>
      <c r="AF13" s="27"/>
      <c r="AG13" s="27"/>
      <c r="AH13" s="27"/>
      <c r="AI13" s="27"/>
      <c r="AJ13" s="27"/>
      <c r="AK13" s="27"/>
    </row>
    <row r="14" spans="2:37" ht="19.5" customHeight="1" x14ac:dyDescent="0.25">
      <c r="B14" s="38">
        <f t="shared" si="6"/>
        <v>13</v>
      </c>
      <c r="C14" s="39" t="s">
        <v>28</v>
      </c>
      <c r="D14" s="20" t="s">
        <v>27</v>
      </c>
      <c r="E14" s="21">
        <v>43831</v>
      </c>
      <c r="F14" s="21">
        <v>46387</v>
      </c>
      <c r="G14" s="22">
        <f t="shared" si="0"/>
        <v>6</v>
      </c>
      <c r="H14" s="23">
        <f>VLOOKUP(G14,Hoja5!$A$3:$B$38,2,0)</f>
        <v>22</v>
      </c>
      <c r="I14" s="48">
        <v>488.51</v>
      </c>
      <c r="J14" s="24">
        <f t="shared" si="1"/>
        <v>14858.813265999999</v>
      </c>
      <c r="K14" s="25">
        <f t="shared" si="2"/>
        <v>223.90041666666664</v>
      </c>
      <c r="L14" s="25">
        <f t="shared" si="8"/>
        <v>244.255</v>
      </c>
      <c r="M14" s="25">
        <f t="shared" si="9"/>
        <v>244.255</v>
      </c>
      <c r="N14" s="25">
        <f t="shared" si="3"/>
        <v>619.11721941666667</v>
      </c>
      <c r="O14" s="25">
        <f t="shared" si="4"/>
        <v>16190.340902083331</v>
      </c>
      <c r="P14" s="51">
        <v>1358.8528800000001</v>
      </c>
      <c r="Q14" s="51">
        <v>1145.4828</v>
      </c>
      <c r="R14" s="51">
        <v>2114.8155000000002</v>
      </c>
      <c r="S14" s="51">
        <f t="shared" si="10"/>
        <v>647.61363608333329</v>
      </c>
      <c r="T14" s="26">
        <f t="shared" si="7"/>
        <v>5266.7648160833342</v>
      </c>
      <c r="U14" s="27"/>
      <c r="V14" s="28">
        <v>3500</v>
      </c>
      <c r="W14" s="27"/>
      <c r="X14" s="27"/>
      <c r="Y14" s="27"/>
      <c r="Z14" s="27"/>
      <c r="AA14" s="27"/>
      <c r="AB14" s="27"/>
      <c r="AC14" s="27"/>
      <c r="AD14" s="27"/>
      <c r="AE14" s="27"/>
      <c r="AF14" s="27"/>
      <c r="AG14" s="27"/>
      <c r="AH14" s="27"/>
      <c r="AI14" s="27"/>
      <c r="AJ14" s="27"/>
      <c r="AK14" s="27"/>
    </row>
    <row r="15" spans="2:37" ht="19.5" customHeight="1" x14ac:dyDescent="0.25">
      <c r="B15" s="38">
        <f t="shared" si="6"/>
        <v>14</v>
      </c>
      <c r="C15" s="39" t="s">
        <v>31</v>
      </c>
      <c r="D15" s="20" t="s">
        <v>27</v>
      </c>
      <c r="E15" s="21">
        <v>44151</v>
      </c>
      <c r="F15" s="21">
        <v>46387</v>
      </c>
      <c r="G15" s="22">
        <f t="shared" si="0"/>
        <v>6</v>
      </c>
      <c r="H15" s="23">
        <f>VLOOKUP(G15,Hoja5!$A$3:$B$38,2,0)</f>
        <v>22</v>
      </c>
      <c r="I15" s="48">
        <v>488.51</v>
      </c>
      <c r="J15" s="24">
        <f t="shared" si="1"/>
        <v>14858.813265999999</v>
      </c>
      <c r="K15" s="25">
        <f t="shared" si="2"/>
        <v>223.90041666666664</v>
      </c>
      <c r="L15" s="25">
        <f t="shared" si="8"/>
        <v>244.255</v>
      </c>
      <c r="M15" s="25">
        <f t="shared" si="9"/>
        <v>244.255</v>
      </c>
      <c r="N15" s="25">
        <f t="shared" si="3"/>
        <v>619.11721941666667</v>
      </c>
      <c r="O15" s="25">
        <f t="shared" si="4"/>
        <v>16190.340902083331</v>
      </c>
      <c r="P15" s="51">
        <v>1358.8528800000001</v>
      </c>
      <c r="Q15" s="51">
        <v>1145.4828</v>
      </c>
      <c r="R15" s="51">
        <v>2114.8155000000002</v>
      </c>
      <c r="S15" s="51">
        <f t="shared" si="10"/>
        <v>647.61363608333329</v>
      </c>
      <c r="T15" s="26">
        <f t="shared" si="7"/>
        <v>5266.7648160833342</v>
      </c>
      <c r="U15" s="27"/>
      <c r="V15" s="28">
        <v>3500</v>
      </c>
      <c r="W15" s="27"/>
      <c r="X15" s="27"/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27"/>
      <c r="AJ15" s="27"/>
      <c r="AK15" s="27"/>
    </row>
    <row r="16" spans="2:37" ht="19.5" customHeight="1" x14ac:dyDescent="0.25">
      <c r="B16" s="38">
        <f t="shared" si="6"/>
        <v>15</v>
      </c>
      <c r="C16" s="39" t="s">
        <v>32</v>
      </c>
      <c r="D16" s="20" t="s">
        <v>27</v>
      </c>
      <c r="E16" s="21">
        <v>44278</v>
      </c>
      <c r="F16" s="21">
        <v>46387</v>
      </c>
      <c r="G16" s="22">
        <f t="shared" si="0"/>
        <v>5</v>
      </c>
      <c r="H16" s="23">
        <f>VLOOKUP(G16,Hoja5!$A$3:$B$38,2,0)</f>
        <v>20</v>
      </c>
      <c r="I16" s="48">
        <v>488.51</v>
      </c>
      <c r="J16" s="24">
        <f t="shared" si="1"/>
        <v>14858.813265999999</v>
      </c>
      <c r="K16" s="25">
        <f t="shared" si="2"/>
        <v>203.54583333333335</v>
      </c>
      <c r="L16" s="25">
        <f t="shared" si="8"/>
        <v>244.255</v>
      </c>
      <c r="M16" s="25">
        <f t="shared" si="9"/>
        <v>244.255</v>
      </c>
      <c r="N16" s="25">
        <f t="shared" si="3"/>
        <v>619.11721941666667</v>
      </c>
      <c r="O16" s="25">
        <f t="shared" si="4"/>
        <v>16169.986318749998</v>
      </c>
      <c r="P16" s="51">
        <v>1358.8528800000001</v>
      </c>
      <c r="Q16" s="51">
        <v>1145.4828</v>
      </c>
      <c r="R16" s="51">
        <v>2114.8155000000002</v>
      </c>
      <c r="S16" s="51">
        <f t="shared" si="10"/>
        <v>646.79945274999989</v>
      </c>
      <c r="T16" s="26">
        <f t="shared" si="7"/>
        <v>5265.9506327500003</v>
      </c>
      <c r="U16" s="27"/>
      <c r="V16" s="28">
        <v>3500</v>
      </c>
      <c r="W16" s="27"/>
      <c r="X16" s="27"/>
      <c r="Y16" s="27"/>
      <c r="Z16" s="27"/>
      <c r="AA16" s="27"/>
      <c r="AB16" s="27"/>
      <c r="AC16" s="27"/>
      <c r="AD16" s="27"/>
      <c r="AE16" s="27"/>
      <c r="AF16" s="27"/>
      <c r="AG16" s="27"/>
      <c r="AH16" s="27"/>
      <c r="AI16" s="27"/>
      <c r="AJ16" s="27"/>
      <c r="AK16" s="27"/>
    </row>
    <row r="17" spans="2:37" ht="19.5" customHeight="1" x14ac:dyDescent="0.25">
      <c r="B17" s="36">
        <f t="shared" si="6"/>
        <v>16</v>
      </c>
      <c r="C17" s="37" t="s">
        <v>46</v>
      </c>
      <c r="D17" s="20" t="s">
        <v>27</v>
      </c>
      <c r="E17" s="21">
        <v>45541</v>
      </c>
      <c r="F17" s="21">
        <v>46387</v>
      </c>
      <c r="G17" s="22">
        <f t="shared" si="0"/>
        <v>2</v>
      </c>
      <c r="H17" s="23">
        <f>VLOOKUP(G17,Hoja5!$A$3:$B$38,2,0)</f>
        <v>14</v>
      </c>
      <c r="I17" s="48">
        <v>488.51</v>
      </c>
      <c r="J17" s="24">
        <f t="shared" si="1"/>
        <v>14858.813265999999</v>
      </c>
      <c r="K17" s="25">
        <f t="shared" si="2"/>
        <v>142.48208333333332</v>
      </c>
      <c r="L17" s="25">
        <f t="shared" si="8"/>
        <v>244.255</v>
      </c>
      <c r="M17" s="25">
        <f t="shared" si="9"/>
        <v>244.255</v>
      </c>
      <c r="N17" s="25">
        <f t="shared" si="3"/>
        <v>619.11721941666667</v>
      </c>
      <c r="O17" s="25">
        <f t="shared" si="4"/>
        <v>16108.922568749998</v>
      </c>
      <c r="P17" s="51">
        <v>1358.8528800000001</v>
      </c>
      <c r="Q17" s="51">
        <v>1145.4828</v>
      </c>
      <c r="R17" s="51">
        <v>2114.8155000000002</v>
      </c>
      <c r="S17" s="51">
        <f t="shared" si="10"/>
        <v>644.3569027499999</v>
      </c>
      <c r="T17" s="26">
        <f t="shared" si="7"/>
        <v>5263.5080827500005</v>
      </c>
      <c r="U17" s="27"/>
      <c r="V17" s="28">
        <v>2000</v>
      </c>
      <c r="W17" s="27"/>
      <c r="X17" s="27"/>
      <c r="Y17" s="27"/>
      <c r="Z17" s="27"/>
      <c r="AA17" s="27"/>
      <c r="AB17" s="27"/>
      <c r="AC17" s="27"/>
      <c r="AD17" s="27"/>
      <c r="AE17" s="27"/>
      <c r="AF17" s="27"/>
      <c r="AG17" s="27"/>
      <c r="AH17" s="27"/>
      <c r="AI17" s="27"/>
      <c r="AJ17" s="27"/>
      <c r="AK17" s="27"/>
    </row>
    <row r="18" spans="2:37" ht="19.5" customHeight="1" x14ac:dyDescent="0.25">
      <c r="B18" s="36">
        <f t="shared" si="6"/>
        <v>17</v>
      </c>
      <c r="C18" s="37" t="s">
        <v>62</v>
      </c>
      <c r="D18" s="20" t="s">
        <v>27</v>
      </c>
      <c r="E18" s="21">
        <v>46209</v>
      </c>
      <c r="F18" s="21">
        <v>46387</v>
      </c>
      <c r="G18" s="22">
        <f t="shared" si="0"/>
        <v>0</v>
      </c>
      <c r="H18" s="23">
        <f>VLOOKUP(G18,Hoja5!$A$3:$B$38,2,0)</f>
        <v>12</v>
      </c>
      <c r="I18" s="48">
        <v>488.51</v>
      </c>
      <c r="J18" s="24">
        <f t="shared" si="1"/>
        <v>14858.813265999999</v>
      </c>
      <c r="K18" s="25">
        <f t="shared" si="2"/>
        <v>122.1275</v>
      </c>
      <c r="L18" s="25">
        <f t="shared" si="8"/>
        <v>244.255</v>
      </c>
      <c r="M18" s="25">
        <f t="shared" si="9"/>
        <v>244.255</v>
      </c>
      <c r="N18" s="25">
        <f t="shared" si="3"/>
        <v>619.11721941666667</v>
      </c>
      <c r="O18" s="25">
        <f t="shared" si="4"/>
        <v>16088.567985416665</v>
      </c>
      <c r="P18" s="51">
        <v>1358.8528800000001</v>
      </c>
      <c r="Q18" s="51">
        <v>1145.4828</v>
      </c>
      <c r="R18" s="51">
        <v>2114.8155000000002</v>
      </c>
      <c r="S18" s="51">
        <f t="shared" si="10"/>
        <v>643.54271941666661</v>
      </c>
      <c r="T18" s="26">
        <f t="shared" si="7"/>
        <v>5262.6938994166676</v>
      </c>
      <c r="U18" s="27"/>
      <c r="V18" s="28">
        <v>2000</v>
      </c>
      <c r="W18" s="27"/>
      <c r="X18" s="27"/>
      <c r="Y18" s="27"/>
      <c r="Z18" s="27"/>
      <c r="AA18" s="27"/>
      <c r="AB18" s="27"/>
      <c r="AC18" s="27"/>
      <c r="AD18" s="27"/>
      <c r="AE18" s="27"/>
      <c r="AF18" s="27"/>
      <c r="AG18" s="27"/>
      <c r="AH18" s="27"/>
      <c r="AI18" s="27"/>
      <c r="AJ18" s="27"/>
      <c r="AK18" s="27"/>
    </row>
    <row r="19" spans="2:37" ht="19.5" customHeight="1" x14ac:dyDescent="0.25">
      <c r="B19" s="36">
        <f t="shared" si="6"/>
        <v>18</v>
      </c>
      <c r="C19" s="37" t="s">
        <v>63</v>
      </c>
      <c r="D19" s="20" t="s">
        <v>27</v>
      </c>
      <c r="E19" s="21">
        <v>46210</v>
      </c>
      <c r="F19" s="21">
        <v>46387</v>
      </c>
      <c r="G19" s="22">
        <f t="shared" si="0"/>
        <v>0</v>
      </c>
      <c r="H19" s="23">
        <f>VLOOKUP(G19,Hoja5!$A$3:$B$38,2,0)</f>
        <v>12</v>
      </c>
      <c r="I19" s="48">
        <v>488.51</v>
      </c>
      <c r="J19" s="24">
        <f t="shared" si="1"/>
        <v>14858.813265999999</v>
      </c>
      <c r="K19" s="25">
        <f t="shared" si="2"/>
        <v>122.1275</v>
      </c>
      <c r="L19" s="25">
        <f t="shared" si="8"/>
        <v>244.255</v>
      </c>
      <c r="M19" s="25">
        <f t="shared" si="9"/>
        <v>244.255</v>
      </c>
      <c r="N19" s="25">
        <f t="shared" si="3"/>
        <v>619.11721941666667</v>
      </c>
      <c r="O19" s="25">
        <f t="shared" si="4"/>
        <v>16088.567985416665</v>
      </c>
      <c r="P19" s="51">
        <v>1358.8528800000001</v>
      </c>
      <c r="Q19" s="51">
        <v>1145.4828</v>
      </c>
      <c r="R19" s="51">
        <v>2114.8155000000002</v>
      </c>
      <c r="S19" s="51">
        <f t="shared" si="10"/>
        <v>643.54271941666661</v>
      </c>
      <c r="T19" s="26">
        <f t="shared" si="7"/>
        <v>5262.6938994166676</v>
      </c>
      <c r="U19" s="27"/>
      <c r="V19" s="28">
        <v>2000</v>
      </c>
      <c r="W19" s="27"/>
      <c r="X19" s="27"/>
      <c r="Y19" s="27"/>
      <c r="Z19" s="27"/>
      <c r="AA19" s="27"/>
      <c r="AB19" s="27"/>
      <c r="AC19" s="27"/>
      <c r="AD19" s="27"/>
      <c r="AE19" s="27"/>
      <c r="AF19" s="27"/>
      <c r="AG19" s="27"/>
      <c r="AH19" s="27"/>
      <c r="AI19" s="27"/>
      <c r="AJ19" s="27"/>
      <c r="AK19" s="27"/>
    </row>
    <row r="20" spans="2:37" ht="19.5" customHeight="1" x14ac:dyDescent="0.25">
      <c r="B20" s="36">
        <f t="shared" si="6"/>
        <v>19</v>
      </c>
      <c r="C20" s="37" t="s">
        <v>64</v>
      </c>
      <c r="D20" s="20" t="s">
        <v>27</v>
      </c>
      <c r="E20" s="21">
        <v>46219</v>
      </c>
      <c r="F20" s="21">
        <v>46387</v>
      </c>
      <c r="G20" s="22">
        <f t="shared" si="0"/>
        <v>0</v>
      </c>
      <c r="H20" s="23">
        <f>VLOOKUP(G20,Hoja5!$A$3:$B$38,2,0)</f>
        <v>12</v>
      </c>
      <c r="I20" s="48">
        <v>488.51</v>
      </c>
      <c r="J20" s="24">
        <f t="shared" si="1"/>
        <v>14858.813265999999</v>
      </c>
      <c r="K20" s="25">
        <f t="shared" si="2"/>
        <v>122.1275</v>
      </c>
      <c r="L20" s="25">
        <f t="shared" si="8"/>
        <v>244.255</v>
      </c>
      <c r="M20" s="25">
        <f t="shared" si="9"/>
        <v>244.255</v>
      </c>
      <c r="N20" s="25">
        <f t="shared" si="3"/>
        <v>619.11721941666667</v>
      </c>
      <c r="O20" s="25">
        <f t="shared" si="4"/>
        <v>16088.567985416665</v>
      </c>
      <c r="P20" s="51">
        <v>1358.8528800000001</v>
      </c>
      <c r="Q20" s="51">
        <v>1145.4828</v>
      </c>
      <c r="R20" s="51">
        <v>2114.8155000000002</v>
      </c>
      <c r="S20" s="51">
        <f t="shared" si="10"/>
        <v>643.54271941666661</v>
      </c>
      <c r="T20" s="26">
        <f t="shared" si="7"/>
        <v>5262.6938994166676</v>
      </c>
      <c r="U20" s="27"/>
      <c r="V20" s="28">
        <v>2000</v>
      </c>
      <c r="W20" s="27"/>
      <c r="X20" s="27"/>
      <c r="Y20" s="27"/>
      <c r="Z20" s="27"/>
      <c r="AA20" s="27"/>
      <c r="AB20" s="27"/>
      <c r="AC20" s="27"/>
      <c r="AD20" s="27"/>
      <c r="AE20" s="27"/>
      <c r="AF20" s="27"/>
      <c r="AG20" s="27"/>
      <c r="AH20" s="27"/>
      <c r="AI20" s="27"/>
      <c r="AJ20" s="27"/>
      <c r="AK20" s="27"/>
    </row>
    <row r="21" spans="2:37" ht="19.5" customHeight="1" x14ac:dyDescent="0.25">
      <c r="B21" s="40">
        <f t="shared" si="6"/>
        <v>20</v>
      </c>
      <c r="C21" s="41" t="s">
        <v>22</v>
      </c>
      <c r="D21" s="20" t="s">
        <v>73</v>
      </c>
      <c r="E21" s="21">
        <v>43831</v>
      </c>
      <c r="F21" s="21">
        <v>46387</v>
      </c>
      <c r="G21" s="22">
        <f t="shared" si="0"/>
        <v>6</v>
      </c>
      <c r="H21" s="23">
        <f>VLOOKUP(G21,Hoja5!$A$3:$B$38,2,0)</f>
        <v>22</v>
      </c>
      <c r="I21" s="24">
        <v>519.35</v>
      </c>
      <c r="J21" s="24">
        <f t="shared" si="1"/>
        <v>15796.861210000001</v>
      </c>
      <c r="K21" s="25">
        <f t="shared" si="2"/>
        <v>238.03541666666669</v>
      </c>
      <c r="L21" s="25">
        <f t="shared" si="8"/>
        <v>244.255</v>
      </c>
      <c r="M21" s="25">
        <f t="shared" si="9"/>
        <v>259.67500000000001</v>
      </c>
      <c r="N21" s="25">
        <f t="shared" si="3"/>
        <v>658.20255041666667</v>
      </c>
      <c r="O21" s="25">
        <f t="shared" si="4"/>
        <v>17197.029177083336</v>
      </c>
      <c r="P21" s="26">
        <v>1358.8528800000001</v>
      </c>
      <c r="Q21" s="26">
        <v>849.28305</v>
      </c>
      <c r="R21" s="26">
        <v>2114.8155000000002</v>
      </c>
      <c r="S21" s="26">
        <f t="shared" ref="S21:S27" si="11">(K21+L21+M21+N21+J21)*0.04</f>
        <v>687.88116708333348</v>
      </c>
      <c r="T21" s="26">
        <f t="shared" si="7"/>
        <v>5010.8325970833348</v>
      </c>
      <c r="U21" s="27"/>
      <c r="V21" s="28">
        <v>3500</v>
      </c>
      <c r="W21" s="27"/>
      <c r="X21" s="27"/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7"/>
      <c r="AJ21" s="27"/>
      <c r="AK21" s="27"/>
    </row>
    <row r="22" spans="2:37" ht="19.5" customHeight="1" x14ac:dyDescent="0.25">
      <c r="B22" s="19">
        <f t="shared" si="6"/>
        <v>21</v>
      </c>
      <c r="C22" s="20" t="s">
        <v>34</v>
      </c>
      <c r="D22" s="20" t="s">
        <v>35</v>
      </c>
      <c r="E22" s="21">
        <v>44758</v>
      </c>
      <c r="F22" s="21">
        <v>46387</v>
      </c>
      <c r="G22" s="22">
        <f t="shared" si="0"/>
        <v>4</v>
      </c>
      <c r="H22" s="23">
        <f>VLOOKUP(G22,Hoja5!$A$3:$B$38,2,0)</f>
        <v>18</v>
      </c>
      <c r="I22" s="24">
        <v>685.57039999999995</v>
      </c>
      <c r="J22" s="24">
        <f t="shared" si="1"/>
        <v>20852.720628639996</v>
      </c>
      <c r="K22" s="25">
        <f t="shared" si="2"/>
        <v>257.08889999999997</v>
      </c>
      <c r="L22" s="25">
        <f t="shared" si="8"/>
        <v>259.67500000000001</v>
      </c>
      <c r="M22" s="25">
        <v>0</v>
      </c>
      <c r="N22" s="25">
        <f t="shared" si="3"/>
        <v>868.8633595266665</v>
      </c>
      <c r="O22" s="25">
        <f t="shared" si="4"/>
        <v>22238.34788816666</v>
      </c>
      <c r="P22" s="26">
        <v>1358.8528800000001</v>
      </c>
      <c r="Q22" s="26">
        <v>849.28305</v>
      </c>
      <c r="R22" s="26">
        <v>2114.8155000000002</v>
      </c>
      <c r="S22" s="26">
        <f t="shared" si="11"/>
        <v>889.53391552666653</v>
      </c>
      <c r="T22" s="26">
        <f t="shared" si="7"/>
        <v>5212.4853455266675</v>
      </c>
      <c r="U22" s="27"/>
      <c r="V22" s="28">
        <v>2000</v>
      </c>
      <c r="W22" s="27"/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27"/>
      <c r="AJ22" s="27"/>
      <c r="AK22" s="27"/>
    </row>
    <row r="23" spans="2:37" ht="19.5" customHeight="1" x14ac:dyDescent="0.25">
      <c r="B23" s="19">
        <f t="shared" si="6"/>
        <v>22</v>
      </c>
      <c r="C23" s="20" t="s">
        <v>29</v>
      </c>
      <c r="D23" s="20" t="s">
        <v>30</v>
      </c>
      <c r="E23" s="21">
        <v>46189</v>
      </c>
      <c r="F23" s="21">
        <v>46387</v>
      </c>
      <c r="G23" s="22">
        <f t="shared" si="0"/>
        <v>0</v>
      </c>
      <c r="H23" s="23">
        <f>VLOOKUP(G23,Hoja5!$A$3:$B$38,2,0)</f>
        <v>12</v>
      </c>
      <c r="I23" s="24">
        <v>404.22840000000002</v>
      </c>
      <c r="J23" s="24">
        <f t="shared" si="1"/>
        <v>12295.253551440001</v>
      </c>
      <c r="K23" s="25">
        <f t="shared" si="2"/>
        <v>101.05710000000001</v>
      </c>
      <c r="L23" s="25">
        <f t="shared" si="8"/>
        <v>342.78519999999997</v>
      </c>
      <c r="M23" s="25">
        <f>I23*0.25*2</f>
        <v>202.11420000000001</v>
      </c>
      <c r="N23" s="25">
        <f t="shared" si="3"/>
        <v>512.30223131000002</v>
      </c>
      <c r="O23" s="25">
        <f t="shared" si="4"/>
        <v>13453.512282750002</v>
      </c>
      <c r="P23" s="26">
        <v>1358.8528800000001</v>
      </c>
      <c r="Q23" s="26">
        <v>849.28305</v>
      </c>
      <c r="R23" s="26">
        <v>2114.8155000000002</v>
      </c>
      <c r="S23" s="26">
        <f t="shared" si="11"/>
        <v>538.14049131000002</v>
      </c>
      <c r="T23" s="26">
        <f t="shared" si="7"/>
        <v>4861.0919213100005</v>
      </c>
      <c r="U23" s="27"/>
      <c r="V23" s="28">
        <v>2000</v>
      </c>
      <c r="W23" s="27"/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27"/>
      <c r="AI23" s="27"/>
      <c r="AJ23" s="27"/>
      <c r="AK23" s="27"/>
    </row>
    <row r="24" spans="2:37" ht="19.5" customHeight="1" x14ac:dyDescent="0.25">
      <c r="B24" s="19">
        <f t="shared" si="6"/>
        <v>23</v>
      </c>
      <c r="C24" s="20" t="s">
        <v>50</v>
      </c>
      <c r="D24" s="20" t="s">
        <v>30</v>
      </c>
      <c r="E24" s="21">
        <v>46174</v>
      </c>
      <c r="F24" s="21">
        <v>46387</v>
      </c>
      <c r="G24" s="22">
        <f t="shared" si="0"/>
        <v>0</v>
      </c>
      <c r="H24" s="23">
        <f>VLOOKUP(G24,Hoja5!$A$3:$B$38,2,0)</f>
        <v>12</v>
      </c>
      <c r="I24" s="24">
        <v>575.34490000000005</v>
      </c>
      <c r="J24" s="24">
        <f t="shared" si="1"/>
        <v>17500.035685340001</v>
      </c>
      <c r="K24" s="25">
        <f t="shared" si="2"/>
        <v>143.83622500000001</v>
      </c>
      <c r="L24" s="25">
        <f t="shared" si="8"/>
        <v>202.11420000000001</v>
      </c>
      <c r="M24" s="25">
        <f>I24*0.25*2</f>
        <v>287.67245000000003</v>
      </c>
      <c r="N24" s="25">
        <f t="shared" si="3"/>
        <v>729.16815355583333</v>
      </c>
      <c r="O24" s="25">
        <f t="shared" si="4"/>
        <v>18862.826713895836</v>
      </c>
      <c r="P24" s="26">
        <v>1358.8528800000001</v>
      </c>
      <c r="Q24" s="26">
        <v>849.28305</v>
      </c>
      <c r="R24" s="26">
        <v>2114.8155000000002</v>
      </c>
      <c r="S24" s="26">
        <f t="shared" si="11"/>
        <v>754.51306855583334</v>
      </c>
      <c r="T24" s="26">
        <f t="shared" si="7"/>
        <v>5077.4644985558343</v>
      </c>
      <c r="U24" s="27"/>
      <c r="V24" s="28">
        <v>2000</v>
      </c>
      <c r="W24" s="27"/>
      <c r="X24" s="27"/>
      <c r="Y24" s="27"/>
      <c r="Z24" s="27"/>
      <c r="AA24" s="27"/>
      <c r="AB24" s="27"/>
      <c r="AC24" s="27"/>
      <c r="AD24" s="27"/>
      <c r="AE24" s="27"/>
      <c r="AF24" s="27"/>
      <c r="AG24" s="27"/>
      <c r="AH24" s="27"/>
      <c r="AI24" s="27"/>
      <c r="AJ24" s="27"/>
      <c r="AK24" s="27"/>
    </row>
    <row r="25" spans="2:37" ht="19.5" customHeight="1" x14ac:dyDescent="0.25">
      <c r="B25" s="19">
        <f t="shared" si="6"/>
        <v>24</v>
      </c>
      <c r="C25" s="20" t="s">
        <v>53</v>
      </c>
      <c r="D25" s="20" t="s">
        <v>30</v>
      </c>
      <c r="E25" s="21">
        <v>46235</v>
      </c>
      <c r="F25" s="21">
        <v>46387</v>
      </c>
      <c r="G25" s="22">
        <f t="shared" si="0"/>
        <v>0</v>
      </c>
      <c r="H25" s="23">
        <f>VLOOKUP(G25,Hoja5!$A$3:$B$38,2,0)</f>
        <v>12</v>
      </c>
      <c r="I25" s="24">
        <v>575.34259999999995</v>
      </c>
      <c r="J25" s="24">
        <f t="shared" si="1"/>
        <v>17499.965727159997</v>
      </c>
      <c r="K25" s="25">
        <f t="shared" si="2"/>
        <v>143.83564999999999</v>
      </c>
      <c r="L25" s="25">
        <f t="shared" si="8"/>
        <v>287.67245000000003</v>
      </c>
      <c r="M25" s="25">
        <f>I25*0.25*2</f>
        <v>287.67129999999997</v>
      </c>
      <c r="N25" s="25">
        <f t="shared" si="3"/>
        <v>729.16523863166651</v>
      </c>
      <c r="O25" s="25">
        <f t="shared" si="4"/>
        <v>18948.310365791669</v>
      </c>
      <c r="P25" s="26">
        <v>1358.8528800000001</v>
      </c>
      <c r="Q25" s="26">
        <v>849.28305</v>
      </c>
      <c r="R25" s="26">
        <v>2114.8155000000002</v>
      </c>
      <c r="S25" s="26">
        <f t="shared" si="11"/>
        <v>757.93241463166657</v>
      </c>
      <c r="T25" s="26">
        <f t="shared" si="7"/>
        <v>5080.8838446316677</v>
      </c>
      <c r="U25" s="27"/>
      <c r="V25" s="28">
        <v>2000</v>
      </c>
      <c r="W25" s="27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/>
      <c r="AK25" s="27"/>
    </row>
    <row r="26" spans="2:37" ht="19.5" customHeight="1" x14ac:dyDescent="0.25">
      <c r="B26" s="19">
        <f t="shared" si="6"/>
        <v>25</v>
      </c>
      <c r="C26" s="20" t="s">
        <v>54</v>
      </c>
      <c r="D26" s="20" t="s">
        <v>30</v>
      </c>
      <c r="E26" s="21">
        <v>45983</v>
      </c>
      <c r="F26" s="21">
        <v>46387</v>
      </c>
      <c r="G26" s="22">
        <f t="shared" si="0"/>
        <v>1</v>
      </c>
      <c r="H26" s="23">
        <f>VLOOKUP(G26,Hoja5!$A$3:$B$38,2,0)</f>
        <v>12</v>
      </c>
      <c r="I26" s="24">
        <v>575.34259999999995</v>
      </c>
      <c r="J26" s="24">
        <f t="shared" si="1"/>
        <v>17499.965727159997</v>
      </c>
      <c r="K26" s="25">
        <f t="shared" si="2"/>
        <v>143.83564999999999</v>
      </c>
      <c r="L26" s="25">
        <f t="shared" si="8"/>
        <v>287.67129999999997</v>
      </c>
      <c r="M26" s="25">
        <f>I26*0.25*2</f>
        <v>287.67129999999997</v>
      </c>
      <c r="N26" s="25">
        <f t="shared" si="3"/>
        <v>729.16523863166651</v>
      </c>
      <c r="O26" s="25">
        <f t="shared" si="4"/>
        <v>18948.309215791665</v>
      </c>
      <c r="P26" s="26">
        <v>3972.5716800000005</v>
      </c>
      <c r="Q26" s="26">
        <v>2482.8573000000001</v>
      </c>
      <c r="R26" s="26">
        <v>6164.5185000000001</v>
      </c>
      <c r="S26" s="26">
        <f t="shared" si="11"/>
        <v>757.93236863166646</v>
      </c>
      <c r="T26" s="26">
        <f t="shared" si="7"/>
        <v>13377.879848631666</v>
      </c>
      <c r="U26" s="27"/>
      <c r="V26" s="28">
        <v>2000</v>
      </c>
      <c r="W26" s="27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27"/>
    </row>
    <row r="27" spans="2:37" ht="19.5" customHeight="1" x14ac:dyDescent="0.25">
      <c r="B27" s="19">
        <f t="shared" si="6"/>
        <v>26</v>
      </c>
      <c r="C27" s="20" t="s">
        <v>55</v>
      </c>
      <c r="D27" s="20" t="s">
        <v>30</v>
      </c>
      <c r="E27" s="21">
        <v>46054</v>
      </c>
      <c r="F27" s="21">
        <v>46387</v>
      </c>
      <c r="G27" s="22">
        <f t="shared" si="0"/>
        <v>0</v>
      </c>
      <c r="H27" s="23">
        <f>VLOOKUP(G27,Hoja5!$A$3:$B$38,2,0)</f>
        <v>12</v>
      </c>
      <c r="I27" s="24">
        <v>401.55650000000003</v>
      </c>
      <c r="J27" s="24">
        <f t="shared" si="1"/>
        <v>12213.9834379</v>
      </c>
      <c r="K27" s="25">
        <f t="shared" si="2"/>
        <v>100.38912499999999</v>
      </c>
      <c r="L27" s="25">
        <f t="shared" si="8"/>
        <v>287.67129999999997</v>
      </c>
      <c r="M27" s="25">
        <v>0</v>
      </c>
      <c r="N27" s="25">
        <f t="shared" si="3"/>
        <v>508.91597657916668</v>
      </c>
      <c r="O27" s="25">
        <f t="shared" si="4"/>
        <v>13110.959839479166</v>
      </c>
      <c r="P27" s="26">
        <v>1657.6560000000002</v>
      </c>
      <c r="Q27" s="26">
        <v>1036.0350000000001</v>
      </c>
      <c r="R27" s="26">
        <v>2486.4</v>
      </c>
      <c r="S27" s="26">
        <f t="shared" si="11"/>
        <v>524.4383935791667</v>
      </c>
      <c r="T27" s="26">
        <f t="shared" si="7"/>
        <v>5704.5293935791669</v>
      </c>
      <c r="U27" s="27"/>
      <c r="V27" s="28">
        <v>2000</v>
      </c>
      <c r="W27" s="27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27"/>
      <c r="AK27" s="27"/>
    </row>
    <row r="28" spans="2:37" ht="19.5" customHeight="1" x14ac:dyDescent="0.25">
      <c r="B28" s="19">
        <f t="shared" si="6"/>
        <v>27</v>
      </c>
      <c r="C28" s="20" t="s">
        <v>66</v>
      </c>
      <c r="D28" s="20" t="s">
        <v>30</v>
      </c>
      <c r="E28" s="21">
        <v>46235</v>
      </c>
      <c r="F28" s="21">
        <v>46387</v>
      </c>
      <c r="G28" s="22">
        <f t="shared" si="0"/>
        <v>0</v>
      </c>
      <c r="H28" s="23">
        <f>VLOOKUP(G28,Hoja5!$A$3:$B$38,2,0)</f>
        <v>12</v>
      </c>
      <c r="I28" s="24">
        <v>404.18</v>
      </c>
      <c r="J28" s="24">
        <f t="shared" si="1"/>
        <v>12293.781387999999</v>
      </c>
      <c r="K28" s="25">
        <f t="shared" si="2"/>
        <v>101.045</v>
      </c>
      <c r="L28" s="25">
        <f t="shared" si="8"/>
        <v>200.77824999999999</v>
      </c>
      <c r="M28" s="25">
        <f>I28*0.25*2</f>
        <v>202.09</v>
      </c>
      <c r="N28" s="25">
        <f t="shared" si="3"/>
        <v>512.24089116666664</v>
      </c>
      <c r="O28" s="25">
        <f t="shared" si="4"/>
        <v>13309.935529166665</v>
      </c>
      <c r="P28" s="51">
        <v>1358.8528800000001</v>
      </c>
      <c r="Q28" s="51">
        <v>1145.4828</v>
      </c>
      <c r="R28" s="51">
        <v>3062.85</v>
      </c>
      <c r="S28" s="51">
        <v>588.77943991666666</v>
      </c>
      <c r="T28" s="26">
        <f t="shared" si="7"/>
        <v>6155.9651199166674</v>
      </c>
      <c r="U28" s="29">
        <f>SUM(U1:U27)</f>
        <v>0</v>
      </c>
      <c r="V28" s="28">
        <v>2000</v>
      </c>
      <c r="W28" s="27"/>
      <c r="X28" s="27"/>
      <c r="Y28" s="27"/>
      <c r="Z28" s="27"/>
      <c r="AA28" s="27"/>
      <c r="AB28" s="27"/>
      <c r="AC28" s="27"/>
      <c r="AD28" s="27"/>
      <c r="AE28" s="27"/>
      <c r="AF28" s="27"/>
      <c r="AG28" s="27"/>
      <c r="AH28" s="27"/>
      <c r="AI28" s="27"/>
      <c r="AJ28" s="27"/>
      <c r="AK28" s="27"/>
    </row>
    <row r="29" spans="2:37" ht="19.5" customHeight="1" x14ac:dyDescent="0.25">
      <c r="B29" s="38">
        <f t="shared" si="6"/>
        <v>28</v>
      </c>
      <c r="C29" s="39" t="s">
        <v>24</v>
      </c>
      <c r="D29" s="20" t="s">
        <v>25</v>
      </c>
      <c r="E29" s="21">
        <v>42751</v>
      </c>
      <c r="F29" s="21">
        <v>46387</v>
      </c>
      <c r="G29" s="22">
        <f t="shared" si="0"/>
        <v>9</v>
      </c>
      <c r="H29" s="23">
        <f>VLOOKUP(G29,Hoja5!$A$3:$B$38,2,0)</f>
        <v>22</v>
      </c>
      <c r="I29" s="48">
        <v>488.51</v>
      </c>
      <c r="J29" s="24">
        <f t="shared" si="1"/>
        <v>14858.813265999999</v>
      </c>
      <c r="K29" s="25">
        <f t="shared" si="2"/>
        <v>223.90041666666664</v>
      </c>
      <c r="L29" s="25">
        <f t="shared" si="8"/>
        <v>202.09</v>
      </c>
      <c r="M29" s="25">
        <f>I29*0.25*2</f>
        <v>244.255</v>
      </c>
      <c r="N29" s="25">
        <f t="shared" si="3"/>
        <v>619.11721941666667</v>
      </c>
      <c r="O29" s="25">
        <f t="shared" si="4"/>
        <v>16148.175902083332</v>
      </c>
      <c r="P29" s="51">
        <v>1358.8528800000001</v>
      </c>
      <c r="Q29" s="51">
        <v>1145.4828</v>
      </c>
      <c r="R29" s="51">
        <v>2114.8155000000002</v>
      </c>
      <c r="S29" s="51">
        <f t="shared" ref="S29:S32" si="12">O29*0.04</f>
        <v>645.92703608333329</v>
      </c>
      <c r="T29" s="26">
        <f t="shared" si="7"/>
        <v>5265.0782160833342</v>
      </c>
      <c r="U29" s="27"/>
      <c r="V29" s="28">
        <v>3500</v>
      </c>
      <c r="W29" s="27"/>
      <c r="X29" s="27"/>
      <c r="Y29" s="27"/>
      <c r="Z29" s="27"/>
      <c r="AA29" s="27"/>
      <c r="AB29" s="27"/>
      <c r="AC29" s="27"/>
      <c r="AD29" s="27"/>
      <c r="AE29" s="27"/>
      <c r="AF29" s="27"/>
      <c r="AG29" s="27"/>
      <c r="AH29" s="27"/>
      <c r="AI29" s="27"/>
      <c r="AJ29" s="27"/>
      <c r="AK29" s="27"/>
    </row>
    <row r="30" spans="2:37" ht="19.5" customHeight="1" x14ac:dyDescent="0.25">
      <c r="B30" s="36">
        <f t="shared" si="6"/>
        <v>29</v>
      </c>
      <c r="C30" s="37" t="s">
        <v>43</v>
      </c>
      <c r="D30" s="20" t="s">
        <v>25</v>
      </c>
      <c r="E30" s="21">
        <v>45145</v>
      </c>
      <c r="F30" s="21">
        <v>46387</v>
      </c>
      <c r="G30" s="22">
        <f t="shared" si="0"/>
        <v>3</v>
      </c>
      <c r="H30" s="23">
        <f>VLOOKUP(G30,Hoja5!$A$3:$B$38,2,0)</f>
        <v>16</v>
      </c>
      <c r="I30" s="48">
        <v>488.51</v>
      </c>
      <c r="J30" s="24">
        <f t="shared" si="1"/>
        <v>14858.813265999999</v>
      </c>
      <c r="K30" s="25">
        <f t="shared" si="2"/>
        <v>162.83666666666667</v>
      </c>
      <c r="L30" s="25">
        <f t="shared" si="8"/>
        <v>244.255</v>
      </c>
      <c r="M30" s="25">
        <f>I30*0.25*2</f>
        <v>244.255</v>
      </c>
      <c r="N30" s="25">
        <f t="shared" si="3"/>
        <v>619.11721941666667</v>
      </c>
      <c r="O30" s="25">
        <f t="shared" si="4"/>
        <v>16129.27715208333</v>
      </c>
      <c r="P30" s="51">
        <v>1358.8528800000001</v>
      </c>
      <c r="Q30" s="51">
        <v>1145.4828</v>
      </c>
      <c r="R30" s="51">
        <v>2265.9</v>
      </c>
      <c r="S30" s="51">
        <f t="shared" si="12"/>
        <v>645.17108608333319</v>
      </c>
      <c r="T30" s="26">
        <f t="shared" si="7"/>
        <v>5415.4067660833334</v>
      </c>
      <c r="U30" s="27"/>
      <c r="V30" s="28">
        <v>2000</v>
      </c>
      <c r="W30" s="27"/>
      <c r="X30" s="27"/>
      <c r="Y30" s="27"/>
      <c r="Z30" s="27"/>
      <c r="AA30" s="27"/>
      <c r="AB30" s="27"/>
      <c r="AC30" s="27"/>
      <c r="AD30" s="27"/>
      <c r="AE30" s="27"/>
      <c r="AF30" s="27"/>
      <c r="AG30" s="27"/>
      <c r="AH30" s="27"/>
      <c r="AI30" s="27"/>
      <c r="AJ30" s="27"/>
      <c r="AK30" s="27"/>
    </row>
    <row r="31" spans="2:37" ht="19.5" customHeight="1" x14ac:dyDescent="0.25">
      <c r="B31" s="36">
        <f t="shared" si="6"/>
        <v>30</v>
      </c>
      <c r="C31" s="37" t="s">
        <v>44</v>
      </c>
      <c r="D31" s="20" t="s">
        <v>25</v>
      </c>
      <c r="E31" s="21">
        <v>45253</v>
      </c>
      <c r="F31" s="21">
        <v>46387</v>
      </c>
      <c r="G31" s="22">
        <f t="shared" si="0"/>
        <v>3</v>
      </c>
      <c r="H31" s="23">
        <f>VLOOKUP(G31,Hoja5!$A$3:$B$38,2,0)</f>
        <v>16</v>
      </c>
      <c r="I31" s="48">
        <v>488.51</v>
      </c>
      <c r="J31" s="24">
        <f t="shared" si="1"/>
        <v>14858.813265999999</v>
      </c>
      <c r="K31" s="25">
        <f t="shared" si="2"/>
        <v>162.83666666666667</v>
      </c>
      <c r="L31" s="25">
        <f t="shared" si="8"/>
        <v>244.255</v>
      </c>
      <c r="M31" s="25">
        <f>I31*0.25*2</f>
        <v>244.255</v>
      </c>
      <c r="N31" s="25">
        <f t="shared" si="3"/>
        <v>619.11721941666667</v>
      </c>
      <c r="O31" s="25">
        <f t="shared" si="4"/>
        <v>16129.27715208333</v>
      </c>
      <c r="P31" s="51">
        <v>1358.8528800000001</v>
      </c>
      <c r="Q31" s="51">
        <v>1145.4828</v>
      </c>
      <c r="R31" s="51">
        <v>2114.8155000000002</v>
      </c>
      <c r="S31" s="51">
        <f t="shared" si="12"/>
        <v>645.17108608333319</v>
      </c>
      <c r="T31" s="26">
        <f t="shared" si="7"/>
        <v>5264.3222660833344</v>
      </c>
      <c r="U31" s="27"/>
      <c r="V31" s="28">
        <v>2000</v>
      </c>
      <c r="W31" s="27"/>
      <c r="X31" s="27"/>
      <c r="Y31" s="27"/>
      <c r="Z31" s="27"/>
      <c r="AA31" s="27"/>
      <c r="AB31" s="27"/>
      <c r="AC31" s="27"/>
      <c r="AD31" s="27"/>
      <c r="AE31" s="27"/>
      <c r="AF31" s="27"/>
      <c r="AG31" s="27"/>
      <c r="AH31" s="27"/>
      <c r="AI31" s="27"/>
      <c r="AJ31" s="27"/>
      <c r="AK31" s="27"/>
    </row>
    <row r="32" spans="2:37" ht="19.5" customHeight="1" x14ac:dyDescent="0.25">
      <c r="B32" s="36">
        <f t="shared" si="6"/>
        <v>31</v>
      </c>
      <c r="C32" s="37" t="s">
        <v>45</v>
      </c>
      <c r="D32" s="20" t="s">
        <v>25</v>
      </c>
      <c r="E32" s="21">
        <v>45505</v>
      </c>
      <c r="F32" s="21">
        <v>46387</v>
      </c>
      <c r="G32" s="22">
        <f t="shared" si="0"/>
        <v>2</v>
      </c>
      <c r="H32" s="23">
        <f>VLOOKUP(G32,Hoja5!$A$3:$B$38,2,0)</f>
        <v>14</v>
      </c>
      <c r="I32" s="48">
        <v>488.51</v>
      </c>
      <c r="J32" s="24">
        <f t="shared" si="1"/>
        <v>14858.813265999999</v>
      </c>
      <c r="K32" s="25">
        <f t="shared" si="2"/>
        <v>142.48208333333332</v>
      </c>
      <c r="L32" s="25">
        <f t="shared" si="8"/>
        <v>244.255</v>
      </c>
      <c r="M32" s="25">
        <f>I32*0.25*2</f>
        <v>244.255</v>
      </c>
      <c r="N32" s="25">
        <f t="shared" si="3"/>
        <v>619.11721941666667</v>
      </c>
      <c r="O32" s="25">
        <f t="shared" si="4"/>
        <v>16108.922568749998</v>
      </c>
      <c r="P32" s="51">
        <v>1358.8528800000001</v>
      </c>
      <c r="Q32" s="51">
        <v>1145.4828</v>
      </c>
      <c r="R32" s="51">
        <v>2114.8155000000002</v>
      </c>
      <c r="S32" s="51">
        <f t="shared" si="12"/>
        <v>644.3569027499999</v>
      </c>
      <c r="T32" s="26">
        <f t="shared" si="7"/>
        <v>5263.5080827500005</v>
      </c>
      <c r="U32" s="27"/>
      <c r="V32" s="28">
        <v>2000</v>
      </c>
      <c r="W32" s="27"/>
      <c r="X32" s="27"/>
      <c r="Y32" s="27"/>
      <c r="Z32" s="27"/>
      <c r="AA32" s="27"/>
      <c r="AB32" s="27"/>
      <c r="AC32" s="27"/>
      <c r="AD32" s="27"/>
      <c r="AE32" s="27"/>
      <c r="AF32" s="27"/>
      <c r="AG32" s="27"/>
      <c r="AH32" s="27"/>
      <c r="AI32" s="27"/>
      <c r="AJ32" s="27"/>
      <c r="AK32" s="27"/>
    </row>
    <row r="33" spans="1:37" ht="19.5" customHeight="1" x14ac:dyDescent="0.25">
      <c r="B33" s="36">
        <f t="shared" si="6"/>
        <v>32</v>
      </c>
      <c r="C33" s="37" t="s">
        <v>52</v>
      </c>
      <c r="D33" s="20" t="s">
        <v>25</v>
      </c>
      <c r="E33" s="21">
        <v>45877</v>
      </c>
      <c r="F33" s="21">
        <v>46387</v>
      </c>
      <c r="G33" s="22">
        <f t="shared" si="0"/>
        <v>1</v>
      </c>
      <c r="H33" s="23">
        <f>VLOOKUP(G33,Hoja5!$A$3:$B$38,2,0)</f>
        <v>12</v>
      </c>
      <c r="I33" s="48">
        <v>488.51</v>
      </c>
      <c r="J33" s="24">
        <f t="shared" si="1"/>
        <v>14858.813265999999</v>
      </c>
      <c r="K33" s="25">
        <f t="shared" si="2"/>
        <v>122.1275</v>
      </c>
      <c r="L33" s="25">
        <f t="shared" si="8"/>
        <v>244.255</v>
      </c>
      <c r="M33" s="25">
        <v>0</v>
      </c>
      <c r="N33" s="25">
        <f t="shared" si="3"/>
        <v>619.11721941666667</v>
      </c>
      <c r="O33" s="25">
        <f t="shared" si="4"/>
        <v>15844.312985416665</v>
      </c>
      <c r="P33" s="51">
        <v>1358.8528800000001</v>
      </c>
      <c r="Q33" s="51">
        <v>1145.4828</v>
      </c>
      <c r="R33" s="51">
        <v>3062.85</v>
      </c>
      <c r="S33" s="51">
        <f t="shared" ref="S33:S36" si="13">O33*0.04</f>
        <v>633.77251941666668</v>
      </c>
      <c r="T33" s="26">
        <f t="shared" si="7"/>
        <v>6200.9581994166674</v>
      </c>
      <c r="U33" s="27"/>
      <c r="V33" s="28">
        <v>2000</v>
      </c>
      <c r="W33" s="27"/>
      <c r="X33" s="27"/>
      <c r="Y33" s="27"/>
      <c r="Z33" s="27"/>
      <c r="AA33" s="27"/>
      <c r="AB33" s="27"/>
      <c r="AC33" s="27"/>
      <c r="AD33" s="27"/>
      <c r="AE33" s="27"/>
      <c r="AF33" s="27"/>
      <c r="AG33" s="27"/>
      <c r="AH33" s="27"/>
      <c r="AI33" s="27"/>
      <c r="AJ33" s="27"/>
      <c r="AK33" s="27"/>
    </row>
    <row r="34" spans="1:37" ht="19.5" customHeight="1" x14ac:dyDescent="0.25">
      <c r="B34" s="36">
        <f t="shared" si="6"/>
        <v>33</v>
      </c>
      <c r="C34" s="37" t="s">
        <v>56</v>
      </c>
      <c r="D34" s="20" t="s">
        <v>25</v>
      </c>
      <c r="E34" s="21">
        <v>46054</v>
      </c>
      <c r="F34" s="21">
        <v>46387</v>
      </c>
      <c r="G34" s="22">
        <f t="shared" si="0"/>
        <v>0</v>
      </c>
      <c r="H34" s="23">
        <f>VLOOKUP(G34,Hoja5!$A$3:$B$38,2,0)</f>
        <v>12</v>
      </c>
      <c r="I34" s="48">
        <v>488.51</v>
      </c>
      <c r="J34" s="24">
        <f t="shared" si="1"/>
        <v>14858.813265999999</v>
      </c>
      <c r="K34" s="25">
        <f t="shared" si="2"/>
        <v>122.1275</v>
      </c>
      <c r="L34" s="25">
        <f t="shared" si="8"/>
        <v>244.255</v>
      </c>
      <c r="M34" s="25">
        <f t="shared" ref="M34:M41" si="14">I34*0.25*2</f>
        <v>244.255</v>
      </c>
      <c r="N34" s="25">
        <f t="shared" si="3"/>
        <v>619.11721941666667</v>
      </c>
      <c r="O34" s="25">
        <f t="shared" si="4"/>
        <v>16088.567985416665</v>
      </c>
      <c r="P34" s="51">
        <v>1358.8528800000001</v>
      </c>
      <c r="Q34" s="51">
        <v>1145.4828</v>
      </c>
      <c r="R34" s="51">
        <v>3062.85</v>
      </c>
      <c r="S34" s="51">
        <f t="shared" si="13"/>
        <v>643.54271941666661</v>
      </c>
      <c r="T34" s="26">
        <f t="shared" si="7"/>
        <v>6210.7283994166673</v>
      </c>
      <c r="U34" s="27"/>
      <c r="V34" s="28">
        <v>2000</v>
      </c>
      <c r="W34" s="27"/>
      <c r="X34" s="27"/>
      <c r="Y34" s="27"/>
      <c r="Z34" s="27"/>
      <c r="AA34" s="27"/>
      <c r="AB34" s="27"/>
      <c r="AC34" s="27"/>
      <c r="AD34" s="27"/>
      <c r="AE34" s="27"/>
      <c r="AF34" s="27"/>
      <c r="AG34" s="27"/>
      <c r="AH34" s="27"/>
      <c r="AI34" s="27"/>
      <c r="AJ34" s="27"/>
      <c r="AK34" s="27"/>
    </row>
    <row r="35" spans="1:37" ht="19.5" customHeight="1" x14ac:dyDescent="0.25">
      <c r="B35" s="36">
        <f t="shared" si="6"/>
        <v>34</v>
      </c>
      <c r="C35" s="37" t="s">
        <v>57</v>
      </c>
      <c r="D35" s="20" t="s">
        <v>25</v>
      </c>
      <c r="E35" s="21">
        <v>46063</v>
      </c>
      <c r="F35" s="21">
        <v>46387</v>
      </c>
      <c r="G35" s="22">
        <f t="shared" si="0"/>
        <v>0</v>
      </c>
      <c r="H35" s="23">
        <f>VLOOKUP(G35,Hoja5!$A$3:$B$38,2,0)</f>
        <v>12</v>
      </c>
      <c r="I35" s="48">
        <v>488.51</v>
      </c>
      <c r="J35" s="24">
        <f t="shared" si="1"/>
        <v>14858.813265999999</v>
      </c>
      <c r="K35" s="25">
        <f t="shared" si="2"/>
        <v>122.1275</v>
      </c>
      <c r="L35" s="25">
        <f t="shared" si="8"/>
        <v>244.255</v>
      </c>
      <c r="M35" s="25">
        <f t="shared" si="14"/>
        <v>244.255</v>
      </c>
      <c r="N35" s="25">
        <f t="shared" si="3"/>
        <v>619.11721941666667</v>
      </c>
      <c r="O35" s="25">
        <f t="shared" si="4"/>
        <v>16088.567985416665</v>
      </c>
      <c r="P35" s="51">
        <v>1358.8528800000001</v>
      </c>
      <c r="Q35" s="51">
        <v>1145.4828</v>
      </c>
      <c r="R35" s="51">
        <v>3062.85</v>
      </c>
      <c r="S35" s="51">
        <f t="shared" si="13"/>
        <v>643.54271941666661</v>
      </c>
      <c r="T35" s="26">
        <f t="shared" si="7"/>
        <v>6210.7283994166673</v>
      </c>
      <c r="U35" s="27"/>
      <c r="V35" s="28">
        <v>2000</v>
      </c>
      <c r="W35" s="27"/>
      <c r="X35" s="27"/>
      <c r="Y35" s="27"/>
      <c r="Z35" s="27"/>
      <c r="AA35" s="27"/>
      <c r="AB35" s="27"/>
      <c r="AC35" s="27"/>
      <c r="AD35" s="27"/>
      <c r="AE35" s="27"/>
      <c r="AF35" s="27"/>
      <c r="AG35" s="27"/>
      <c r="AH35" s="27"/>
      <c r="AI35" s="27"/>
      <c r="AJ35" s="27"/>
      <c r="AK35" s="27"/>
    </row>
    <row r="36" spans="1:37" ht="19.5" customHeight="1" x14ac:dyDescent="0.25">
      <c r="B36" s="36">
        <f t="shared" si="6"/>
        <v>35</v>
      </c>
      <c r="C36" s="37" t="s">
        <v>58</v>
      </c>
      <c r="D36" s="20" t="s">
        <v>25</v>
      </c>
      <c r="E36" s="21">
        <v>46062</v>
      </c>
      <c r="F36" s="21">
        <v>46387</v>
      </c>
      <c r="G36" s="22">
        <f t="shared" si="0"/>
        <v>0</v>
      </c>
      <c r="H36" s="23">
        <f>VLOOKUP(G36,Hoja5!$A$3:$B$38,2,0)</f>
        <v>12</v>
      </c>
      <c r="I36" s="48">
        <v>488.51</v>
      </c>
      <c r="J36" s="24">
        <f t="shared" si="1"/>
        <v>14858.813265999999</v>
      </c>
      <c r="K36" s="25">
        <f t="shared" si="2"/>
        <v>122.1275</v>
      </c>
      <c r="L36" s="25">
        <f t="shared" si="8"/>
        <v>244.255</v>
      </c>
      <c r="M36" s="25">
        <f t="shared" si="14"/>
        <v>244.255</v>
      </c>
      <c r="N36" s="25">
        <f t="shared" si="3"/>
        <v>619.11721941666667</v>
      </c>
      <c r="O36" s="25">
        <f t="shared" si="4"/>
        <v>16088.567985416665</v>
      </c>
      <c r="P36" s="51">
        <v>1358.8528800000001</v>
      </c>
      <c r="Q36" s="51">
        <v>1145.4828</v>
      </c>
      <c r="R36" s="51">
        <v>3062.85</v>
      </c>
      <c r="S36" s="51">
        <f t="shared" si="13"/>
        <v>643.54271941666661</v>
      </c>
      <c r="T36" s="26">
        <f t="shared" si="7"/>
        <v>6210.7283994166673</v>
      </c>
      <c r="U36" s="27"/>
      <c r="V36" s="28">
        <v>2000</v>
      </c>
      <c r="W36" s="27"/>
      <c r="X36" s="27"/>
      <c r="Y36" s="27"/>
      <c r="Z36" s="27"/>
      <c r="AA36" s="27"/>
      <c r="AB36" s="27"/>
      <c r="AC36" s="27"/>
      <c r="AD36" s="27"/>
      <c r="AE36" s="27"/>
      <c r="AF36" s="27"/>
      <c r="AG36" s="27"/>
      <c r="AH36" s="27"/>
      <c r="AI36" s="27"/>
      <c r="AJ36" s="27"/>
      <c r="AK36" s="27"/>
    </row>
    <row r="37" spans="1:37" ht="19.5" customHeight="1" x14ac:dyDescent="0.25">
      <c r="B37" s="36">
        <f t="shared" si="6"/>
        <v>36</v>
      </c>
      <c r="C37" s="37" t="s">
        <v>59</v>
      </c>
      <c r="D37" s="20" t="s">
        <v>25</v>
      </c>
      <c r="E37" s="21">
        <v>46082</v>
      </c>
      <c r="F37" s="21">
        <v>46387</v>
      </c>
      <c r="G37" s="22">
        <f t="shared" si="0"/>
        <v>0</v>
      </c>
      <c r="H37" s="23">
        <f>VLOOKUP(G37,Hoja5!$A$3:$B$38,2,0)</f>
        <v>12</v>
      </c>
      <c r="I37" s="48">
        <v>488.51</v>
      </c>
      <c r="J37" s="24">
        <f t="shared" si="1"/>
        <v>14858.813265999999</v>
      </c>
      <c r="K37" s="25">
        <f t="shared" si="2"/>
        <v>122.1275</v>
      </c>
      <c r="L37" s="25">
        <f t="shared" si="8"/>
        <v>244.255</v>
      </c>
      <c r="M37" s="25">
        <f t="shared" si="14"/>
        <v>244.255</v>
      </c>
      <c r="N37" s="25">
        <f t="shared" si="3"/>
        <v>619.11721941666667</v>
      </c>
      <c r="O37" s="25">
        <f t="shared" si="4"/>
        <v>16088.567985416665</v>
      </c>
      <c r="P37" s="51">
        <v>1358.8528800000001</v>
      </c>
      <c r="Q37" s="51">
        <v>1145.4828</v>
      </c>
      <c r="R37" s="51">
        <v>3062.85</v>
      </c>
      <c r="S37" s="51">
        <f t="shared" ref="S37:S44" si="15">O37*0.04</f>
        <v>643.54271941666661</v>
      </c>
      <c r="T37" s="26">
        <f t="shared" si="7"/>
        <v>6210.7283994166673</v>
      </c>
      <c r="U37" s="27"/>
      <c r="V37" s="28">
        <v>2000</v>
      </c>
      <c r="W37" s="27"/>
      <c r="X37" s="27"/>
      <c r="Y37" s="27"/>
      <c r="Z37" s="27"/>
      <c r="AA37" s="27"/>
      <c r="AB37" s="27"/>
      <c r="AC37" s="27"/>
      <c r="AD37" s="27"/>
      <c r="AE37" s="27"/>
      <c r="AF37" s="27"/>
      <c r="AG37" s="27"/>
      <c r="AH37" s="27"/>
      <c r="AI37" s="27"/>
      <c r="AJ37" s="27"/>
      <c r="AK37" s="27"/>
    </row>
    <row r="38" spans="1:37" ht="19.5" customHeight="1" x14ac:dyDescent="0.25">
      <c r="B38" s="36">
        <f t="shared" ref="B38:B46" si="16">B37+1</f>
        <v>37</v>
      </c>
      <c r="C38" s="37" t="s">
        <v>60</v>
      </c>
      <c r="D38" s="20" t="s">
        <v>25</v>
      </c>
      <c r="E38" s="21">
        <v>46174</v>
      </c>
      <c r="F38" s="21">
        <v>46387</v>
      </c>
      <c r="G38" s="22">
        <f t="shared" si="0"/>
        <v>0</v>
      </c>
      <c r="H38" s="23">
        <f>VLOOKUP(G38,Hoja5!$A$3:$B$38,2,0)</f>
        <v>12</v>
      </c>
      <c r="I38" s="48">
        <v>488.51</v>
      </c>
      <c r="J38" s="24">
        <f t="shared" si="1"/>
        <v>14858.813265999999</v>
      </c>
      <c r="K38" s="25">
        <f t="shared" si="2"/>
        <v>122.1275</v>
      </c>
      <c r="L38" s="25">
        <f t="shared" si="8"/>
        <v>244.255</v>
      </c>
      <c r="M38" s="25">
        <f t="shared" si="14"/>
        <v>244.255</v>
      </c>
      <c r="N38" s="25">
        <f t="shared" si="3"/>
        <v>619.11721941666667</v>
      </c>
      <c r="O38" s="25">
        <f t="shared" si="4"/>
        <v>16088.567985416665</v>
      </c>
      <c r="P38" s="51">
        <v>1358.8528800000001</v>
      </c>
      <c r="Q38" s="51">
        <v>1145.4828</v>
      </c>
      <c r="R38" s="51">
        <v>3062.85</v>
      </c>
      <c r="S38" s="51">
        <f t="shared" si="15"/>
        <v>643.54271941666661</v>
      </c>
      <c r="T38" s="26">
        <f t="shared" si="7"/>
        <v>6210.7283994166673</v>
      </c>
      <c r="U38" s="27"/>
      <c r="V38" s="28">
        <v>2000</v>
      </c>
      <c r="W38" s="27"/>
      <c r="X38" s="27"/>
      <c r="Y38" s="27"/>
      <c r="Z38" s="27"/>
      <c r="AA38" s="27"/>
      <c r="AB38" s="27"/>
      <c r="AC38" s="27"/>
      <c r="AD38" s="27"/>
      <c r="AE38" s="27"/>
      <c r="AF38" s="27"/>
      <c r="AG38" s="27"/>
      <c r="AH38" s="27"/>
      <c r="AI38" s="27"/>
      <c r="AJ38" s="27"/>
      <c r="AK38" s="27"/>
    </row>
    <row r="39" spans="1:37" ht="19.5" customHeight="1" x14ac:dyDescent="0.25">
      <c r="B39" s="36">
        <f t="shared" si="16"/>
        <v>38</v>
      </c>
      <c r="C39" s="37" t="s">
        <v>61</v>
      </c>
      <c r="D39" s="20" t="s">
        <v>25</v>
      </c>
      <c r="E39" s="21">
        <v>46204</v>
      </c>
      <c r="F39" s="21">
        <v>46387</v>
      </c>
      <c r="G39" s="22">
        <f t="shared" si="0"/>
        <v>0</v>
      </c>
      <c r="H39" s="23">
        <f>VLOOKUP(G39,Hoja5!$A$3:$B$38,2,0)</f>
        <v>12</v>
      </c>
      <c r="I39" s="48">
        <v>488.51</v>
      </c>
      <c r="J39" s="24">
        <f t="shared" si="1"/>
        <v>14858.813265999999</v>
      </c>
      <c r="K39" s="25">
        <f t="shared" si="2"/>
        <v>122.1275</v>
      </c>
      <c r="L39" s="25">
        <f t="shared" si="8"/>
        <v>244.255</v>
      </c>
      <c r="M39" s="25">
        <f t="shared" si="14"/>
        <v>244.255</v>
      </c>
      <c r="N39" s="25">
        <f t="shared" si="3"/>
        <v>619.11721941666667</v>
      </c>
      <c r="O39" s="25">
        <f t="shared" si="4"/>
        <v>16088.567985416665</v>
      </c>
      <c r="P39" s="51">
        <v>1358.8528800000001</v>
      </c>
      <c r="Q39" s="51">
        <v>1145.4828</v>
      </c>
      <c r="R39" s="51">
        <v>3062.85</v>
      </c>
      <c r="S39" s="51">
        <f t="shared" si="15"/>
        <v>643.54271941666661</v>
      </c>
      <c r="T39" s="26">
        <f t="shared" si="7"/>
        <v>6210.7283994166673</v>
      </c>
      <c r="U39" s="27"/>
      <c r="V39" s="28">
        <v>2000</v>
      </c>
      <c r="W39" s="27"/>
      <c r="X39" s="27"/>
      <c r="Y39" s="27"/>
      <c r="Z39" s="27"/>
      <c r="AA39" s="27"/>
      <c r="AB39" s="27"/>
      <c r="AC39" s="27"/>
      <c r="AD39" s="27"/>
      <c r="AE39" s="27"/>
      <c r="AF39" s="27"/>
      <c r="AG39" s="27"/>
      <c r="AH39" s="27"/>
      <c r="AI39" s="27"/>
      <c r="AJ39" s="27"/>
      <c r="AK39" s="27"/>
    </row>
    <row r="40" spans="1:37" ht="19.5" customHeight="1" x14ac:dyDescent="0.25">
      <c r="B40" s="36">
        <f t="shared" si="16"/>
        <v>39</v>
      </c>
      <c r="C40" s="37" t="s">
        <v>68</v>
      </c>
      <c r="D40" s="20" t="s">
        <v>25</v>
      </c>
      <c r="E40" s="21">
        <v>46238</v>
      </c>
      <c r="F40" s="21">
        <v>46387</v>
      </c>
      <c r="G40" s="22">
        <f t="shared" si="0"/>
        <v>0</v>
      </c>
      <c r="H40" s="23">
        <f>VLOOKUP(G40,Hoja5!$A$3:$B$38,2,0)</f>
        <v>12</v>
      </c>
      <c r="I40" s="48">
        <v>488.51</v>
      </c>
      <c r="J40" s="24">
        <f t="shared" si="1"/>
        <v>14858.813265999999</v>
      </c>
      <c r="K40" s="25">
        <f t="shared" si="2"/>
        <v>122.1275</v>
      </c>
      <c r="L40" s="25">
        <f t="shared" si="8"/>
        <v>244.255</v>
      </c>
      <c r="M40" s="25">
        <f t="shared" si="14"/>
        <v>244.255</v>
      </c>
      <c r="N40" s="25">
        <f t="shared" si="3"/>
        <v>619.11721941666667</v>
      </c>
      <c r="O40" s="25">
        <f t="shared" si="4"/>
        <v>16088.567985416665</v>
      </c>
      <c r="P40" s="51">
        <v>1358.8528800000001</v>
      </c>
      <c r="Q40" s="51">
        <v>1145.4828</v>
      </c>
      <c r="R40" s="51">
        <v>3062.85</v>
      </c>
      <c r="S40" s="51">
        <f t="shared" si="15"/>
        <v>643.54271941666661</v>
      </c>
      <c r="T40" s="26">
        <f t="shared" si="7"/>
        <v>6210.7283994166673</v>
      </c>
      <c r="U40" s="31"/>
      <c r="V40" s="28">
        <v>2000</v>
      </c>
      <c r="W40" s="31"/>
      <c r="X40" s="31"/>
      <c r="Y40" s="31"/>
      <c r="Z40" s="31"/>
      <c r="AA40" s="31"/>
      <c r="AB40" s="31"/>
      <c r="AC40" s="31"/>
      <c r="AD40" s="31"/>
      <c r="AE40" s="31"/>
      <c r="AF40" s="31"/>
      <c r="AG40" s="31"/>
      <c r="AH40" s="31"/>
      <c r="AI40" s="31"/>
      <c r="AJ40" s="31"/>
      <c r="AK40" s="31"/>
    </row>
    <row r="41" spans="1:37" ht="19.5" customHeight="1" x14ac:dyDescent="0.25">
      <c r="B41" s="36">
        <f t="shared" si="16"/>
        <v>40</v>
      </c>
      <c r="C41" s="37" t="s">
        <v>70</v>
      </c>
      <c r="D41" s="20" t="s">
        <v>25</v>
      </c>
      <c r="E41" s="21">
        <v>46239</v>
      </c>
      <c r="F41" s="21">
        <v>46387</v>
      </c>
      <c r="G41" s="22">
        <f t="shared" si="0"/>
        <v>0</v>
      </c>
      <c r="H41" s="23">
        <f>VLOOKUP(G41,Hoja5!$A$3:$B$38,2,0)</f>
        <v>12</v>
      </c>
      <c r="I41" s="48">
        <v>488.51</v>
      </c>
      <c r="J41" s="24">
        <f t="shared" si="1"/>
        <v>14858.813265999999</v>
      </c>
      <c r="K41" s="25">
        <f t="shared" si="2"/>
        <v>122.1275</v>
      </c>
      <c r="L41" s="25">
        <f t="shared" si="8"/>
        <v>244.255</v>
      </c>
      <c r="M41" s="25">
        <f t="shared" si="14"/>
        <v>244.255</v>
      </c>
      <c r="N41" s="25">
        <f t="shared" si="3"/>
        <v>619.11721941666667</v>
      </c>
      <c r="O41" s="25">
        <f t="shared" si="4"/>
        <v>16088.567985416665</v>
      </c>
      <c r="P41" s="51">
        <v>1358.8528800000001</v>
      </c>
      <c r="Q41" s="51">
        <v>1145.4828</v>
      </c>
      <c r="R41" s="51">
        <v>3062.85</v>
      </c>
      <c r="S41" s="51">
        <f t="shared" si="15"/>
        <v>643.54271941666661</v>
      </c>
      <c r="T41" s="26">
        <f t="shared" si="7"/>
        <v>6210.7283994166673</v>
      </c>
      <c r="U41" s="31"/>
      <c r="V41" s="28">
        <v>2000</v>
      </c>
      <c r="W41" s="31"/>
      <c r="X41" s="31"/>
      <c r="Y41" s="31"/>
      <c r="Z41" s="31"/>
      <c r="AA41" s="31"/>
      <c r="AB41" s="31"/>
      <c r="AC41" s="31"/>
      <c r="AD41" s="31"/>
      <c r="AE41" s="31"/>
      <c r="AF41" s="31"/>
      <c r="AG41" s="31"/>
      <c r="AH41" s="31"/>
      <c r="AI41" s="31"/>
      <c r="AJ41" s="31"/>
      <c r="AK41" s="31"/>
    </row>
    <row r="42" spans="1:37" ht="19.5" customHeight="1" x14ac:dyDescent="0.25">
      <c r="B42" s="36">
        <f t="shared" si="16"/>
        <v>41</v>
      </c>
      <c r="C42" s="37" t="s">
        <v>67</v>
      </c>
      <c r="D42" s="20" t="s">
        <v>25</v>
      </c>
      <c r="E42" s="21">
        <v>46235</v>
      </c>
      <c r="F42" s="21">
        <v>46387</v>
      </c>
      <c r="G42" s="22">
        <v>0</v>
      </c>
      <c r="H42" s="23">
        <f>VLOOKUP(G42,Hoja5!$A$3:$B$38,2,0)</f>
        <v>12</v>
      </c>
      <c r="I42" s="48">
        <v>488.51</v>
      </c>
      <c r="J42" s="24">
        <v>10512.889458</v>
      </c>
      <c r="K42" s="25">
        <v>86.407499999999985</v>
      </c>
      <c r="L42" s="25">
        <f t="shared" si="8"/>
        <v>244.255</v>
      </c>
      <c r="M42" s="25">
        <v>172.815</v>
      </c>
      <c r="N42" s="25">
        <v>438.03706074999997</v>
      </c>
      <c r="O42" s="25">
        <v>11473.25401875</v>
      </c>
      <c r="P42" s="51">
        <v>1358.8528800000001</v>
      </c>
      <c r="Q42" s="51">
        <v>1145.4828</v>
      </c>
      <c r="R42" s="51">
        <v>3062.85</v>
      </c>
      <c r="S42" s="51">
        <f t="shared" si="15"/>
        <v>458.93016075000003</v>
      </c>
      <c r="T42" s="26">
        <f t="shared" si="7"/>
        <v>6026.1158407500006</v>
      </c>
      <c r="U42" s="31"/>
      <c r="V42" s="28">
        <v>2000</v>
      </c>
      <c r="W42" s="31"/>
      <c r="X42" s="31"/>
      <c r="Y42" s="31"/>
      <c r="Z42" s="31"/>
      <c r="AA42" s="31"/>
      <c r="AB42" s="31"/>
      <c r="AC42" s="31"/>
      <c r="AD42" s="31"/>
      <c r="AE42" s="31"/>
      <c r="AF42" s="31"/>
      <c r="AG42" s="31"/>
      <c r="AH42" s="31"/>
      <c r="AI42" s="31"/>
      <c r="AJ42" s="31"/>
      <c r="AK42" s="31"/>
    </row>
    <row r="43" spans="1:37" s="30" customFormat="1" ht="19.5" customHeight="1" x14ac:dyDescent="0.25">
      <c r="A43"/>
      <c r="B43" s="19">
        <f t="shared" si="16"/>
        <v>42</v>
      </c>
      <c r="C43" s="20" t="s">
        <v>65</v>
      </c>
      <c r="D43" s="20" t="s">
        <v>74</v>
      </c>
      <c r="E43" s="21">
        <v>46235</v>
      </c>
      <c r="F43" s="21">
        <v>46387</v>
      </c>
      <c r="G43" s="22">
        <f>YEAR(F43)-YEAR(E43)</f>
        <v>0</v>
      </c>
      <c r="H43" s="23">
        <f>VLOOKUP(G43,Hoja5!$A$3:$B$38,2,0)</f>
        <v>12</v>
      </c>
      <c r="I43" s="24">
        <v>526.21</v>
      </c>
      <c r="J43" s="24">
        <f>I43*30.4166</f>
        <v>16005.519086</v>
      </c>
      <c r="K43" s="25">
        <f>I43*H43*0.25/12</f>
        <v>131.55250000000001</v>
      </c>
      <c r="L43" s="25">
        <f t="shared" si="8"/>
        <v>244.255</v>
      </c>
      <c r="M43" s="25">
        <f>I43*0.25*2</f>
        <v>263.10500000000002</v>
      </c>
      <c r="N43" s="25">
        <f>J43/2/12</f>
        <v>666.89662858333338</v>
      </c>
      <c r="O43" s="25">
        <f>+(J43+K43+L43+M43+N43+U43)</f>
        <v>17311.328214583333</v>
      </c>
      <c r="P43" s="26">
        <v>1894.2</v>
      </c>
      <c r="Q43" s="26">
        <v>1183.875</v>
      </c>
      <c r="R43" s="26">
        <v>3062.85</v>
      </c>
      <c r="S43" s="51">
        <f t="shared" si="15"/>
        <v>692.4531285833333</v>
      </c>
      <c r="T43" s="26">
        <f t="shared" si="7"/>
        <v>6833.3781285833329</v>
      </c>
      <c r="U43" s="27"/>
      <c r="V43" s="28">
        <v>2000</v>
      </c>
      <c r="W43" s="29"/>
      <c r="X43" s="29"/>
      <c r="Y43" s="29"/>
      <c r="Z43" s="29"/>
      <c r="AA43" s="29"/>
      <c r="AB43" s="29"/>
      <c r="AC43" s="29"/>
      <c r="AD43" s="29"/>
      <c r="AE43" s="29"/>
      <c r="AF43" s="29"/>
      <c r="AG43" s="29"/>
      <c r="AH43" s="29"/>
      <c r="AI43" s="29"/>
      <c r="AJ43" s="29"/>
      <c r="AK43" s="29"/>
    </row>
    <row r="44" spans="1:37" ht="19.5" customHeight="1" x14ac:dyDescent="0.25">
      <c r="B44" s="19">
        <f t="shared" si="16"/>
        <v>43</v>
      </c>
      <c r="C44" s="20" t="s">
        <v>38</v>
      </c>
      <c r="D44" s="20" t="s">
        <v>39</v>
      </c>
      <c r="E44" s="21">
        <v>45979</v>
      </c>
      <c r="F44" s="21">
        <v>46387</v>
      </c>
      <c r="G44" s="22">
        <f>YEAR(F44)-YEAR(E44)</f>
        <v>1</v>
      </c>
      <c r="H44" s="23">
        <f>VLOOKUP(G44,Hoja5!$A$3:$B$38,2,0)</f>
        <v>12</v>
      </c>
      <c r="I44" s="24">
        <v>576.96669999999995</v>
      </c>
      <c r="J44" s="24">
        <f>I44*30.4166</f>
        <v>17549.365327219999</v>
      </c>
      <c r="K44" s="25">
        <f>I44*H44*0.25/12</f>
        <v>144.24167499999999</v>
      </c>
      <c r="L44" s="25">
        <f t="shared" si="8"/>
        <v>263.10500000000002</v>
      </c>
      <c r="M44" s="25">
        <f>I44*0.25*2</f>
        <v>288.48334999999997</v>
      </c>
      <c r="N44" s="25">
        <f>J44/2/12</f>
        <v>731.22355530083325</v>
      </c>
      <c r="O44" s="25">
        <f>+(J44+K44+L44+M44+N44+U44)</f>
        <v>18976.418907520831</v>
      </c>
      <c r="P44" s="26">
        <v>1894.2</v>
      </c>
      <c r="Q44" s="26">
        <v>1183.875</v>
      </c>
      <c r="R44" s="26">
        <v>3062.85</v>
      </c>
      <c r="S44" s="51">
        <f t="shared" si="15"/>
        <v>759.05675630083329</v>
      </c>
      <c r="T44" s="26">
        <f t="shared" si="7"/>
        <v>6899.9817563008328</v>
      </c>
      <c r="U44" s="27"/>
      <c r="V44" s="28">
        <v>2000</v>
      </c>
      <c r="W44" s="31"/>
      <c r="X44" s="31"/>
      <c r="Y44" s="31"/>
      <c r="Z44" s="31"/>
      <c r="AA44" s="31"/>
      <c r="AB44" s="31"/>
      <c r="AC44" s="31"/>
      <c r="AD44" s="31"/>
      <c r="AE44" s="31"/>
      <c r="AF44" s="31"/>
      <c r="AG44" s="31"/>
      <c r="AH44" s="31"/>
      <c r="AI44" s="31"/>
      <c r="AJ44" s="31"/>
      <c r="AK44" s="31"/>
    </row>
    <row r="45" spans="1:37" ht="19.5" customHeight="1" x14ac:dyDescent="0.25">
      <c r="B45" s="19">
        <f t="shared" si="16"/>
        <v>44</v>
      </c>
      <c r="C45" s="20" t="s">
        <v>71</v>
      </c>
      <c r="D45" s="20" t="s">
        <v>71</v>
      </c>
      <c r="E45" s="21">
        <v>46022</v>
      </c>
      <c r="F45" s="21">
        <v>46387</v>
      </c>
      <c r="G45" s="22">
        <v>0</v>
      </c>
      <c r="H45" s="23">
        <f>VLOOKUP(G45,Hoja5!$A$3:$B$38,2,0)</f>
        <v>12</v>
      </c>
      <c r="I45" s="48">
        <v>488.51</v>
      </c>
      <c r="J45" s="24">
        <f>I45*30.4166</f>
        <v>14858.813265999999</v>
      </c>
      <c r="K45" s="25">
        <f>I45*H45*0.25/12</f>
        <v>122.1275</v>
      </c>
      <c r="L45" s="25">
        <f t="shared" si="8"/>
        <v>288.48334999999997</v>
      </c>
      <c r="M45" s="25">
        <f>I45*0.25*2</f>
        <v>244.255</v>
      </c>
      <c r="N45" s="25">
        <f>J45/2/12</f>
        <v>619.11721941666667</v>
      </c>
      <c r="O45" s="25">
        <f>+(J45+K45+L45+M45+N45+U45)</f>
        <v>16132.796335416666</v>
      </c>
      <c r="P45" s="51">
        <v>1358.8528800000001</v>
      </c>
      <c r="Q45" s="51">
        <v>1145.4828</v>
      </c>
      <c r="R45" s="51">
        <v>3062.85</v>
      </c>
      <c r="S45" s="51">
        <f t="shared" ref="S45:S46" si="17">O45*0.04</f>
        <v>645.31185341666662</v>
      </c>
      <c r="T45" s="26">
        <f t="shared" si="7"/>
        <v>6212.4975334166675</v>
      </c>
      <c r="U45" s="31"/>
      <c r="V45" s="28">
        <v>2000</v>
      </c>
      <c r="W45" s="31"/>
      <c r="X45" s="31"/>
      <c r="Y45" s="31"/>
      <c r="Z45" s="31"/>
      <c r="AA45" s="31"/>
      <c r="AB45" s="31"/>
      <c r="AC45" s="31"/>
      <c r="AD45" s="31"/>
      <c r="AE45" s="31"/>
      <c r="AF45" s="31"/>
      <c r="AG45" s="31"/>
      <c r="AH45" s="31"/>
      <c r="AI45" s="31"/>
      <c r="AJ45" s="31"/>
      <c r="AK45" s="31"/>
    </row>
    <row r="46" spans="1:37" ht="19.5" customHeight="1" x14ac:dyDescent="0.25">
      <c r="B46" s="19">
        <f t="shared" si="16"/>
        <v>45</v>
      </c>
      <c r="C46" s="20" t="s">
        <v>71</v>
      </c>
      <c r="D46" s="20" t="s">
        <v>71</v>
      </c>
      <c r="E46" s="21">
        <v>46022</v>
      </c>
      <c r="F46" s="21">
        <v>46387</v>
      </c>
      <c r="G46" s="22">
        <v>0</v>
      </c>
      <c r="H46" s="23">
        <f>VLOOKUP(G46,Hoja5!$A$3:$B$38,2,0)</f>
        <v>12</v>
      </c>
      <c r="I46" s="48">
        <v>488.51</v>
      </c>
      <c r="J46" s="24">
        <f>I46*30.4166</f>
        <v>14858.813265999999</v>
      </c>
      <c r="K46" s="25">
        <f>I46*H46*0.25/12</f>
        <v>122.1275</v>
      </c>
      <c r="L46" s="25">
        <f t="shared" si="8"/>
        <v>244.255</v>
      </c>
      <c r="M46" s="25">
        <f>I46*0.25*2</f>
        <v>244.255</v>
      </c>
      <c r="N46" s="25">
        <f>J46/2/12</f>
        <v>619.11721941666667</v>
      </c>
      <c r="O46" s="25">
        <f>+(J46+K46+L46+M46+N46+U46)</f>
        <v>16088.567985416665</v>
      </c>
      <c r="P46" s="51">
        <v>1358.8528800000001</v>
      </c>
      <c r="Q46" s="51">
        <v>1145.4828</v>
      </c>
      <c r="R46" s="51">
        <v>3062.85</v>
      </c>
      <c r="S46" s="51">
        <f t="shared" si="17"/>
        <v>643.54271941666661</v>
      </c>
      <c r="T46" s="26">
        <f t="shared" si="7"/>
        <v>6210.7283994166673</v>
      </c>
      <c r="U46" s="31"/>
      <c r="V46" s="28">
        <v>2000</v>
      </c>
      <c r="W46" s="31"/>
      <c r="X46" s="31"/>
      <c r="Y46" s="31"/>
      <c r="Z46" s="31"/>
      <c r="AA46" s="31"/>
      <c r="AB46" s="31"/>
      <c r="AC46" s="31"/>
      <c r="AD46" s="31"/>
      <c r="AE46" s="31"/>
      <c r="AF46" s="31"/>
      <c r="AG46" s="31"/>
      <c r="AH46" s="31"/>
      <c r="AI46" s="31"/>
      <c r="AJ46" s="31"/>
      <c r="AK46" s="31"/>
    </row>
    <row r="47" spans="1:37" x14ac:dyDescent="0.25">
      <c r="I47" s="42">
        <f>SUM(I2:I46)</f>
        <v>24338.258899999979</v>
      </c>
      <c r="J47" s="43">
        <f t="shared" ref="J47:O47" si="18">SUM(J2:J46)</f>
        <v>735941.16184974019</v>
      </c>
      <c r="K47" s="43">
        <f t="shared" si="18"/>
        <v>7380.3605333333298</v>
      </c>
      <c r="L47" s="43">
        <f t="shared" si="18"/>
        <v>11924.87444999999</v>
      </c>
      <c r="M47" s="43">
        <f t="shared" si="18"/>
        <v>10713.655299999997</v>
      </c>
      <c r="N47" s="43">
        <f t="shared" si="18"/>
        <v>30664.215077072531</v>
      </c>
      <c r="O47" s="43">
        <f t="shared" si="18"/>
        <v>796643.11721014534</v>
      </c>
      <c r="T47" s="52">
        <f>SUM(T2:T46)</f>
        <v>318389.30191715574</v>
      </c>
      <c r="V47" s="43">
        <f>SUM(V2:V46)</f>
        <v>99000</v>
      </c>
    </row>
    <row r="49" spans="3:4" ht="15.75" thickBot="1" x14ac:dyDescent="0.3"/>
    <row r="50" spans="3:4" ht="15.75" thickBot="1" x14ac:dyDescent="0.3">
      <c r="C50" s="44"/>
      <c r="D50" s="47" t="s">
        <v>78</v>
      </c>
    </row>
    <row r="51" spans="3:4" ht="15.75" thickBot="1" x14ac:dyDescent="0.3">
      <c r="C51" s="45"/>
      <c r="D51" s="47" t="s">
        <v>79</v>
      </c>
    </row>
    <row r="52" spans="3:4" ht="15.75" thickBot="1" x14ac:dyDescent="0.3">
      <c r="C52" s="46"/>
      <c r="D52" s="47" t="s">
        <v>77</v>
      </c>
    </row>
  </sheetData>
  <conditionalFormatting sqref="C2:T46">
    <cfRule type="cellIs" dxfId="1" priority="1" operator="lessThan">
      <formula>0</formula>
    </cfRule>
  </conditionalFormatting>
  <conditionalFormatting sqref="V2:V46">
    <cfRule type="cellIs" dxfId="0" priority="26" operator="lessThan">
      <formula>0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150720-224A-486C-BA67-785D7919DB82}">
  <dimension ref="A1:B38"/>
  <sheetViews>
    <sheetView topLeftCell="A7" workbookViewId="0">
      <selection activeCell="E26" sqref="E26"/>
    </sheetView>
  </sheetViews>
  <sheetFormatPr baseColWidth="10" defaultRowHeight="15" x14ac:dyDescent="0.25"/>
  <cols>
    <col min="2" max="2" width="24.140625" customWidth="1"/>
  </cols>
  <sheetData>
    <row r="1" spans="1:2" x14ac:dyDescent="0.25">
      <c r="A1" s="53" t="s">
        <v>84</v>
      </c>
      <c r="B1" s="53"/>
    </row>
    <row r="2" spans="1:2" x14ac:dyDescent="0.25">
      <c r="A2" s="53" t="s">
        <v>85</v>
      </c>
      <c r="B2" s="53" t="s">
        <v>86</v>
      </c>
    </row>
    <row r="3" spans="1:2" x14ac:dyDescent="0.25">
      <c r="A3" s="53">
        <v>0</v>
      </c>
      <c r="B3" s="53">
        <v>12</v>
      </c>
    </row>
    <row r="4" spans="1:2" x14ac:dyDescent="0.25">
      <c r="A4" s="53">
        <v>1</v>
      </c>
      <c r="B4" s="53">
        <v>12</v>
      </c>
    </row>
    <row r="5" spans="1:2" x14ac:dyDescent="0.25">
      <c r="A5" s="53">
        <v>2</v>
      </c>
      <c r="B5" s="53">
        <v>14</v>
      </c>
    </row>
    <row r="6" spans="1:2" x14ac:dyDescent="0.25">
      <c r="A6" s="53">
        <v>3</v>
      </c>
      <c r="B6" s="53">
        <v>16</v>
      </c>
    </row>
    <row r="7" spans="1:2" x14ac:dyDescent="0.25">
      <c r="A7" s="53">
        <v>4</v>
      </c>
      <c r="B7" s="53">
        <v>18</v>
      </c>
    </row>
    <row r="8" spans="1:2" x14ac:dyDescent="0.25">
      <c r="A8" s="53">
        <v>5</v>
      </c>
      <c r="B8" s="53">
        <v>20</v>
      </c>
    </row>
    <row r="9" spans="1:2" x14ac:dyDescent="0.25">
      <c r="A9" s="54">
        <v>6</v>
      </c>
      <c r="B9" s="54">
        <v>22</v>
      </c>
    </row>
    <row r="10" spans="1:2" x14ac:dyDescent="0.25">
      <c r="A10" s="54">
        <v>7</v>
      </c>
      <c r="B10" s="54">
        <v>22</v>
      </c>
    </row>
    <row r="11" spans="1:2" x14ac:dyDescent="0.25">
      <c r="A11" s="54">
        <v>8</v>
      </c>
      <c r="B11" s="54">
        <v>22</v>
      </c>
    </row>
    <row r="12" spans="1:2" x14ac:dyDescent="0.25">
      <c r="A12" s="54">
        <v>9</v>
      </c>
      <c r="B12" s="54">
        <v>22</v>
      </c>
    </row>
    <row r="13" spans="1:2" x14ac:dyDescent="0.25">
      <c r="A13" s="54">
        <v>10</v>
      </c>
      <c r="B13" s="54">
        <v>22</v>
      </c>
    </row>
    <row r="14" spans="1:2" x14ac:dyDescent="0.25">
      <c r="A14" s="55">
        <v>11</v>
      </c>
      <c r="B14" s="55">
        <v>24</v>
      </c>
    </row>
    <row r="15" spans="1:2" x14ac:dyDescent="0.25">
      <c r="A15" s="55">
        <v>12</v>
      </c>
      <c r="B15" s="55">
        <v>24</v>
      </c>
    </row>
    <row r="16" spans="1:2" x14ac:dyDescent="0.25">
      <c r="A16" s="55">
        <v>13</v>
      </c>
      <c r="B16" s="55">
        <v>24</v>
      </c>
    </row>
    <row r="17" spans="1:2" x14ac:dyDescent="0.25">
      <c r="A17" s="55">
        <v>14</v>
      </c>
      <c r="B17" s="55">
        <v>24</v>
      </c>
    </row>
    <row r="18" spans="1:2" x14ac:dyDescent="0.25">
      <c r="A18" s="55">
        <v>15</v>
      </c>
      <c r="B18" s="55">
        <v>24</v>
      </c>
    </row>
    <row r="19" spans="1:2" x14ac:dyDescent="0.25">
      <c r="A19" s="56">
        <v>16</v>
      </c>
      <c r="B19" s="56">
        <v>26</v>
      </c>
    </row>
    <row r="20" spans="1:2" x14ac:dyDescent="0.25">
      <c r="A20" s="56">
        <v>17</v>
      </c>
      <c r="B20" s="56">
        <v>26</v>
      </c>
    </row>
    <row r="21" spans="1:2" x14ac:dyDescent="0.25">
      <c r="A21" s="56">
        <v>18</v>
      </c>
      <c r="B21" s="56">
        <v>26</v>
      </c>
    </row>
    <row r="22" spans="1:2" x14ac:dyDescent="0.25">
      <c r="A22" s="56">
        <v>19</v>
      </c>
      <c r="B22" s="56">
        <v>26</v>
      </c>
    </row>
    <row r="23" spans="1:2" x14ac:dyDescent="0.25">
      <c r="A23" s="56">
        <v>20</v>
      </c>
      <c r="B23" s="56">
        <v>26</v>
      </c>
    </row>
    <row r="24" spans="1:2" x14ac:dyDescent="0.25">
      <c r="A24" s="57">
        <v>21</v>
      </c>
      <c r="B24" s="57">
        <v>28</v>
      </c>
    </row>
    <row r="25" spans="1:2" x14ac:dyDescent="0.25">
      <c r="A25" s="57">
        <v>22</v>
      </c>
      <c r="B25" s="57">
        <v>28</v>
      </c>
    </row>
    <row r="26" spans="1:2" x14ac:dyDescent="0.25">
      <c r="A26" s="57">
        <v>23</v>
      </c>
      <c r="B26" s="57">
        <v>28</v>
      </c>
    </row>
    <row r="27" spans="1:2" x14ac:dyDescent="0.25">
      <c r="A27" s="57">
        <v>24</v>
      </c>
      <c r="B27" s="57">
        <v>28</v>
      </c>
    </row>
    <row r="28" spans="1:2" x14ac:dyDescent="0.25">
      <c r="A28" s="57">
        <v>25</v>
      </c>
      <c r="B28" s="57">
        <v>28</v>
      </c>
    </row>
    <row r="29" spans="1:2" x14ac:dyDescent="0.25">
      <c r="A29" s="58">
        <v>26</v>
      </c>
      <c r="B29" s="58">
        <v>30</v>
      </c>
    </row>
    <row r="30" spans="1:2" x14ac:dyDescent="0.25">
      <c r="A30" s="58">
        <v>27</v>
      </c>
      <c r="B30" s="58">
        <v>30</v>
      </c>
    </row>
    <row r="31" spans="1:2" x14ac:dyDescent="0.25">
      <c r="A31" s="58">
        <v>28</v>
      </c>
      <c r="B31" s="58">
        <v>30</v>
      </c>
    </row>
    <row r="32" spans="1:2" x14ac:dyDescent="0.25">
      <c r="A32" s="58">
        <v>29</v>
      </c>
      <c r="B32" s="58">
        <v>30</v>
      </c>
    </row>
    <row r="33" spans="1:2" x14ac:dyDescent="0.25">
      <c r="A33" s="58">
        <v>30</v>
      </c>
      <c r="B33" s="58">
        <v>30</v>
      </c>
    </row>
    <row r="34" spans="1:2" x14ac:dyDescent="0.25">
      <c r="A34" s="59">
        <v>31</v>
      </c>
      <c r="B34" s="59">
        <v>32</v>
      </c>
    </row>
    <row r="35" spans="1:2" x14ac:dyDescent="0.25">
      <c r="A35" s="59">
        <v>32</v>
      </c>
      <c r="B35" s="59">
        <v>32</v>
      </c>
    </row>
    <row r="36" spans="1:2" x14ac:dyDescent="0.25">
      <c r="A36" s="59">
        <v>33</v>
      </c>
      <c r="B36" s="59">
        <v>32</v>
      </c>
    </row>
    <row r="37" spans="1:2" x14ac:dyDescent="0.25">
      <c r="A37" s="59">
        <v>34</v>
      </c>
      <c r="B37" s="59">
        <v>32</v>
      </c>
    </row>
    <row r="38" spans="1:2" x14ac:dyDescent="0.25">
      <c r="A38" s="59">
        <v>35</v>
      </c>
      <c r="B38" s="59">
        <v>32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569B08-312C-4EDC-87AB-10CE6C08811A}">
  <dimension ref="A1:C70"/>
  <sheetViews>
    <sheetView topLeftCell="A34" workbookViewId="0"/>
  </sheetViews>
  <sheetFormatPr baseColWidth="10" defaultRowHeight="15" x14ac:dyDescent="0.25"/>
  <cols>
    <col min="1" max="1" width="24.7109375" customWidth="1"/>
    <col min="2" max="2" width="57.140625" customWidth="1"/>
    <col min="3" max="3" width="61" customWidth="1"/>
  </cols>
  <sheetData>
    <row r="1" spans="1:3" ht="93.75" x14ac:dyDescent="0.25">
      <c r="A1" s="61" t="s">
        <v>87</v>
      </c>
      <c r="B1" s="62"/>
      <c r="C1" s="62"/>
    </row>
    <row r="2" spans="1:3" ht="75" x14ac:dyDescent="0.25">
      <c r="A2" s="63" t="s">
        <v>88</v>
      </c>
      <c r="B2" s="62"/>
      <c r="C2" s="62"/>
    </row>
    <row r="3" spans="1:3" x14ac:dyDescent="0.25">
      <c r="A3" s="62"/>
      <c r="B3" s="62"/>
      <c r="C3" s="62"/>
    </row>
    <row r="4" spans="1:3" ht="31.5" x14ac:dyDescent="0.25">
      <c r="A4" s="64" t="s">
        <v>89</v>
      </c>
      <c r="B4" s="62"/>
      <c r="C4" s="62"/>
    </row>
    <row r="5" spans="1:3" ht="60" x14ac:dyDescent="0.25">
      <c r="A5" s="62" t="s">
        <v>90</v>
      </c>
      <c r="B5" s="62"/>
      <c r="C5" s="62"/>
    </row>
    <row r="6" spans="1:3" ht="60" x14ac:dyDescent="0.25">
      <c r="A6" s="62" t="s">
        <v>91</v>
      </c>
      <c r="B6" s="62"/>
      <c r="C6" s="62"/>
    </row>
    <row r="7" spans="1:3" ht="135" x14ac:dyDescent="0.25">
      <c r="A7" s="62" t="s">
        <v>92</v>
      </c>
      <c r="B7" s="62"/>
      <c r="C7" s="62"/>
    </row>
    <row r="8" spans="1:3" ht="165" x14ac:dyDescent="0.25">
      <c r="A8" s="65" t="s">
        <v>93</v>
      </c>
      <c r="B8" s="62"/>
      <c r="C8" s="62"/>
    </row>
    <row r="9" spans="1:3" x14ac:dyDescent="0.25">
      <c r="A9" s="62"/>
      <c r="B9" s="62"/>
      <c r="C9" s="62"/>
    </row>
    <row r="10" spans="1:3" ht="31.5" x14ac:dyDescent="0.25">
      <c r="A10" s="64" t="s">
        <v>94</v>
      </c>
      <c r="B10" s="62"/>
      <c r="C10" s="62"/>
    </row>
    <row r="11" spans="1:3" x14ac:dyDescent="0.25">
      <c r="A11" s="66" t="s">
        <v>95</v>
      </c>
      <c r="B11" s="66" t="s">
        <v>96</v>
      </c>
      <c r="C11" s="66" t="s">
        <v>97</v>
      </c>
    </row>
    <row r="12" spans="1:3" x14ac:dyDescent="0.25">
      <c r="A12" s="62" t="s">
        <v>98</v>
      </c>
      <c r="B12" s="62" t="s">
        <v>1</v>
      </c>
      <c r="C12" s="62" t="s">
        <v>99</v>
      </c>
    </row>
    <row r="13" spans="1:3" x14ac:dyDescent="0.25">
      <c r="A13" s="62" t="s">
        <v>100</v>
      </c>
      <c r="B13" s="62" t="s">
        <v>101</v>
      </c>
      <c r="C13" s="62" t="s">
        <v>102</v>
      </c>
    </row>
    <row r="14" spans="1:3" x14ac:dyDescent="0.25">
      <c r="A14" s="62" t="s">
        <v>103</v>
      </c>
      <c r="B14" s="62" t="s">
        <v>3</v>
      </c>
      <c r="C14" s="62" t="s">
        <v>102</v>
      </c>
    </row>
    <row r="15" spans="1:3" x14ac:dyDescent="0.25">
      <c r="A15" s="62" t="s">
        <v>104</v>
      </c>
      <c r="B15" s="62" t="s">
        <v>105</v>
      </c>
      <c r="C15" s="62" t="s">
        <v>106</v>
      </c>
    </row>
    <row r="16" spans="1:3" x14ac:dyDescent="0.25">
      <c r="A16" s="62" t="s">
        <v>107</v>
      </c>
      <c r="B16" s="62" t="s">
        <v>108</v>
      </c>
      <c r="C16" s="62" t="s">
        <v>109</v>
      </c>
    </row>
    <row r="17" spans="1:3" x14ac:dyDescent="0.25">
      <c r="A17" s="62" t="s">
        <v>110</v>
      </c>
      <c r="B17" s="62" t="s">
        <v>111</v>
      </c>
      <c r="C17" s="67" t="s">
        <v>112</v>
      </c>
    </row>
    <row r="18" spans="1:3" x14ac:dyDescent="0.25">
      <c r="A18" s="62" t="s">
        <v>113</v>
      </c>
      <c r="B18" s="62" t="s">
        <v>114</v>
      </c>
      <c r="C18" s="67" t="s">
        <v>112</v>
      </c>
    </row>
    <row r="19" spans="1:3" ht="30" x14ac:dyDescent="0.25">
      <c r="A19" s="62" t="s">
        <v>115</v>
      </c>
      <c r="B19" s="62" t="s">
        <v>116</v>
      </c>
      <c r="C19" s="68" t="s">
        <v>117</v>
      </c>
    </row>
    <row r="20" spans="1:3" x14ac:dyDescent="0.25">
      <c r="A20" s="62" t="s">
        <v>118</v>
      </c>
      <c r="B20" s="62" t="s">
        <v>119</v>
      </c>
      <c r="C20" s="67" t="s">
        <v>112</v>
      </c>
    </row>
    <row r="21" spans="1:3" x14ac:dyDescent="0.25">
      <c r="A21" s="62" t="s">
        <v>120</v>
      </c>
      <c r="B21" s="62" t="s">
        <v>121</v>
      </c>
      <c r="C21" s="67" t="s">
        <v>122</v>
      </c>
    </row>
    <row r="22" spans="1:3" x14ac:dyDescent="0.25">
      <c r="A22" s="62" t="s">
        <v>123</v>
      </c>
      <c r="B22" s="62" t="s">
        <v>16</v>
      </c>
      <c r="C22" s="67" t="s">
        <v>122</v>
      </c>
    </row>
    <row r="23" spans="1:3" x14ac:dyDescent="0.25">
      <c r="A23" s="62" t="s">
        <v>124</v>
      </c>
      <c r="B23" s="62" t="s">
        <v>125</v>
      </c>
      <c r="C23" s="67" t="s">
        <v>122</v>
      </c>
    </row>
    <row r="24" spans="1:3" x14ac:dyDescent="0.25">
      <c r="A24" s="62" t="s">
        <v>126</v>
      </c>
      <c r="B24" s="62" t="s">
        <v>127</v>
      </c>
      <c r="C24" s="67" t="s">
        <v>112</v>
      </c>
    </row>
    <row r="25" spans="1:3" x14ac:dyDescent="0.25">
      <c r="A25" s="62" t="s">
        <v>128</v>
      </c>
      <c r="B25" s="62" t="s">
        <v>129</v>
      </c>
      <c r="C25" s="67" t="s">
        <v>112</v>
      </c>
    </row>
    <row r="26" spans="1:3" x14ac:dyDescent="0.25">
      <c r="A26" s="62" t="s">
        <v>130</v>
      </c>
      <c r="B26" s="62" t="s">
        <v>131</v>
      </c>
      <c r="C26" s="67" t="s">
        <v>132</v>
      </c>
    </row>
    <row r="27" spans="1:3" x14ac:dyDescent="0.25">
      <c r="A27" s="62" t="s">
        <v>133</v>
      </c>
      <c r="B27" s="62" t="s">
        <v>134</v>
      </c>
      <c r="C27" s="67" t="s">
        <v>135</v>
      </c>
    </row>
    <row r="28" spans="1:3" x14ac:dyDescent="0.25">
      <c r="A28" s="62" t="s">
        <v>136</v>
      </c>
      <c r="B28" s="62" t="s">
        <v>137</v>
      </c>
      <c r="C28" s="67" t="s">
        <v>138</v>
      </c>
    </row>
    <row r="29" spans="1:3" x14ac:dyDescent="0.25">
      <c r="A29" s="62"/>
      <c r="B29" s="62"/>
      <c r="C29" s="62"/>
    </row>
    <row r="30" spans="1:3" ht="47.25" x14ac:dyDescent="0.25">
      <c r="A30" s="64" t="s">
        <v>139</v>
      </c>
      <c r="B30" s="62"/>
      <c r="C30" s="62"/>
    </row>
    <row r="31" spans="1:3" x14ac:dyDescent="0.25">
      <c r="A31" s="66" t="s">
        <v>95</v>
      </c>
      <c r="B31" s="66" t="s">
        <v>140</v>
      </c>
      <c r="C31" s="66" t="s">
        <v>141</v>
      </c>
    </row>
    <row r="32" spans="1:3" ht="45" x14ac:dyDescent="0.25">
      <c r="A32" s="62" t="s">
        <v>142</v>
      </c>
      <c r="B32" s="69" t="s">
        <v>143</v>
      </c>
      <c r="C32" s="70" t="s">
        <v>144</v>
      </c>
    </row>
    <row r="33" spans="1:3" x14ac:dyDescent="0.25">
      <c r="A33" s="62" t="s">
        <v>145</v>
      </c>
      <c r="B33" s="69" t="s">
        <v>146</v>
      </c>
      <c r="C33" s="62" t="s">
        <v>147</v>
      </c>
    </row>
    <row r="34" spans="1:3" ht="30" x14ac:dyDescent="0.25">
      <c r="A34" s="62" t="s">
        <v>148</v>
      </c>
      <c r="B34" s="69" t="s">
        <v>149</v>
      </c>
      <c r="C34" s="62" t="s">
        <v>150</v>
      </c>
    </row>
    <row r="35" spans="1:3" ht="30" x14ac:dyDescent="0.25">
      <c r="A35" s="62" t="s">
        <v>151</v>
      </c>
      <c r="B35" s="69" t="s">
        <v>152</v>
      </c>
      <c r="C35" s="62" t="s">
        <v>153</v>
      </c>
    </row>
    <row r="36" spans="1:3" ht="45" x14ac:dyDescent="0.25">
      <c r="A36" s="62" t="s">
        <v>154</v>
      </c>
      <c r="B36" s="69" t="s">
        <v>155</v>
      </c>
      <c r="C36" s="70" t="s">
        <v>156</v>
      </c>
    </row>
    <row r="37" spans="1:3" x14ac:dyDescent="0.25">
      <c r="A37" s="62" t="s">
        <v>157</v>
      </c>
      <c r="B37" s="69" t="s">
        <v>158</v>
      </c>
      <c r="C37" s="62" t="s">
        <v>159</v>
      </c>
    </row>
    <row r="38" spans="1:3" ht="30" x14ac:dyDescent="0.25">
      <c r="A38" s="62" t="s">
        <v>160</v>
      </c>
      <c r="B38" s="69" t="s">
        <v>161</v>
      </c>
      <c r="C38" s="62" t="s">
        <v>162</v>
      </c>
    </row>
    <row r="39" spans="1:3" ht="30" x14ac:dyDescent="0.25">
      <c r="A39" s="62" t="s">
        <v>163</v>
      </c>
      <c r="B39" s="69" t="s">
        <v>164</v>
      </c>
      <c r="C39" s="62" t="s">
        <v>165</v>
      </c>
    </row>
    <row r="40" spans="1:3" ht="30" x14ac:dyDescent="0.25">
      <c r="A40" s="62" t="s">
        <v>166</v>
      </c>
      <c r="B40" s="69" t="s">
        <v>167</v>
      </c>
      <c r="C40" s="70" t="s">
        <v>168</v>
      </c>
    </row>
    <row r="41" spans="1:3" x14ac:dyDescent="0.25">
      <c r="A41" s="62" t="s">
        <v>169</v>
      </c>
      <c r="B41" s="69" t="s">
        <v>170</v>
      </c>
      <c r="C41" s="62" t="s">
        <v>171</v>
      </c>
    </row>
    <row r="42" spans="1:3" x14ac:dyDescent="0.25">
      <c r="A42" s="62" t="s">
        <v>172</v>
      </c>
      <c r="B42" s="69" t="s">
        <v>173</v>
      </c>
      <c r="C42" s="62" t="s">
        <v>174</v>
      </c>
    </row>
    <row r="43" spans="1:3" x14ac:dyDescent="0.25">
      <c r="A43" s="62"/>
      <c r="B43" s="62"/>
      <c r="C43" s="62"/>
    </row>
    <row r="44" spans="1:3" ht="63" x14ac:dyDescent="0.25">
      <c r="A44" s="64" t="s">
        <v>175</v>
      </c>
      <c r="B44" s="62"/>
      <c r="C44" s="62"/>
    </row>
    <row r="45" spans="1:3" x14ac:dyDescent="0.25">
      <c r="A45" s="66" t="s">
        <v>176</v>
      </c>
      <c r="B45" s="66" t="s">
        <v>177</v>
      </c>
      <c r="C45" s="62"/>
    </row>
    <row r="46" spans="1:3" x14ac:dyDescent="0.25">
      <c r="A46" s="62">
        <v>30.416599999999999</v>
      </c>
      <c r="B46" s="62" t="s">
        <v>178</v>
      </c>
      <c r="C46" s="62"/>
    </row>
    <row r="47" spans="1:3" x14ac:dyDescent="0.25">
      <c r="A47" s="62">
        <v>0.25</v>
      </c>
      <c r="B47" s="62" t="s">
        <v>179</v>
      </c>
      <c r="C47" s="62"/>
    </row>
    <row r="48" spans="1:3" x14ac:dyDescent="0.25">
      <c r="A48" s="62" t="s">
        <v>180</v>
      </c>
      <c r="B48" s="62" t="s">
        <v>181</v>
      </c>
      <c r="C48" s="62"/>
    </row>
    <row r="49" spans="1:3" x14ac:dyDescent="0.25">
      <c r="A49" s="62" t="s">
        <v>182</v>
      </c>
      <c r="B49" s="62" t="s">
        <v>183</v>
      </c>
      <c r="C49" s="62"/>
    </row>
    <row r="50" spans="1:3" x14ac:dyDescent="0.25">
      <c r="A50" s="62">
        <v>0.04</v>
      </c>
      <c r="B50" s="62" t="s">
        <v>184</v>
      </c>
      <c r="C50" s="62"/>
    </row>
    <row r="51" spans="1:3" x14ac:dyDescent="0.25">
      <c r="A51" s="62"/>
      <c r="B51" s="62"/>
      <c r="C51" s="62"/>
    </row>
    <row r="52" spans="1:3" ht="45" x14ac:dyDescent="0.25">
      <c r="A52" s="71" t="s">
        <v>185</v>
      </c>
      <c r="B52" s="62"/>
      <c r="C52" s="62"/>
    </row>
    <row r="53" spans="1:3" x14ac:dyDescent="0.25">
      <c r="A53" s="62" t="s">
        <v>186</v>
      </c>
      <c r="B53" s="62" t="s">
        <v>187</v>
      </c>
      <c r="C53" s="62"/>
    </row>
    <row r="54" spans="1:3" x14ac:dyDescent="0.25">
      <c r="A54" s="62" t="s">
        <v>188</v>
      </c>
      <c r="B54" s="62" t="s">
        <v>189</v>
      </c>
      <c r="C54" s="62"/>
    </row>
    <row r="55" spans="1:3" x14ac:dyDescent="0.25">
      <c r="A55" s="62" t="s">
        <v>190</v>
      </c>
      <c r="B55" s="62" t="s">
        <v>191</v>
      </c>
      <c r="C55" s="62"/>
    </row>
    <row r="56" spans="1:3" x14ac:dyDescent="0.25">
      <c r="A56" s="62" t="s">
        <v>192</v>
      </c>
      <c r="B56" s="62" t="s">
        <v>193</v>
      </c>
      <c r="C56" s="62"/>
    </row>
    <row r="57" spans="1:3" x14ac:dyDescent="0.25">
      <c r="A57" s="62" t="s">
        <v>194</v>
      </c>
      <c r="B57" s="62" t="s">
        <v>195</v>
      </c>
      <c r="C57" s="62"/>
    </row>
    <row r="58" spans="1:3" x14ac:dyDescent="0.25">
      <c r="A58" s="62" t="s">
        <v>196</v>
      </c>
      <c r="B58" s="62" t="s">
        <v>197</v>
      </c>
      <c r="C58" s="62"/>
    </row>
    <row r="59" spans="1:3" x14ac:dyDescent="0.25">
      <c r="A59" s="62" t="s">
        <v>198</v>
      </c>
      <c r="B59" s="62" t="s">
        <v>199</v>
      </c>
      <c r="C59" s="62"/>
    </row>
    <row r="60" spans="1:3" x14ac:dyDescent="0.25">
      <c r="A60" s="62" t="s">
        <v>200</v>
      </c>
      <c r="B60" s="62" t="s">
        <v>201</v>
      </c>
      <c r="C60" s="62"/>
    </row>
    <row r="61" spans="1:3" x14ac:dyDescent="0.25">
      <c r="A61" s="62" t="s">
        <v>202</v>
      </c>
      <c r="B61" s="62" t="s">
        <v>203</v>
      </c>
      <c r="C61" s="62"/>
    </row>
    <row r="62" spans="1:3" x14ac:dyDescent="0.25">
      <c r="A62" s="62" t="s">
        <v>204</v>
      </c>
      <c r="B62" s="62" t="s">
        <v>205</v>
      </c>
      <c r="C62" s="62"/>
    </row>
    <row r="63" spans="1:3" x14ac:dyDescent="0.25">
      <c r="A63" s="62" t="s">
        <v>206</v>
      </c>
      <c r="B63" s="62" t="s">
        <v>207</v>
      </c>
      <c r="C63" s="62"/>
    </row>
    <row r="64" spans="1:3" x14ac:dyDescent="0.25">
      <c r="A64" s="62"/>
      <c r="B64" s="62"/>
      <c r="C64" s="62"/>
    </row>
    <row r="65" spans="1:3" ht="31.5" x14ac:dyDescent="0.25">
      <c r="A65" s="64" t="s">
        <v>208</v>
      </c>
      <c r="B65" s="62"/>
      <c r="C65" s="62"/>
    </row>
    <row r="66" spans="1:3" ht="105" x14ac:dyDescent="0.25">
      <c r="A66" s="62" t="s">
        <v>209</v>
      </c>
      <c r="B66" s="62"/>
      <c r="C66" s="62"/>
    </row>
    <row r="67" spans="1:3" ht="75" x14ac:dyDescent="0.25">
      <c r="A67" s="62" t="s">
        <v>210</v>
      </c>
      <c r="B67" s="62"/>
      <c r="C67" s="62"/>
    </row>
    <row r="68" spans="1:3" ht="75" x14ac:dyDescent="0.25">
      <c r="A68" s="62" t="s">
        <v>211</v>
      </c>
      <c r="B68" s="62"/>
      <c r="C68" s="62"/>
    </row>
    <row r="69" spans="1:3" ht="75" x14ac:dyDescent="0.25">
      <c r="A69" s="62" t="s">
        <v>212</v>
      </c>
      <c r="B69" s="62"/>
      <c r="C69" s="62"/>
    </row>
    <row r="70" spans="1:3" ht="60" x14ac:dyDescent="0.25">
      <c r="A70" s="62" t="s">
        <v>213</v>
      </c>
      <c r="B70" s="62"/>
      <c r="C70" s="6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Hoja4</vt:lpstr>
      <vt:lpstr>sueldo actual </vt:lpstr>
      <vt:lpstr>sueldo 12000</vt:lpstr>
      <vt:lpstr>sueldo 13000</vt:lpstr>
      <vt:lpstr>Hoja5</vt:lpstr>
      <vt:lpstr>Documentación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Luxury Group</dc:creator>
  <cp:lastModifiedBy>Luxury Group</cp:lastModifiedBy>
  <dcterms:created xsi:type="dcterms:W3CDTF">2026-08-21T18:02:29Z</dcterms:created>
  <dcterms:modified xsi:type="dcterms:W3CDTF">2026-09-18T20:03:56Z</dcterms:modified>
</cp:coreProperties>
</file>