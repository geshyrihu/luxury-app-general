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ntalux\Documents\01 Residencial Avivia 58\AVIVIA 58, 2026\4. AVIVIA 58, CIERRE MENSUAL ABR 26\4.7 AVIVIA 58, EDOS FINANCIEROS ABR 26\"/>
    </mc:Choice>
  </mc:AlternateContent>
  <xr:revisionPtr revIDLastSave="0" documentId="13_ncr:1_{9E151DC1-6FB4-418D-82F9-642C457BEC47}" xr6:coauthVersionLast="47" xr6:coauthVersionMax="47" xr10:uidLastSave="{00000000-0000-0000-0000-000000000000}"/>
  <bookViews>
    <workbookView xWindow="-108" yWindow="-108" windowWidth="23256" windowHeight="12456" tabRatio="908" firstSheet="1" activeTab="1" xr2:uid="{8D3780A7-B579-4B08-8F46-A31A34F66965}"/>
  </bookViews>
  <sheets>
    <sheet name="1. CIERRE COBRANZA" sheetId="21" state="hidden" r:id="rId1"/>
    <sheet name="1. ANALISIS COB" sheetId="26" r:id="rId2"/>
    <sheet name="2. INTEGRACIÓN" sheetId="24" r:id="rId3"/>
    <sheet name="PT1" sheetId="1" r:id="rId4"/>
    <sheet name="PT2 (FILTRAR)" sheetId="2" r:id="rId5"/>
    <sheet name="PT3" sheetId="15" r:id="rId6"/>
    <sheet name="PT4" sheetId="16" r:id="rId7"/>
    <sheet name="PT5" sheetId="17" r:id="rId8"/>
    <sheet name="PT6" sheetId="18" r:id="rId9"/>
    <sheet name="PT7" sheetId="19" r:id="rId10"/>
    <sheet name="1. CIERRE COBRANZA (2)" sheetId="25" state="hidden" r:id="rId11"/>
    <sheet name="CIERRE" sheetId="20" state="hidden" r:id="rId12"/>
  </sheets>
  <externalReferences>
    <externalReference r:id="rId13"/>
    <externalReference r:id="rId14"/>
  </externalReferences>
  <definedNames>
    <definedName name="_xlnm._FilterDatabase" localSheetId="4" hidden="1">'PT2 (FILTRAR)'!$B$4:$E$317</definedName>
    <definedName name="_xlnm.Print_Area" localSheetId="1">'1. ANALISIS COB'!$A$1:$K$25</definedName>
    <definedName name="_xlnm.Print_Area" localSheetId="0">'1. CIERRE COBRANZA'!$A$1:$K$17</definedName>
    <definedName name="_xlnm.Print_Area" localSheetId="10">'1. CIERRE COBRANZA (2)'!$A$1:$K$21</definedName>
    <definedName name="_xlnm.Print_Area" localSheetId="2">'2. INTEGRACIÓN'!$B$1:$H$14</definedName>
    <definedName name="_xlnm.Print_Area" localSheetId="4">'PT2 (FILTRAR)'!$A$3:$F$318</definedName>
    <definedName name="_xlnm.Print_Area" localSheetId="5">'PT3'!$B$1:$F$8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6" l="1"/>
  <c r="L1" i="26" l="1"/>
  <c r="B5" i="26" s="1"/>
  <c r="B318" i="1" l="1" a="1"/>
  <c r="B318" i="1" s="1"/>
  <c r="B306" i="2" s="1"/>
  <c r="B266" i="1" a="1"/>
  <c r="B266" i="1" s="1"/>
  <c r="B214" i="1" a="1"/>
  <c r="B214" i="1" s="1"/>
  <c r="B162" i="1" a="1"/>
  <c r="B162" i="1" s="1"/>
  <c r="B110" i="1" a="1"/>
  <c r="B110" i="1" s="1"/>
  <c r="B58" i="1" a="1"/>
  <c r="B58" i="1" s="1"/>
  <c r="B6" i="1" a="1"/>
  <c r="B6" i="1" s="1"/>
  <c r="D318" i="1" l="1"/>
  <c r="C318" i="1"/>
  <c r="C306" i="2" s="1"/>
  <c r="C316" i="1"/>
  <c r="B303" i="1"/>
  <c r="B287" i="1"/>
  <c r="C276" i="1"/>
  <c r="C245" i="2" s="1"/>
  <c r="B316" i="1"/>
  <c r="B315" i="2" s="1"/>
  <c r="C305" i="1"/>
  <c r="C302" i="2" s="1"/>
  <c r="C289" i="1"/>
  <c r="D278" i="1"/>
  <c r="B313" i="1"/>
  <c r="C275" i="1"/>
  <c r="B311" i="1"/>
  <c r="B270" i="2" s="1"/>
  <c r="C300" i="1"/>
  <c r="C264" i="2" s="1"/>
  <c r="D289" i="1"/>
  <c r="D7" i="2" s="1"/>
  <c r="E7" i="2" s="1"/>
  <c r="B279" i="1"/>
  <c r="B28" i="2" s="1"/>
  <c r="C268" i="1"/>
  <c r="C313" i="1"/>
  <c r="C272" i="2" s="1"/>
  <c r="B300" i="1"/>
  <c r="B292" i="1"/>
  <c r="C281" i="1"/>
  <c r="C248" i="2" s="1"/>
  <c r="B268" i="1"/>
  <c r="B13" i="2" s="1"/>
  <c r="C310" i="1"/>
  <c r="C269" i="2" s="1"/>
  <c r="D299" i="1"/>
  <c r="D314" i="2" s="1"/>
  <c r="E314" i="2" s="1"/>
  <c r="B289" i="1"/>
  <c r="C278" i="1"/>
  <c r="C246" i="2" s="1"/>
  <c r="C270" i="1"/>
  <c r="C315" i="1"/>
  <c r="D304" i="1"/>
  <c r="D307" i="2" s="1"/>
  <c r="E307" i="2" s="1"/>
  <c r="B294" i="1"/>
  <c r="B260" i="2" s="1"/>
  <c r="B278" i="1"/>
  <c r="B246" i="2" s="1"/>
  <c r="C312" i="1"/>
  <c r="C271" i="2" s="1"/>
  <c r="D301" i="1"/>
  <c r="D293" i="1"/>
  <c r="D259" i="2" s="1"/>
  <c r="E259" i="2" s="1"/>
  <c r="C288" i="1"/>
  <c r="D285" i="1"/>
  <c r="B283" i="1"/>
  <c r="C280" i="1"/>
  <c r="C247" i="2" s="1"/>
  <c r="D277" i="1"/>
  <c r="D36" i="2" s="1"/>
  <c r="E36" i="2" s="1"/>
  <c r="B275" i="1"/>
  <c r="B35" i="2" s="1"/>
  <c r="C272" i="1"/>
  <c r="D269" i="1"/>
  <c r="D277" i="2" s="1"/>
  <c r="E277" i="2" s="1"/>
  <c r="B267" i="1"/>
  <c r="D305" i="1"/>
  <c r="C292" i="1"/>
  <c r="C258" i="2" s="1"/>
  <c r="D281" i="1"/>
  <c r="D248" i="2" s="1"/>
  <c r="E248" i="2" s="1"/>
  <c r="B271" i="1"/>
  <c r="B241" i="2" s="1"/>
  <c r="D302" i="1"/>
  <c r="D266" i="2" s="1"/>
  <c r="E266" i="2" s="1"/>
  <c r="D270" i="1"/>
  <c r="D315" i="1"/>
  <c r="D305" i="2" s="1"/>
  <c r="E305" i="2" s="1"/>
  <c r="D307" i="1"/>
  <c r="B297" i="1"/>
  <c r="C286" i="1"/>
  <c r="D275" i="1"/>
  <c r="D35" i="2" s="1"/>
  <c r="E35" i="2" s="1"/>
  <c r="C307" i="1"/>
  <c r="C303" i="2" s="1"/>
  <c r="D296" i="1"/>
  <c r="D262" i="2" s="1"/>
  <c r="E262" i="2" s="1"/>
  <c r="B286" i="1"/>
  <c r="C267" i="1"/>
  <c r="C239" i="2" s="1"/>
  <c r="B304" i="1"/>
  <c r="C285" i="1"/>
  <c r="D266" i="1"/>
  <c r="D238" i="2" s="1"/>
  <c r="E238" i="2" s="1"/>
  <c r="D313" i="1"/>
  <c r="D272" i="2" s="1"/>
  <c r="E272" i="2" s="1"/>
  <c r="B295" i="1"/>
  <c r="B261" i="2" s="1"/>
  <c r="C284" i="1"/>
  <c r="C251" i="2" s="1"/>
  <c r="D273" i="1"/>
  <c r="D310" i="1"/>
  <c r="D269" i="2" s="1"/>
  <c r="E269" i="2" s="1"/>
  <c r="D294" i="1"/>
  <c r="B284" i="1"/>
  <c r="C273" i="1"/>
  <c r="C243" i="2" s="1"/>
  <c r="B305" i="1"/>
  <c r="B302" i="2" s="1"/>
  <c r="C294" i="1"/>
  <c r="C260" i="2" s="1"/>
  <c r="D283" i="1"/>
  <c r="D250" i="2" s="1"/>
  <c r="E250" i="2" s="1"/>
  <c r="B273" i="1"/>
  <c r="D312" i="1"/>
  <c r="D271" i="2" s="1"/>
  <c r="E271" i="2" s="1"/>
  <c r="C299" i="1"/>
  <c r="D288" i="1"/>
  <c r="D280" i="1"/>
  <c r="D247" i="2" s="1"/>
  <c r="E247" i="2" s="1"/>
  <c r="B270" i="1"/>
  <c r="B240" i="2" s="1"/>
  <c r="D317" i="1"/>
  <c r="D316" i="2" s="1"/>
  <c r="E316" i="2" s="1"/>
  <c r="D309" i="1"/>
  <c r="D304" i="2" s="1"/>
  <c r="E304" i="2" s="1"/>
  <c r="C304" i="1"/>
  <c r="C296" i="1"/>
  <c r="C262" i="2" s="1"/>
  <c r="C317" i="1"/>
  <c r="B312" i="1"/>
  <c r="D306" i="1"/>
  <c r="D268" i="2" s="1"/>
  <c r="E268" i="2" s="1"/>
  <c r="C301" i="1"/>
  <c r="C265" i="2" s="1"/>
  <c r="C293" i="1"/>
  <c r="C259" i="2" s="1"/>
  <c r="D290" i="1"/>
  <c r="D256" i="2" s="1"/>
  <c r="E256" i="2" s="1"/>
  <c r="D282" i="1"/>
  <c r="C277" i="1"/>
  <c r="C36" i="2" s="1"/>
  <c r="C269" i="1"/>
  <c r="B317" i="1"/>
  <c r="C314" i="1"/>
  <c r="C273" i="2" s="1"/>
  <c r="D311" i="1"/>
  <c r="D270" i="2" s="1"/>
  <c r="E270" i="2" s="1"/>
  <c r="B309" i="1"/>
  <c r="B304" i="2" s="1"/>
  <c r="C306" i="1"/>
  <c r="C268" i="2" s="1"/>
  <c r="D303" i="1"/>
  <c r="B301" i="1"/>
  <c r="B265" i="2" s="1"/>
  <c r="C298" i="1"/>
  <c r="D295" i="1"/>
  <c r="B293" i="1"/>
  <c r="B259" i="2" s="1"/>
  <c r="C290" i="1"/>
  <c r="C256" i="2" s="1"/>
  <c r="D287" i="1"/>
  <c r="D254" i="2" s="1"/>
  <c r="E254" i="2" s="1"/>
  <c r="B285" i="1"/>
  <c r="B252" i="2" s="1"/>
  <c r="C282" i="1"/>
  <c r="D279" i="1"/>
  <c r="D28" i="2" s="1"/>
  <c r="E28" i="2" s="1"/>
  <c r="B277" i="1"/>
  <c r="C274" i="1"/>
  <c r="D271" i="1"/>
  <c r="B269" i="1"/>
  <c r="B277" i="2" s="1"/>
  <c r="C266" i="1"/>
  <c r="C238" i="2" s="1"/>
  <c r="C308" i="1"/>
  <c r="C308" i="2" s="1"/>
  <c r="D297" i="1"/>
  <c r="B308" i="1"/>
  <c r="B308" i="2" s="1"/>
  <c r="C297" i="1"/>
  <c r="D286" i="1"/>
  <c r="B276" i="1"/>
  <c r="B245" i="2" s="1"/>
  <c r="C302" i="1"/>
  <c r="C266" i="2" s="1"/>
  <c r="D291" i="1"/>
  <c r="D257" i="2" s="1"/>
  <c r="E257" i="2" s="1"/>
  <c r="B281" i="1"/>
  <c r="B248" i="2" s="1"/>
  <c r="D267" i="1"/>
  <c r="B310" i="1"/>
  <c r="B269" i="2" s="1"/>
  <c r="B302" i="1"/>
  <c r="C291" i="1"/>
  <c r="C283" i="1"/>
  <c r="C250" i="2" s="1"/>
  <c r="D272" i="1"/>
  <c r="D242" i="2" s="1"/>
  <c r="E242" i="2" s="1"/>
  <c r="B315" i="1"/>
  <c r="B305" i="2" s="1"/>
  <c r="B307" i="1"/>
  <c r="B303" i="2" s="1"/>
  <c r="B299" i="1"/>
  <c r="B291" i="1"/>
  <c r="B257" i="2" s="1"/>
  <c r="D314" i="1"/>
  <c r="C309" i="1"/>
  <c r="D298" i="1"/>
  <c r="D263" i="2" s="1"/>
  <c r="E263" i="2" s="1"/>
  <c r="B296" i="1"/>
  <c r="B262" i="2" s="1"/>
  <c r="B288" i="1"/>
  <c r="B255" i="2" s="1"/>
  <c r="B280" i="1"/>
  <c r="B247" i="2" s="1"/>
  <c r="D274" i="1"/>
  <c r="B272" i="1"/>
  <c r="B242" i="2" s="1"/>
  <c r="D316" i="1"/>
  <c r="B314" i="1"/>
  <c r="C311" i="1"/>
  <c r="D308" i="1"/>
  <c r="D308" i="2" s="1"/>
  <c r="E308" i="2" s="1"/>
  <c r="B306" i="1"/>
  <c r="B268" i="2" s="1"/>
  <c r="C303" i="1"/>
  <c r="C267" i="2" s="1"/>
  <c r="D300" i="1"/>
  <c r="B298" i="1"/>
  <c r="B263" i="2" s="1"/>
  <c r="C295" i="1"/>
  <c r="D292" i="1"/>
  <c r="B290" i="1"/>
  <c r="B256" i="2" s="1"/>
  <c r="C287" i="1"/>
  <c r="C254" i="2" s="1"/>
  <c r="D284" i="1"/>
  <c r="D251" i="2" s="1"/>
  <c r="E251" i="2" s="1"/>
  <c r="B282" i="1"/>
  <c r="B249" i="2" s="1"/>
  <c r="C279" i="1"/>
  <c r="D276" i="1"/>
  <c r="D245" i="2" s="1"/>
  <c r="E245" i="2" s="1"/>
  <c r="B274" i="1"/>
  <c r="C271" i="1"/>
  <c r="D268" i="1"/>
  <c r="D13" i="2" s="1"/>
  <c r="E13" i="2" s="1"/>
  <c r="C264" i="1"/>
  <c r="C236" i="2" s="1"/>
  <c r="D245" i="1"/>
  <c r="D297" i="2" s="1"/>
  <c r="E297" i="2" s="1"/>
  <c r="C224" i="1"/>
  <c r="C204" i="2" s="1"/>
  <c r="B264" i="1"/>
  <c r="B248" i="1"/>
  <c r="B298" i="2" s="1"/>
  <c r="D234" i="1"/>
  <c r="B216" i="1"/>
  <c r="C239" i="1"/>
  <c r="C218" i="2" s="1"/>
  <c r="C256" i="1"/>
  <c r="C41" i="2" s="1"/>
  <c r="B251" i="1"/>
  <c r="B227" i="2" s="1"/>
  <c r="C240" i="1"/>
  <c r="C219" i="2" s="1"/>
  <c r="C232" i="1"/>
  <c r="D221" i="1"/>
  <c r="D201" i="2" s="1"/>
  <c r="C261" i="1"/>
  <c r="D250" i="1"/>
  <c r="B240" i="1"/>
  <c r="B219" i="2" s="1"/>
  <c r="D226" i="1"/>
  <c r="D206" i="2" s="1"/>
  <c r="D255" i="1"/>
  <c r="D230" i="2" s="1"/>
  <c r="E230" i="2" s="1"/>
  <c r="D247" i="1"/>
  <c r="D224" i="2" s="1"/>
  <c r="E224" i="2" s="1"/>
  <c r="B237" i="1"/>
  <c r="C226" i="1"/>
  <c r="C206" i="2" s="1"/>
  <c r="D215" i="1"/>
  <c r="B258" i="1"/>
  <c r="C247" i="1"/>
  <c r="C224" i="2" s="1"/>
  <c r="B234" i="1"/>
  <c r="B214" i="2" s="1"/>
  <c r="C223" i="1"/>
  <c r="C203" i="2" s="1"/>
  <c r="B255" i="1"/>
  <c r="B230" i="2" s="1"/>
  <c r="B247" i="1"/>
  <c r="B239" i="1"/>
  <c r="B231" i="1"/>
  <c r="B223" i="1"/>
  <c r="B215" i="1"/>
  <c r="B197" i="2" s="1"/>
  <c r="B259" i="1"/>
  <c r="B233" i="2" s="1"/>
  <c r="B243" i="1"/>
  <c r="B221" i="2" s="1"/>
  <c r="B219" i="1"/>
  <c r="B42" i="2" s="1"/>
  <c r="D258" i="1"/>
  <c r="C245" i="1"/>
  <c r="C297" i="2" s="1"/>
  <c r="B232" i="1"/>
  <c r="B224" i="1"/>
  <c r="C258" i="1"/>
  <c r="C232" i="2" s="1"/>
  <c r="B245" i="1"/>
  <c r="B297" i="2" s="1"/>
  <c r="C234" i="1"/>
  <c r="C214" i="2" s="1"/>
  <c r="D223" i="1"/>
  <c r="D203" i="2" s="1"/>
  <c r="B250" i="1"/>
  <c r="D220" i="1"/>
  <c r="D200" i="2" s="1"/>
  <c r="B263" i="1"/>
  <c r="B228" i="1"/>
  <c r="D253" i="1"/>
  <c r="D229" i="2" s="1"/>
  <c r="E229" i="2" s="1"/>
  <c r="D237" i="1"/>
  <c r="D217" i="2" s="1"/>
  <c r="E217" i="2" s="1"/>
  <c r="B227" i="1"/>
  <c r="B207" i="2" s="1"/>
  <c r="C253" i="1"/>
  <c r="C229" i="2" s="1"/>
  <c r="C237" i="1"/>
  <c r="D218" i="1"/>
  <c r="D27" i="2" s="1"/>
  <c r="D263" i="1"/>
  <c r="B253" i="1"/>
  <c r="D239" i="1"/>
  <c r="D218" i="2" s="1"/>
  <c r="E218" i="2" s="1"/>
  <c r="B229" i="1"/>
  <c r="B209" i="2" s="1"/>
  <c r="B221" i="1"/>
  <c r="B201" i="2" s="1"/>
  <c r="C263" i="1"/>
  <c r="C235" i="2" s="1"/>
  <c r="C255" i="1"/>
  <c r="B242" i="1"/>
  <c r="B220" i="2" s="1"/>
  <c r="D228" i="1"/>
  <c r="C215" i="1"/>
  <c r="C260" i="1"/>
  <c r="C300" i="2" s="1"/>
  <c r="D249" i="1"/>
  <c r="D225" i="2" s="1"/>
  <c r="E225" i="2" s="1"/>
  <c r="D241" i="1"/>
  <c r="D5" i="2" s="1"/>
  <c r="E5" i="2" s="1"/>
  <c r="C236" i="1"/>
  <c r="C216" i="2" s="1"/>
  <c r="C228" i="1"/>
  <c r="D217" i="1"/>
  <c r="D199" i="2" s="1"/>
  <c r="C265" i="1"/>
  <c r="B260" i="1"/>
  <c r="B252" i="1"/>
  <c r="B228" i="2" s="1"/>
  <c r="D246" i="1"/>
  <c r="D223" i="2" s="1"/>
  <c r="E223" i="2" s="1"/>
  <c r="C241" i="1"/>
  <c r="C5" i="2" s="1"/>
  <c r="D238" i="1"/>
  <c r="D296" i="2" s="1"/>
  <c r="E296" i="2" s="1"/>
  <c r="C233" i="1"/>
  <c r="C225" i="1"/>
  <c r="C205" i="2" s="1"/>
  <c r="B220" i="1"/>
  <c r="C217" i="1"/>
  <c r="C199" i="2" s="1"/>
  <c r="B265" i="1"/>
  <c r="B237" i="2" s="1"/>
  <c r="C262" i="1"/>
  <c r="C234" i="2" s="1"/>
  <c r="D259" i="1"/>
  <c r="D233" i="2" s="1"/>
  <c r="E233" i="2" s="1"/>
  <c r="B257" i="1"/>
  <c r="B231" i="2" s="1"/>
  <c r="C254" i="1"/>
  <c r="D251" i="1"/>
  <c r="D227" i="2" s="1"/>
  <c r="E227" i="2" s="1"/>
  <c r="B249" i="1"/>
  <c r="C246" i="1"/>
  <c r="D243" i="1"/>
  <c r="D221" i="2" s="1"/>
  <c r="E221" i="2" s="1"/>
  <c r="B241" i="1"/>
  <c r="B5" i="2" s="1"/>
  <c r="C238" i="1"/>
  <c r="C296" i="2" s="1"/>
  <c r="D235" i="1"/>
  <c r="D215" i="2" s="1"/>
  <c r="E215" i="2" s="1"/>
  <c r="B233" i="1"/>
  <c r="C230" i="1"/>
  <c r="C210" i="2" s="1"/>
  <c r="D227" i="1"/>
  <c r="B225" i="1"/>
  <c r="B205" i="2" s="1"/>
  <c r="C222" i="1"/>
  <c r="C202" i="2" s="1"/>
  <c r="D219" i="1"/>
  <c r="D42" i="2" s="1"/>
  <c r="B217" i="1"/>
  <c r="B199" i="2" s="1"/>
  <c r="C214" i="1"/>
  <c r="C196" i="2" s="1"/>
  <c r="D261" i="1"/>
  <c r="C248" i="1"/>
  <c r="C298" i="2" s="1"/>
  <c r="B235" i="1"/>
  <c r="D229" i="1"/>
  <c r="C216" i="1"/>
  <c r="C198" i="2" s="1"/>
  <c r="B256" i="1"/>
  <c r="B41" i="2" s="1"/>
  <c r="D242" i="1"/>
  <c r="D220" i="2" s="1"/>
  <c r="E220" i="2" s="1"/>
  <c r="C229" i="1"/>
  <c r="C209" i="2" s="1"/>
  <c r="C221" i="1"/>
  <c r="B261" i="1"/>
  <c r="B301" i="2" s="1"/>
  <c r="C250" i="1"/>
  <c r="C242" i="1"/>
  <c r="D231" i="1"/>
  <c r="D211" i="2" s="1"/>
  <c r="E211" i="2" s="1"/>
  <c r="C218" i="1"/>
  <c r="C27" i="2" s="1"/>
  <c r="D260" i="1"/>
  <c r="D300" i="2" s="1"/>
  <c r="E300" i="2" s="1"/>
  <c r="D252" i="1"/>
  <c r="D228" i="2" s="1"/>
  <c r="E228" i="2" s="1"/>
  <c r="D244" i="1"/>
  <c r="D236" i="1"/>
  <c r="D216" i="2" s="1"/>
  <c r="E216" i="2" s="1"/>
  <c r="C231" i="1"/>
  <c r="B226" i="1"/>
  <c r="B218" i="1"/>
  <c r="B27" i="2" s="1"/>
  <c r="D265" i="1"/>
  <c r="D237" i="2" s="1"/>
  <c r="E237" i="2" s="1"/>
  <c r="D257" i="1"/>
  <c r="D231" i="2" s="1"/>
  <c r="E231" i="2" s="1"/>
  <c r="C252" i="1"/>
  <c r="C228" i="2" s="1"/>
  <c r="C244" i="1"/>
  <c r="D233" i="1"/>
  <c r="D213" i="2" s="1"/>
  <c r="E213" i="2" s="1"/>
  <c r="D225" i="1"/>
  <c r="C220" i="1"/>
  <c r="D262" i="1"/>
  <c r="D234" i="2" s="1"/>
  <c r="E234" i="2" s="1"/>
  <c r="C257" i="1"/>
  <c r="C231" i="2" s="1"/>
  <c r="D254" i="1"/>
  <c r="D299" i="2" s="1"/>
  <c r="E299" i="2" s="1"/>
  <c r="C249" i="1"/>
  <c r="C225" i="2" s="1"/>
  <c r="B244" i="1"/>
  <c r="B236" i="1"/>
  <c r="B216" i="2" s="1"/>
  <c r="D230" i="1"/>
  <c r="D222" i="1"/>
  <c r="D214" i="1"/>
  <c r="D196" i="2" s="1"/>
  <c r="D264" i="1"/>
  <c r="D236" i="2" s="1"/>
  <c r="E236" i="2" s="1"/>
  <c r="B262" i="1"/>
  <c r="B234" i="2" s="1"/>
  <c r="C259" i="1"/>
  <c r="C233" i="2" s="1"/>
  <c r="D256" i="1"/>
  <c r="B254" i="1"/>
  <c r="B299" i="2" s="1"/>
  <c r="C251" i="1"/>
  <c r="D248" i="1"/>
  <c r="B246" i="1"/>
  <c r="B223" i="2" s="1"/>
  <c r="C243" i="1"/>
  <c r="C221" i="2" s="1"/>
  <c r="D240" i="1"/>
  <c r="D219" i="2" s="1"/>
  <c r="E219" i="2" s="1"/>
  <c r="B238" i="1"/>
  <c r="B296" i="2" s="1"/>
  <c r="C235" i="1"/>
  <c r="D232" i="1"/>
  <c r="D212" i="2" s="1"/>
  <c r="E212" i="2" s="1"/>
  <c r="B230" i="1"/>
  <c r="C227" i="1"/>
  <c r="C207" i="2" s="1"/>
  <c r="D224" i="1"/>
  <c r="D204" i="2" s="1"/>
  <c r="B222" i="1"/>
  <c r="B202" i="2" s="1"/>
  <c r="C219" i="1"/>
  <c r="C42" i="2" s="1"/>
  <c r="D216" i="1"/>
  <c r="D198" i="2" s="1"/>
  <c r="B207" i="1"/>
  <c r="D169" i="1"/>
  <c r="D291" i="2" s="1"/>
  <c r="D209" i="1"/>
  <c r="C196" i="1"/>
  <c r="D185" i="1"/>
  <c r="D178" i="2" s="1"/>
  <c r="B175" i="1"/>
  <c r="B172" i="2" s="1"/>
  <c r="B204" i="1"/>
  <c r="B189" i="2" s="1"/>
  <c r="C193" i="1"/>
  <c r="C26" i="2" s="1"/>
  <c r="C185" i="1"/>
  <c r="D174" i="1"/>
  <c r="D12" i="2" s="1"/>
  <c r="B164" i="1"/>
  <c r="B209" i="1"/>
  <c r="D203" i="1"/>
  <c r="D188" i="2" s="1"/>
  <c r="B193" i="1"/>
  <c r="B26" i="2" s="1"/>
  <c r="B185" i="1"/>
  <c r="B178" i="2" s="1"/>
  <c r="C174" i="1"/>
  <c r="C12" i="2" s="1"/>
  <c r="D163" i="1"/>
  <c r="C203" i="1"/>
  <c r="C188" i="2" s="1"/>
  <c r="B190" i="1"/>
  <c r="C171" i="1"/>
  <c r="B203" i="1"/>
  <c r="B188" i="2" s="1"/>
  <c r="B187" i="1"/>
  <c r="B179" i="2" s="1"/>
  <c r="B171" i="1"/>
  <c r="B276" i="2" s="1"/>
  <c r="B163" i="1"/>
  <c r="B164" i="2" s="1"/>
  <c r="C212" i="1"/>
  <c r="B199" i="1"/>
  <c r="B185" i="2" s="1"/>
  <c r="C188" i="1"/>
  <c r="C180" i="1"/>
  <c r="C172" i="1"/>
  <c r="C170" i="2" s="1"/>
  <c r="B212" i="1"/>
  <c r="B194" i="2" s="1"/>
  <c r="C201" i="1"/>
  <c r="C186" i="2" s="1"/>
  <c r="D190" i="1"/>
  <c r="D181" i="2" s="1"/>
  <c r="B180" i="1"/>
  <c r="B172" i="1"/>
  <c r="D195" i="1"/>
  <c r="C182" i="1"/>
  <c r="C166" i="1"/>
  <c r="C166" i="2" s="1"/>
  <c r="D208" i="1"/>
  <c r="D191" i="2" s="1"/>
  <c r="C195" i="1"/>
  <c r="C294" i="2" s="1"/>
  <c r="C179" i="1"/>
  <c r="C175" i="2" s="1"/>
  <c r="C163" i="1"/>
  <c r="C208" i="1"/>
  <c r="C191" i="2" s="1"/>
  <c r="B195" i="1"/>
  <c r="B179" i="1"/>
  <c r="C213" i="1"/>
  <c r="C195" i="2" s="1"/>
  <c r="C197" i="1"/>
  <c r="C183" i="2" s="1"/>
  <c r="C189" i="1"/>
  <c r="C20" i="2" s="1"/>
  <c r="B184" i="1"/>
  <c r="B311" i="2" s="1"/>
  <c r="C181" i="1"/>
  <c r="D178" i="1"/>
  <c r="D292" i="2" s="1"/>
  <c r="D170" i="1"/>
  <c r="B168" i="1"/>
  <c r="C165" i="1"/>
  <c r="C165" i="2" s="1"/>
  <c r="D162" i="1"/>
  <c r="D163" i="2" s="1"/>
  <c r="C204" i="1"/>
  <c r="C189" i="2" s="1"/>
  <c r="B191" i="1"/>
  <c r="B34" i="2" s="1"/>
  <c r="D177" i="1"/>
  <c r="C164" i="1"/>
  <c r="C19" i="2" s="1"/>
  <c r="C209" i="1"/>
  <c r="D198" i="1"/>
  <c r="B188" i="1"/>
  <c r="B180" i="2" s="1"/>
  <c r="C177" i="1"/>
  <c r="C174" i="2" s="1"/>
  <c r="C169" i="1"/>
  <c r="C291" i="2" s="1"/>
  <c r="D211" i="1"/>
  <c r="D24" i="2" s="1"/>
  <c r="B201" i="1"/>
  <c r="D187" i="1"/>
  <c r="D179" i="2" s="1"/>
  <c r="B177" i="1"/>
  <c r="B169" i="1"/>
  <c r="C211" i="1"/>
  <c r="C24" i="2" s="1"/>
  <c r="D200" i="1"/>
  <c r="D313" i="2" s="1"/>
  <c r="D192" i="1"/>
  <c r="D280" i="2" s="1"/>
  <c r="D184" i="1"/>
  <c r="D311" i="2" s="1"/>
  <c r="D176" i="1"/>
  <c r="D168" i="1"/>
  <c r="D168" i="2" s="1"/>
  <c r="B211" i="1"/>
  <c r="C200" i="1"/>
  <c r="D189" i="1"/>
  <c r="D20" i="2" s="1"/>
  <c r="D181" i="1"/>
  <c r="D176" i="2" s="1"/>
  <c r="D173" i="1"/>
  <c r="D171" i="2" s="1"/>
  <c r="D165" i="1"/>
  <c r="D165" i="2" s="1"/>
  <c r="B208" i="1"/>
  <c r="D202" i="1"/>
  <c r="D194" i="1"/>
  <c r="D186" i="1"/>
  <c r="C173" i="1"/>
  <c r="C171" i="2" s="1"/>
  <c r="B213" i="1"/>
  <c r="B195" i="2" s="1"/>
  <c r="C210" i="1"/>
  <c r="C193" i="2" s="1"/>
  <c r="D207" i="1"/>
  <c r="D275" i="2" s="1"/>
  <c r="B205" i="1"/>
  <c r="C202" i="1"/>
  <c r="C187" i="2" s="1"/>
  <c r="D199" i="1"/>
  <c r="D185" i="2" s="1"/>
  <c r="B197" i="1"/>
  <c r="B183" i="2" s="1"/>
  <c r="C194" i="1"/>
  <c r="C21" i="2" s="1"/>
  <c r="D191" i="1"/>
  <c r="D34" i="2" s="1"/>
  <c r="B189" i="1"/>
  <c r="B20" i="2" s="1"/>
  <c r="C186" i="1"/>
  <c r="C312" i="2" s="1"/>
  <c r="D183" i="1"/>
  <c r="B181" i="1"/>
  <c r="B176" i="2" s="1"/>
  <c r="C178" i="1"/>
  <c r="D175" i="1"/>
  <c r="B173" i="1"/>
  <c r="B171" i="2" s="1"/>
  <c r="C170" i="1"/>
  <c r="C169" i="2" s="1"/>
  <c r="D167" i="1"/>
  <c r="D167" i="2" s="1"/>
  <c r="B165" i="1"/>
  <c r="B165" i="2" s="1"/>
  <c r="C162" i="1"/>
  <c r="D201" i="1"/>
  <c r="D186" i="2" s="1"/>
  <c r="D193" i="1"/>
  <c r="B183" i="1"/>
  <c r="B167" i="1"/>
  <c r="B167" i="2" s="1"/>
  <c r="D206" i="1"/>
  <c r="D190" i="2" s="1"/>
  <c r="B196" i="1"/>
  <c r="B182" i="2" s="1"/>
  <c r="D182" i="1"/>
  <c r="D177" i="2" s="1"/>
  <c r="D166" i="1"/>
  <c r="C206" i="1"/>
  <c r="C190" i="2" s="1"/>
  <c r="C198" i="1"/>
  <c r="C190" i="1"/>
  <c r="D179" i="1"/>
  <c r="D175" i="2" s="1"/>
  <c r="D171" i="1"/>
  <c r="D276" i="2" s="1"/>
  <c r="B206" i="1"/>
  <c r="B190" i="2" s="1"/>
  <c r="B198" i="1"/>
  <c r="B184" i="2" s="1"/>
  <c r="C187" i="1"/>
  <c r="B182" i="1"/>
  <c r="B177" i="2" s="1"/>
  <c r="B174" i="1"/>
  <c r="B166" i="1"/>
  <c r="D213" i="1"/>
  <c r="D195" i="2" s="1"/>
  <c r="D205" i="1"/>
  <c r="D295" i="2" s="1"/>
  <c r="D197" i="1"/>
  <c r="D183" i="2" s="1"/>
  <c r="C192" i="1"/>
  <c r="C280" i="2" s="1"/>
  <c r="C184" i="1"/>
  <c r="C176" i="1"/>
  <c r="C173" i="2" s="1"/>
  <c r="C168" i="1"/>
  <c r="D210" i="1"/>
  <c r="C205" i="1"/>
  <c r="C295" i="2" s="1"/>
  <c r="B200" i="1"/>
  <c r="B313" i="2" s="1"/>
  <c r="B192" i="1"/>
  <c r="B280" i="2" s="1"/>
  <c r="B176" i="1"/>
  <c r="B173" i="2" s="1"/>
  <c r="D212" i="1"/>
  <c r="B210" i="1"/>
  <c r="B193" i="2" s="1"/>
  <c r="C207" i="1"/>
  <c r="D204" i="1"/>
  <c r="B202" i="1"/>
  <c r="B187" i="2" s="1"/>
  <c r="C199" i="1"/>
  <c r="C185" i="2" s="1"/>
  <c r="D196" i="1"/>
  <c r="D182" i="2" s="1"/>
  <c r="B194" i="1"/>
  <c r="B21" i="2" s="1"/>
  <c r="C191" i="1"/>
  <c r="D188" i="1"/>
  <c r="D180" i="2" s="1"/>
  <c r="B186" i="1"/>
  <c r="C183" i="1"/>
  <c r="D180" i="1"/>
  <c r="D23" i="2" s="1"/>
  <c r="B178" i="1"/>
  <c r="B292" i="2" s="1"/>
  <c r="C175" i="1"/>
  <c r="C172" i="2" s="1"/>
  <c r="D172" i="1"/>
  <c r="D170" i="2" s="1"/>
  <c r="B170" i="1"/>
  <c r="C167" i="1"/>
  <c r="D164" i="1"/>
  <c r="C152" i="1"/>
  <c r="B139" i="1"/>
  <c r="B145" i="2" s="1"/>
  <c r="B123" i="1"/>
  <c r="B133" i="2" s="1"/>
  <c r="B152" i="1"/>
  <c r="B29" i="2" s="1"/>
  <c r="B112" i="1"/>
  <c r="B124" i="2" s="1"/>
  <c r="D140" i="1"/>
  <c r="B155" i="1"/>
  <c r="B157" i="2" s="1"/>
  <c r="D141" i="1"/>
  <c r="D147" i="2" s="1"/>
  <c r="C128" i="1"/>
  <c r="B115" i="1"/>
  <c r="B127" i="2" s="1"/>
  <c r="D154" i="1"/>
  <c r="D156" i="2" s="1"/>
  <c r="C141" i="1"/>
  <c r="C147" i="2" s="1"/>
  <c r="D130" i="1"/>
  <c r="D140" i="2" s="1"/>
  <c r="B120" i="1"/>
  <c r="B157" i="1"/>
  <c r="B159" i="2" s="1"/>
  <c r="C146" i="1"/>
  <c r="C151" i="2" s="1"/>
  <c r="C138" i="1"/>
  <c r="C130" i="1"/>
  <c r="C140" i="2" s="1"/>
  <c r="D119" i="1"/>
  <c r="D287" i="2" s="1"/>
  <c r="D156" i="1"/>
  <c r="D158" i="2" s="1"/>
  <c r="C143" i="1"/>
  <c r="C148" i="2" s="1"/>
  <c r="B130" i="1"/>
  <c r="C148" i="1"/>
  <c r="B111" i="1"/>
  <c r="B286" i="2" s="1"/>
  <c r="D149" i="1"/>
  <c r="D133" i="1"/>
  <c r="D142" i="2" s="1"/>
  <c r="C120" i="1"/>
  <c r="C130" i="2" s="1"/>
  <c r="B160" i="1"/>
  <c r="B18" i="2" s="1"/>
  <c r="D146" i="1"/>
  <c r="D151" i="2" s="1"/>
  <c r="B136" i="1"/>
  <c r="C125" i="1"/>
  <c r="C135" i="2" s="1"/>
  <c r="D114" i="1"/>
  <c r="D126" i="2" s="1"/>
  <c r="C154" i="1"/>
  <c r="C156" i="2" s="1"/>
  <c r="B141" i="1"/>
  <c r="B147" i="2" s="1"/>
  <c r="B125" i="1"/>
  <c r="B135" i="2" s="1"/>
  <c r="C114" i="1"/>
  <c r="C126" i="2" s="1"/>
  <c r="C159" i="1"/>
  <c r="C161" i="2" s="1"/>
  <c r="D148" i="1"/>
  <c r="D132" i="1"/>
  <c r="D6" i="2" s="1"/>
  <c r="B122" i="1"/>
  <c r="B132" i="2" s="1"/>
  <c r="B114" i="1"/>
  <c r="B159" i="1"/>
  <c r="B161" i="2" s="1"/>
  <c r="B151" i="1"/>
  <c r="B9" i="2" s="1"/>
  <c r="B143" i="1"/>
  <c r="B148" i="2" s="1"/>
  <c r="B135" i="1"/>
  <c r="B144" i="2" s="1"/>
  <c r="B127" i="1"/>
  <c r="B119" i="1"/>
  <c r="B287" i="2" s="1"/>
  <c r="B156" i="1"/>
  <c r="B158" i="2" s="1"/>
  <c r="C145" i="1"/>
  <c r="C137" i="1"/>
  <c r="C289" i="2" s="1"/>
  <c r="C129" i="1"/>
  <c r="C139" i="2" s="1"/>
  <c r="D126" i="1"/>
  <c r="D136" i="2" s="1"/>
  <c r="B124" i="1"/>
  <c r="B134" i="2" s="1"/>
  <c r="C121" i="1"/>
  <c r="D118" i="1"/>
  <c r="D129" i="2" s="1"/>
  <c r="B116" i="1"/>
  <c r="B22" i="2" s="1"/>
  <c r="C113" i="1"/>
  <c r="D110" i="1"/>
  <c r="D123" i="2" s="1"/>
  <c r="D157" i="1"/>
  <c r="D159" i="2" s="1"/>
  <c r="C144" i="1"/>
  <c r="C149" i="2" s="1"/>
  <c r="B131" i="1"/>
  <c r="B141" i="2" s="1"/>
  <c r="D117" i="1"/>
  <c r="C157" i="1"/>
  <c r="C159" i="2" s="1"/>
  <c r="D138" i="1"/>
  <c r="D290" i="2" s="1"/>
  <c r="D122" i="1"/>
  <c r="B149" i="1"/>
  <c r="B154" i="2" s="1"/>
  <c r="D135" i="1"/>
  <c r="D144" i="2" s="1"/>
  <c r="C122" i="1"/>
  <c r="C132" i="2" s="1"/>
  <c r="D111" i="1"/>
  <c r="D286" i="2" s="1"/>
  <c r="C151" i="1"/>
  <c r="B138" i="1"/>
  <c r="B290" i="2" s="1"/>
  <c r="D124" i="1"/>
  <c r="D134" i="2" s="1"/>
  <c r="C111" i="1"/>
  <c r="C286" i="2" s="1"/>
  <c r="C156" i="1"/>
  <c r="C158" i="2" s="1"/>
  <c r="D145" i="1"/>
  <c r="D150" i="2" s="1"/>
  <c r="D137" i="1"/>
  <c r="D289" i="2" s="1"/>
  <c r="D129" i="1"/>
  <c r="D139" i="2" s="1"/>
  <c r="D121" i="1"/>
  <c r="D131" i="2" s="1"/>
  <c r="D113" i="1"/>
  <c r="D125" i="2" s="1"/>
  <c r="D158" i="1"/>
  <c r="D150" i="1"/>
  <c r="D155" i="2" s="1"/>
  <c r="D142" i="1"/>
  <c r="D17" i="2" s="1"/>
  <c r="B132" i="1"/>
  <c r="B6" i="2" s="1"/>
  <c r="B161" i="1"/>
  <c r="B162" i="2" s="1"/>
  <c r="C158" i="1"/>
  <c r="C160" i="2" s="1"/>
  <c r="D155" i="1"/>
  <c r="B153" i="1"/>
  <c r="B15" i="2" s="1"/>
  <c r="C150" i="1"/>
  <c r="C155" i="2" s="1"/>
  <c r="D147" i="1"/>
  <c r="B145" i="1"/>
  <c r="B150" i="2" s="1"/>
  <c r="C142" i="1"/>
  <c r="C17" i="2" s="1"/>
  <c r="D139" i="1"/>
  <c r="D145" i="2" s="1"/>
  <c r="B137" i="1"/>
  <c r="B289" i="2" s="1"/>
  <c r="C134" i="1"/>
  <c r="D131" i="1"/>
  <c r="D141" i="2" s="1"/>
  <c r="B129" i="1"/>
  <c r="B139" i="2" s="1"/>
  <c r="C126" i="1"/>
  <c r="D123" i="1"/>
  <c r="D133" i="2" s="1"/>
  <c r="B121" i="1"/>
  <c r="B131" i="2" s="1"/>
  <c r="C118" i="1"/>
  <c r="C129" i="2" s="1"/>
  <c r="D115" i="1"/>
  <c r="D127" i="2" s="1"/>
  <c r="B113" i="1"/>
  <c r="C110" i="1"/>
  <c r="C123" i="2" s="1"/>
  <c r="C160" i="1"/>
  <c r="C18" i="2" s="1"/>
  <c r="B147" i="1"/>
  <c r="B152" i="2" s="1"/>
  <c r="C136" i="1"/>
  <c r="C288" i="2" s="1"/>
  <c r="D125" i="1"/>
  <c r="D135" i="2" s="1"/>
  <c r="C112" i="1"/>
  <c r="C124" i="2" s="1"/>
  <c r="C149" i="1"/>
  <c r="C154" i="2" s="1"/>
  <c r="B144" i="1"/>
  <c r="C133" i="1"/>
  <c r="C142" i="2" s="1"/>
  <c r="B128" i="1"/>
  <c r="C117" i="1"/>
  <c r="D159" i="1"/>
  <c r="D161" i="2" s="1"/>
  <c r="D151" i="1"/>
  <c r="D9" i="2" s="1"/>
  <c r="D143" i="1"/>
  <c r="D148" i="2" s="1"/>
  <c r="B133" i="1"/>
  <c r="B142" i="2" s="1"/>
  <c r="D127" i="1"/>
  <c r="B117" i="1"/>
  <c r="B128" i="2" s="1"/>
  <c r="B154" i="1"/>
  <c r="B156" i="2" s="1"/>
  <c r="B146" i="1"/>
  <c r="C135" i="1"/>
  <c r="C144" i="2" s="1"/>
  <c r="C127" i="1"/>
  <c r="C137" i="2" s="1"/>
  <c r="C119" i="1"/>
  <c r="C287" i="2" s="1"/>
  <c r="D116" i="1"/>
  <c r="D22" i="2" s="1"/>
  <c r="D161" i="1"/>
  <c r="D153" i="1"/>
  <c r="D15" i="2" s="1"/>
  <c r="C140" i="1"/>
  <c r="C146" i="2" s="1"/>
  <c r="C132" i="1"/>
  <c r="C124" i="1"/>
  <c r="C134" i="2" s="1"/>
  <c r="C116" i="1"/>
  <c r="C22" i="2" s="1"/>
  <c r="C161" i="1"/>
  <c r="C162" i="2" s="1"/>
  <c r="C153" i="1"/>
  <c r="C15" i="2" s="1"/>
  <c r="B148" i="1"/>
  <c r="B140" i="1"/>
  <c r="B146" i="2" s="1"/>
  <c r="D134" i="1"/>
  <c r="D143" i="2" s="1"/>
  <c r="D160" i="1"/>
  <c r="B158" i="1"/>
  <c r="B160" i="2" s="1"/>
  <c r="C155" i="1"/>
  <c r="C157" i="2" s="1"/>
  <c r="D152" i="1"/>
  <c r="D29" i="2" s="1"/>
  <c r="B150" i="1"/>
  <c r="B155" i="2" s="1"/>
  <c r="C147" i="1"/>
  <c r="D144" i="1"/>
  <c r="D149" i="2" s="1"/>
  <c r="B142" i="1"/>
  <c r="B17" i="2" s="1"/>
  <c r="C139" i="1"/>
  <c r="C145" i="2" s="1"/>
  <c r="D136" i="1"/>
  <c r="D288" i="2" s="1"/>
  <c r="B134" i="1"/>
  <c r="B143" i="2" s="1"/>
  <c r="C131" i="1"/>
  <c r="C141" i="2" s="1"/>
  <c r="D128" i="1"/>
  <c r="D138" i="2" s="1"/>
  <c r="B126" i="1"/>
  <c r="B136" i="2" s="1"/>
  <c r="C123" i="1"/>
  <c r="C133" i="2" s="1"/>
  <c r="D120" i="1"/>
  <c r="D130" i="2" s="1"/>
  <c r="B118" i="1"/>
  <c r="C115" i="1"/>
  <c r="C127" i="2" s="1"/>
  <c r="D112" i="1"/>
  <c r="D124" i="2" s="1"/>
  <c r="D97" i="1"/>
  <c r="D113" i="2" s="1"/>
  <c r="C84" i="1"/>
  <c r="C102" i="2" s="1"/>
  <c r="C68" i="1"/>
  <c r="C90" i="2" s="1"/>
  <c r="D102" i="1"/>
  <c r="D11" i="2" s="1"/>
  <c r="B84" i="1"/>
  <c r="B60" i="1"/>
  <c r="C83" i="1"/>
  <c r="C101" i="2" s="1"/>
  <c r="C108" i="1"/>
  <c r="C33" i="2" s="1"/>
  <c r="B95" i="1"/>
  <c r="B111" i="2" s="1"/>
  <c r="D81" i="1"/>
  <c r="D32" i="2" s="1"/>
  <c r="D73" i="1"/>
  <c r="C60" i="1"/>
  <c r="C83" i="2" s="1"/>
  <c r="C97" i="1"/>
  <c r="D86" i="1"/>
  <c r="C73" i="1"/>
  <c r="C278" i="2" s="1"/>
  <c r="D62" i="1"/>
  <c r="D85" i="2" s="1"/>
  <c r="D99" i="1"/>
  <c r="D115" i="2" s="1"/>
  <c r="B89" i="1"/>
  <c r="B106" i="2" s="1"/>
  <c r="C78" i="1"/>
  <c r="C70" i="1"/>
  <c r="C92" i="2" s="1"/>
  <c r="D59" i="1"/>
  <c r="D104" i="1"/>
  <c r="D118" i="2" s="1"/>
  <c r="B94" i="1"/>
  <c r="B40" i="2" s="1"/>
  <c r="D80" i="1"/>
  <c r="D99" i="2" s="1"/>
  <c r="B70" i="1"/>
  <c r="B92" i="2" s="1"/>
  <c r="C67" i="1"/>
  <c r="C89" i="2" s="1"/>
  <c r="D101" i="1"/>
  <c r="B83" i="1"/>
  <c r="B101" i="2" s="1"/>
  <c r="B59" i="1"/>
  <c r="B82" i="2" s="1"/>
  <c r="D105" i="1"/>
  <c r="D89" i="1"/>
  <c r="D106" i="2" s="1"/>
  <c r="C76" i="1"/>
  <c r="C97" i="2" s="1"/>
  <c r="D65" i="1"/>
  <c r="D8" i="2" s="1"/>
  <c r="C105" i="1"/>
  <c r="C119" i="2" s="1"/>
  <c r="B92" i="1"/>
  <c r="D78" i="1"/>
  <c r="D98" i="2" s="1"/>
  <c r="D70" i="1"/>
  <c r="D92" i="2" s="1"/>
  <c r="C102" i="1"/>
  <c r="C94" i="1"/>
  <c r="C40" i="2" s="1"/>
  <c r="C86" i="1"/>
  <c r="C104" i="2" s="1"/>
  <c r="D75" i="1"/>
  <c r="D96" i="2" s="1"/>
  <c r="B65" i="1"/>
  <c r="B8" i="2" s="1"/>
  <c r="B102" i="1"/>
  <c r="D88" i="1"/>
  <c r="D105" i="2" s="1"/>
  <c r="C75" i="1"/>
  <c r="B62" i="1"/>
  <c r="B85" i="2" s="1"/>
  <c r="D109" i="1"/>
  <c r="D122" i="2" s="1"/>
  <c r="B107" i="1"/>
  <c r="B121" i="2" s="1"/>
  <c r="B99" i="1"/>
  <c r="B115" i="2" s="1"/>
  <c r="B91" i="1"/>
  <c r="B108" i="2" s="1"/>
  <c r="D85" i="1"/>
  <c r="D77" i="1"/>
  <c r="D10" i="2" s="1"/>
  <c r="D69" i="1"/>
  <c r="D91" i="2" s="1"/>
  <c r="B67" i="1"/>
  <c r="C64" i="1"/>
  <c r="C87" i="2" s="1"/>
  <c r="D61" i="1"/>
  <c r="D84" i="2" s="1"/>
  <c r="C109" i="1"/>
  <c r="C122" i="2" s="1"/>
  <c r="D106" i="1"/>
  <c r="D120" i="2" s="1"/>
  <c r="B104" i="1"/>
  <c r="C101" i="1"/>
  <c r="C285" i="2" s="1"/>
  <c r="D98" i="1"/>
  <c r="D114" i="2" s="1"/>
  <c r="B96" i="1"/>
  <c r="C93" i="1"/>
  <c r="C110" i="2" s="1"/>
  <c r="D90" i="1"/>
  <c r="D107" i="2" s="1"/>
  <c r="B88" i="1"/>
  <c r="B105" i="2" s="1"/>
  <c r="C85" i="1"/>
  <c r="C103" i="2" s="1"/>
  <c r="D82" i="1"/>
  <c r="B80" i="1"/>
  <c r="B99" i="2" s="1"/>
  <c r="C77" i="1"/>
  <c r="C10" i="2" s="1"/>
  <c r="D74" i="1"/>
  <c r="B72" i="1"/>
  <c r="B94" i="2" s="1"/>
  <c r="C69" i="1"/>
  <c r="C91" i="2" s="1"/>
  <c r="D66" i="1"/>
  <c r="D88" i="2" s="1"/>
  <c r="B64" i="1"/>
  <c r="B87" i="2" s="1"/>
  <c r="C61" i="1"/>
  <c r="D58" i="1"/>
  <c r="D81" i="2" s="1"/>
  <c r="B103" i="1"/>
  <c r="B87" i="1"/>
  <c r="B71" i="1"/>
  <c r="B93" i="2" s="1"/>
  <c r="B100" i="1"/>
  <c r="B116" i="2" s="1"/>
  <c r="C89" i="1"/>
  <c r="C106" i="2" s="1"/>
  <c r="B76" i="1"/>
  <c r="B97" i="2" s="1"/>
  <c r="C65" i="1"/>
  <c r="B105" i="1"/>
  <c r="B119" i="2" s="1"/>
  <c r="D91" i="1"/>
  <c r="D108" i="2" s="1"/>
  <c r="B81" i="1"/>
  <c r="B73" i="1"/>
  <c r="B278" i="2" s="1"/>
  <c r="C62" i="1"/>
  <c r="C85" i="2" s="1"/>
  <c r="C107" i="1"/>
  <c r="C121" i="2" s="1"/>
  <c r="D96" i="1"/>
  <c r="D112" i="2" s="1"/>
  <c r="C91" i="1"/>
  <c r="B78" i="1"/>
  <c r="B98" i="2" s="1"/>
  <c r="D64" i="1"/>
  <c r="C96" i="1"/>
  <c r="B75" i="1"/>
  <c r="B96" i="2" s="1"/>
  <c r="D103" i="1"/>
  <c r="D117" i="2" s="1"/>
  <c r="C98" i="1"/>
  <c r="C114" i="2" s="1"/>
  <c r="B93" i="1"/>
  <c r="B110" i="2" s="1"/>
  <c r="B85" i="1"/>
  <c r="D79" i="1"/>
  <c r="D309" i="2" s="1"/>
  <c r="D71" i="1"/>
  <c r="D93" i="2" s="1"/>
  <c r="B69" i="1"/>
  <c r="C66" i="1"/>
  <c r="C88" i="2" s="1"/>
  <c r="D63" i="1"/>
  <c r="D86" i="2" s="1"/>
  <c r="B61" i="1"/>
  <c r="B84" i="2" s="1"/>
  <c r="C58" i="1"/>
  <c r="C81" i="2" s="1"/>
  <c r="C100" i="1"/>
  <c r="C92" i="1"/>
  <c r="C109" i="2" s="1"/>
  <c r="B79" i="1"/>
  <c r="B309" i="2" s="1"/>
  <c r="B63" i="1"/>
  <c r="B108" i="1"/>
  <c r="B33" i="2" s="1"/>
  <c r="D94" i="1"/>
  <c r="D40" i="2" s="1"/>
  <c r="C81" i="1"/>
  <c r="C32" i="2" s="1"/>
  <c r="B68" i="1"/>
  <c r="B90" i="2" s="1"/>
  <c r="D107" i="1"/>
  <c r="B97" i="1"/>
  <c r="B113" i="2" s="1"/>
  <c r="D83" i="1"/>
  <c r="D101" i="2" s="1"/>
  <c r="D67" i="1"/>
  <c r="C99" i="1"/>
  <c r="C115" i="2" s="1"/>
  <c r="B86" i="1"/>
  <c r="B104" i="2" s="1"/>
  <c r="D72" i="1"/>
  <c r="D94" i="2" s="1"/>
  <c r="C59" i="1"/>
  <c r="C82" i="2" s="1"/>
  <c r="C104" i="1"/>
  <c r="D93" i="1"/>
  <c r="D110" i="2" s="1"/>
  <c r="C88" i="1"/>
  <c r="C105" i="2" s="1"/>
  <c r="C80" i="1"/>
  <c r="C72" i="1"/>
  <c r="C94" i="2" s="1"/>
  <c r="B109" i="1"/>
  <c r="B122" i="2" s="1"/>
  <c r="C106" i="1"/>
  <c r="C120" i="2" s="1"/>
  <c r="B101" i="1"/>
  <c r="B285" i="2" s="1"/>
  <c r="D95" i="1"/>
  <c r="C90" i="1"/>
  <c r="C107" i="2" s="1"/>
  <c r="D87" i="1"/>
  <c r="D310" i="2" s="1"/>
  <c r="C82" i="1"/>
  <c r="C100" i="2" s="1"/>
  <c r="B77" i="1"/>
  <c r="B10" i="2" s="1"/>
  <c r="C74" i="1"/>
  <c r="C95" i="2" s="1"/>
  <c r="D108" i="1"/>
  <c r="D33" i="2" s="1"/>
  <c r="B106" i="1"/>
  <c r="B120" i="2" s="1"/>
  <c r="C103" i="1"/>
  <c r="D100" i="1"/>
  <c r="D116" i="2" s="1"/>
  <c r="B98" i="1"/>
  <c r="B114" i="2" s="1"/>
  <c r="C95" i="1"/>
  <c r="C111" i="2" s="1"/>
  <c r="D92" i="1"/>
  <c r="D109" i="2" s="1"/>
  <c r="B90" i="1"/>
  <c r="B107" i="2" s="1"/>
  <c r="C87" i="1"/>
  <c r="C310" i="2" s="1"/>
  <c r="D84" i="1"/>
  <c r="D102" i="2" s="1"/>
  <c r="B82" i="1"/>
  <c r="C79" i="1"/>
  <c r="C309" i="2" s="1"/>
  <c r="D76" i="1"/>
  <c r="D97" i="2" s="1"/>
  <c r="B74" i="1"/>
  <c r="C71" i="1"/>
  <c r="C93" i="2" s="1"/>
  <c r="D68" i="1"/>
  <c r="D90" i="2" s="1"/>
  <c r="B66" i="1"/>
  <c r="B88" i="2" s="1"/>
  <c r="C63" i="1"/>
  <c r="C86" i="2" s="1"/>
  <c r="D60" i="1"/>
  <c r="D53" i="1"/>
  <c r="D16" i="2" s="1"/>
  <c r="D45" i="1"/>
  <c r="D72" i="2" s="1"/>
  <c r="B35" i="1"/>
  <c r="B279" i="2" s="1"/>
  <c r="B56" i="1"/>
  <c r="B80" i="2" s="1"/>
  <c r="B51" i="1"/>
  <c r="B77" i="2" s="1"/>
  <c r="B43" i="1"/>
  <c r="B70" i="2" s="1"/>
  <c r="D37" i="1"/>
  <c r="D66" i="2" s="1"/>
  <c r="C32" i="1"/>
  <c r="C30" i="2" s="1"/>
  <c r="B27" i="1"/>
  <c r="B281" i="2" s="1"/>
  <c r="C24" i="1"/>
  <c r="C37" i="2" s="1"/>
  <c r="B19" i="1"/>
  <c r="C16" i="1"/>
  <c r="C52" i="2" s="1"/>
  <c r="D13" i="1"/>
  <c r="D50" i="2" s="1"/>
  <c r="B11" i="1"/>
  <c r="B48" i="2" s="1"/>
  <c r="C53" i="1"/>
  <c r="C16" i="2" s="1"/>
  <c r="B48" i="1"/>
  <c r="B75" i="2" s="1"/>
  <c r="D42" i="1"/>
  <c r="D69" i="2" s="1"/>
  <c r="C37" i="1"/>
  <c r="C66" i="2" s="1"/>
  <c r="B32" i="1"/>
  <c r="B24" i="1"/>
  <c r="B37" i="2" s="1"/>
  <c r="D18" i="1"/>
  <c r="D53" i="2" s="1"/>
  <c r="D10" i="1"/>
  <c r="D47" i="2" s="1"/>
  <c r="B53" i="1"/>
  <c r="B16" i="2" s="1"/>
  <c r="D47" i="1"/>
  <c r="D74" i="2" s="1"/>
  <c r="D39" i="1"/>
  <c r="D67" i="2" s="1"/>
  <c r="C34" i="1"/>
  <c r="C64" i="2" s="1"/>
  <c r="B29" i="1"/>
  <c r="D23" i="1"/>
  <c r="D58" i="2" s="1"/>
  <c r="C18" i="1"/>
  <c r="C53" i="2" s="1"/>
  <c r="D15" i="1"/>
  <c r="D51" i="2" s="1"/>
  <c r="B13" i="1"/>
  <c r="B50" i="2" s="1"/>
  <c r="D7" i="1"/>
  <c r="D44" i="2" s="1"/>
  <c r="D52" i="1"/>
  <c r="D283" i="2" s="1"/>
  <c r="D44" i="1"/>
  <c r="D71" i="2" s="1"/>
  <c r="C39" i="1"/>
  <c r="C31" i="1"/>
  <c r="C63" i="2" s="1"/>
  <c r="B26" i="1"/>
  <c r="B59" i="2" s="1"/>
  <c r="D20" i="1"/>
  <c r="D55" i="2" s="1"/>
  <c r="C15" i="1"/>
  <c r="C51" i="2" s="1"/>
  <c r="B10" i="1"/>
  <c r="B47" i="2" s="1"/>
  <c r="B55" i="1"/>
  <c r="B79" i="2" s="1"/>
  <c r="D49" i="1"/>
  <c r="D76" i="2" s="1"/>
  <c r="C44" i="1"/>
  <c r="B39" i="1"/>
  <c r="B67" i="2" s="1"/>
  <c r="D33" i="1"/>
  <c r="D282" i="2" s="1"/>
  <c r="C28" i="1"/>
  <c r="C60" i="2" s="1"/>
  <c r="B23" i="1"/>
  <c r="B58" i="2" s="1"/>
  <c r="D17" i="1"/>
  <c r="D274" i="2" s="1"/>
  <c r="C12" i="1"/>
  <c r="C49" i="2" s="1"/>
  <c r="B7" i="1"/>
  <c r="B44" i="2" s="1"/>
  <c r="C57" i="1"/>
  <c r="C284" i="2" s="1"/>
  <c r="B52" i="1"/>
  <c r="B283" i="2" s="1"/>
  <c r="D46" i="1"/>
  <c r="D73" i="2" s="1"/>
  <c r="C41" i="1"/>
  <c r="C14" i="2" s="1"/>
  <c r="B36" i="1"/>
  <c r="B65" i="2" s="1"/>
  <c r="D30" i="1"/>
  <c r="D62" i="2" s="1"/>
  <c r="B28" i="1"/>
  <c r="B60" i="2" s="1"/>
  <c r="D22" i="1"/>
  <c r="D57" i="2" s="1"/>
  <c r="B20" i="1"/>
  <c r="B55" i="2" s="1"/>
  <c r="C17" i="1"/>
  <c r="C274" i="2" s="1"/>
  <c r="D14" i="1"/>
  <c r="D38" i="2" s="1"/>
  <c r="B12" i="1"/>
  <c r="B49" i="2" s="1"/>
  <c r="D6" i="1"/>
  <c r="D43" i="2" s="1"/>
  <c r="B57" i="1"/>
  <c r="B284" i="2" s="1"/>
  <c r="C54" i="1"/>
  <c r="C78" i="2" s="1"/>
  <c r="D51" i="1"/>
  <c r="D77" i="2" s="1"/>
  <c r="B49" i="1"/>
  <c r="C46" i="1"/>
  <c r="C73" i="2" s="1"/>
  <c r="D43" i="1"/>
  <c r="D70" i="2" s="1"/>
  <c r="B41" i="1"/>
  <c r="B14" i="2" s="1"/>
  <c r="C38" i="1"/>
  <c r="C317" i="2" s="1"/>
  <c r="D35" i="1"/>
  <c r="D279" i="2" s="1"/>
  <c r="B33" i="1"/>
  <c r="B282" i="2" s="1"/>
  <c r="C30" i="1"/>
  <c r="C62" i="2" s="1"/>
  <c r="D27" i="1"/>
  <c r="D281" i="2" s="1"/>
  <c r="B25" i="1"/>
  <c r="B39" i="2" s="1"/>
  <c r="C22" i="1"/>
  <c r="C57" i="2" s="1"/>
  <c r="D19" i="1"/>
  <c r="D54" i="2" s="1"/>
  <c r="B17" i="1"/>
  <c r="B274" i="2" s="1"/>
  <c r="C14" i="1"/>
  <c r="C38" i="2" s="1"/>
  <c r="D11" i="1"/>
  <c r="D48" i="2" s="1"/>
  <c r="B9" i="1"/>
  <c r="C6" i="1"/>
  <c r="C43" i="2" s="1"/>
  <c r="C56" i="1"/>
  <c r="C80" i="2" s="1"/>
  <c r="C48" i="1"/>
  <c r="C75" i="2" s="1"/>
  <c r="C40" i="1"/>
  <c r="C68" i="2" s="1"/>
  <c r="D29" i="1"/>
  <c r="D61" i="2" s="1"/>
  <c r="D21" i="1"/>
  <c r="D56" i="2" s="1"/>
  <c r="C8" i="1"/>
  <c r="C45" i="2" s="1"/>
  <c r="D50" i="1"/>
  <c r="D31" i="2" s="1"/>
  <c r="C45" i="1"/>
  <c r="B40" i="1"/>
  <c r="B68" i="2" s="1"/>
  <c r="D34" i="1"/>
  <c r="D64" i="2" s="1"/>
  <c r="C29" i="1"/>
  <c r="C61" i="2" s="1"/>
  <c r="D26" i="1"/>
  <c r="D59" i="2" s="1"/>
  <c r="C21" i="1"/>
  <c r="C56" i="2" s="1"/>
  <c r="B16" i="1"/>
  <c r="B52" i="2" s="1"/>
  <c r="C13" i="1"/>
  <c r="C50" i="2" s="1"/>
  <c r="B8" i="1"/>
  <c r="B45" i="2" s="1"/>
  <c r="D55" i="1"/>
  <c r="D79" i="2" s="1"/>
  <c r="C50" i="1"/>
  <c r="C31" i="2" s="1"/>
  <c r="B45" i="1"/>
  <c r="B72" i="2" s="1"/>
  <c r="C42" i="1"/>
  <c r="C69" i="2" s="1"/>
  <c r="B37" i="1"/>
  <c r="B66" i="2" s="1"/>
  <c r="D31" i="1"/>
  <c r="D63" i="2" s="1"/>
  <c r="C26" i="1"/>
  <c r="C59" i="2" s="1"/>
  <c r="B21" i="1"/>
  <c r="B56" i="2" s="1"/>
  <c r="C10" i="1"/>
  <c r="C47" i="2" s="1"/>
  <c r="C55" i="1"/>
  <c r="C79" i="2" s="1"/>
  <c r="B50" i="1"/>
  <c r="B31" i="2" s="1"/>
  <c r="C47" i="1"/>
  <c r="C74" i="2" s="1"/>
  <c r="B42" i="1"/>
  <c r="B69" i="2" s="1"/>
  <c r="D36" i="1"/>
  <c r="D65" i="2" s="1"/>
  <c r="B34" i="1"/>
  <c r="B64" i="2" s="1"/>
  <c r="D28" i="1"/>
  <c r="C23" i="1"/>
  <c r="C58" i="2" s="1"/>
  <c r="B18" i="1"/>
  <c r="B53" i="2" s="1"/>
  <c r="D12" i="1"/>
  <c r="D49" i="2" s="1"/>
  <c r="C7" i="1"/>
  <c r="C44" i="2" s="1"/>
  <c r="D57" i="1"/>
  <c r="D284" i="2" s="1"/>
  <c r="C52" i="1"/>
  <c r="C283" i="2" s="1"/>
  <c r="B47" i="1"/>
  <c r="B74" i="2" s="1"/>
  <c r="D41" i="1"/>
  <c r="D14" i="2" s="1"/>
  <c r="C36" i="1"/>
  <c r="C65" i="2" s="1"/>
  <c r="B31" i="1"/>
  <c r="B63" i="2" s="1"/>
  <c r="D25" i="1"/>
  <c r="D39" i="2" s="1"/>
  <c r="C20" i="1"/>
  <c r="C55" i="2" s="1"/>
  <c r="B15" i="1"/>
  <c r="B51" i="2" s="1"/>
  <c r="D9" i="1"/>
  <c r="D46" i="2" s="1"/>
  <c r="D54" i="1"/>
  <c r="D78" i="2" s="1"/>
  <c r="C49" i="1"/>
  <c r="C76" i="2" s="1"/>
  <c r="B44" i="1"/>
  <c r="B71" i="2" s="1"/>
  <c r="D38" i="1"/>
  <c r="D317" i="2" s="1"/>
  <c r="C33" i="1"/>
  <c r="C282" i="2" s="1"/>
  <c r="C25" i="1"/>
  <c r="C39" i="2" s="1"/>
  <c r="C9" i="1"/>
  <c r="C46" i="2" s="1"/>
  <c r="D56" i="1"/>
  <c r="D80" i="2" s="1"/>
  <c r="B54" i="1"/>
  <c r="B78" i="2" s="1"/>
  <c r="C51" i="1"/>
  <c r="D48" i="1"/>
  <c r="D75" i="2" s="1"/>
  <c r="B46" i="1"/>
  <c r="B73" i="2" s="1"/>
  <c r="C43" i="1"/>
  <c r="C70" i="2" s="1"/>
  <c r="D40" i="1"/>
  <c r="D68" i="2" s="1"/>
  <c r="B38" i="1"/>
  <c r="B317" i="2" s="1"/>
  <c r="C35" i="1"/>
  <c r="C279" i="2" s="1"/>
  <c r="D32" i="1"/>
  <c r="D30" i="2" s="1"/>
  <c r="B30" i="1"/>
  <c r="B62" i="2" s="1"/>
  <c r="C27" i="1"/>
  <c r="C281" i="2" s="1"/>
  <c r="D24" i="1"/>
  <c r="D37" i="2" s="1"/>
  <c r="B22" i="1"/>
  <c r="B57" i="2" s="1"/>
  <c r="C19" i="1"/>
  <c r="C54" i="2" s="1"/>
  <c r="D16" i="1"/>
  <c r="D52" i="2" s="1"/>
  <c r="B14" i="1"/>
  <c r="B38" i="2" s="1"/>
  <c r="C11" i="1"/>
  <c r="C48" i="2" s="1"/>
  <c r="D8" i="1"/>
  <c r="C25" i="26"/>
  <c r="C24" i="26"/>
  <c r="C23" i="26"/>
  <c r="D45" i="2"/>
  <c r="D60" i="2"/>
  <c r="C67" i="2"/>
  <c r="C71" i="2"/>
  <c r="C72" i="2"/>
  <c r="C77" i="2"/>
  <c r="D82" i="2"/>
  <c r="D83" i="2"/>
  <c r="C84" i="2"/>
  <c r="D87" i="2"/>
  <c r="C8" i="2"/>
  <c r="D89" i="2"/>
  <c r="D278" i="2"/>
  <c r="D95" i="2"/>
  <c r="C96" i="2"/>
  <c r="C98" i="2"/>
  <c r="C99" i="2"/>
  <c r="D100" i="2"/>
  <c r="D103" i="2"/>
  <c r="D104" i="2"/>
  <c r="C108" i="2"/>
  <c r="D111" i="2"/>
  <c r="C112" i="2"/>
  <c r="C113" i="2"/>
  <c r="C116" i="2"/>
  <c r="D285" i="2"/>
  <c r="C11" i="2"/>
  <c r="C117" i="2"/>
  <c r="C118" i="2"/>
  <c r="D119" i="2"/>
  <c r="D121" i="2"/>
  <c r="C125" i="2"/>
  <c r="C128" i="2"/>
  <c r="D128" i="2"/>
  <c r="C131" i="2"/>
  <c r="D132" i="2"/>
  <c r="C136" i="2"/>
  <c r="D137" i="2"/>
  <c r="C138" i="2"/>
  <c r="C6" i="2"/>
  <c r="C143" i="2"/>
  <c r="C290" i="2"/>
  <c r="D146" i="2"/>
  <c r="C150" i="2"/>
  <c r="C152" i="2"/>
  <c r="D152" i="2"/>
  <c r="C153" i="2"/>
  <c r="D153" i="2"/>
  <c r="D154" i="2"/>
  <c r="C9" i="2"/>
  <c r="C29" i="2"/>
  <c r="D157" i="2"/>
  <c r="D160" i="2"/>
  <c r="D18" i="2"/>
  <c r="D162" i="2"/>
  <c r="C163" i="2"/>
  <c r="C164" i="2"/>
  <c r="D164" i="2"/>
  <c r="D19" i="2"/>
  <c r="D166" i="2"/>
  <c r="C167" i="2"/>
  <c r="C168" i="2"/>
  <c r="D169" i="2"/>
  <c r="C276" i="2"/>
  <c r="D172" i="2"/>
  <c r="D173" i="2"/>
  <c r="D174" i="2"/>
  <c r="C292" i="2"/>
  <c r="C23" i="2"/>
  <c r="C176" i="2"/>
  <c r="C177" i="2"/>
  <c r="C293" i="2"/>
  <c r="D293" i="2"/>
  <c r="C311" i="2"/>
  <c r="C178" i="2"/>
  <c r="D312" i="2"/>
  <c r="C179" i="2"/>
  <c r="C180" i="2"/>
  <c r="C181" i="2"/>
  <c r="C34" i="2"/>
  <c r="D26" i="2"/>
  <c r="D21" i="2"/>
  <c r="D294" i="2"/>
  <c r="C182" i="2"/>
  <c r="C184" i="2"/>
  <c r="D184" i="2"/>
  <c r="C313" i="2"/>
  <c r="D187" i="2"/>
  <c r="D189" i="2"/>
  <c r="C275" i="2"/>
  <c r="C192" i="2"/>
  <c r="D192" i="2"/>
  <c r="D193" i="2"/>
  <c r="C194" i="2"/>
  <c r="D194" i="2"/>
  <c r="C197" i="2"/>
  <c r="D197" i="2"/>
  <c r="C200" i="2"/>
  <c r="C201" i="2"/>
  <c r="D202" i="2"/>
  <c r="D205" i="2"/>
  <c r="D207" i="2"/>
  <c r="E207" i="2" s="1"/>
  <c r="C208" i="2"/>
  <c r="D208" i="2"/>
  <c r="E208" i="2" s="1"/>
  <c r="D209" i="2"/>
  <c r="E209" i="2" s="1"/>
  <c r="D210" i="2"/>
  <c r="E210" i="2" s="1"/>
  <c r="C211" i="2"/>
  <c r="C212" i="2"/>
  <c r="C213" i="2"/>
  <c r="D214" i="2"/>
  <c r="E214" i="2" s="1"/>
  <c r="C215" i="2"/>
  <c r="C217" i="2"/>
  <c r="C220" i="2"/>
  <c r="C222" i="2"/>
  <c r="D222" i="2"/>
  <c r="E222" i="2" s="1"/>
  <c r="C223" i="2"/>
  <c r="D298" i="2"/>
  <c r="E298" i="2" s="1"/>
  <c r="C226" i="2"/>
  <c r="D226" i="2"/>
  <c r="E226" i="2" s="1"/>
  <c r="C227" i="2"/>
  <c r="C299" i="2"/>
  <c r="C230" i="2"/>
  <c r="D41" i="2"/>
  <c r="E41" i="2" s="1"/>
  <c r="D232" i="2"/>
  <c r="E232" i="2" s="1"/>
  <c r="C301" i="2"/>
  <c r="D301" i="2"/>
  <c r="E301" i="2" s="1"/>
  <c r="D235" i="2"/>
  <c r="E235" i="2" s="1"/>
  <c r="C237" i="2"/>
  <c r="D239" i="2"/>
  <c r="E239" i="2" s="1"/>
  <c r="C13" i="2"/>
  <c r="C277" i="2"/>
  <c r="C240" i="2"/>
  <c r="D240" i="2"/>
  <c r="E240" i="2" s="1"/>
  <c r="C241" i="2"/>
  <c r="D241" i="2"/>
  <c r="E241" i="2" s="1"/>
  <c r="C242" i="2"/>
  <c r="D243" i="2"/>
  <c r="E243" i="2" s="1"/>
  <c r="C244" i="2"/>
  <c r="D244" i="2"/>
  <c r="E244" i="2" s="1"/>
  <c r="C35" i="2"/>
  <c r="D246" i="2"/>
  <c r="E246" i="2" s="1"/>
  <c r="C28" i="2"/>
  <c r="C249" i="2"/>
  <c r="D249" i="2"/>
  <c r="E249" i="2" s="1"/>
  <c r="C252" i="2"/>
  <c r="D252" i="2"/>
  <c r="E252" i="2" s="1"/>
  <c r="C253" i="2"/>
  <c r="D253" i="2"/>
  <c r="E253" i="2" s="1"/>
  <c r="C255" i="2"/>
  <c r="D255" i="2"/>
  <c r="E255" i="2" s="1"/>
  <c r="C7" i="2"/>
  <c r="C257" i="2"/>
  <c r="D258" i="2"/>
  <c r="E258" i="2" s="1"/>
  <c r="D260" i="2"/>
  <c r="E260" i="2" s="1"/>
  <c r="C261" i="2"/>
  <c r="D261" i="2"/>
  <c r="E261" i="2" s="1"/>
  <c r="C25" i="2"/>
  <c r="D25" i="2"/>
  <c r="E25" i="2" s="1"/>
  <c r="C263" i="2"/>
  <c r="C314" i="2"/>
  <c r="D264" i="2"/>
  <c r="E264" i="2" s="1"/>
  <c r="D265" i="2"/>
  <c r="E265" i="2" s="1"/>
  <c r="D267" i="2"/>
  <c r="E267" i="2" s="1"/>
  <c r="C307" i="2"/>
  <c r="D302" i="2"/>
  <c r="E302" i="2" s="1"/>
  <c r="D303" i="2"/>
  <c r="E303" i="2" s="1"/>
  <c r="C304" i="2"/>
  <c r="C270" i="2"/>
  <c r="D273" i="2"/>
  <c r="E273" i="2" s="1"/>
  <c r="C305" i="2"/>
  <c r="C315" i="2"/>
  <c r="D315" i="2"/>
  <c r="E315" i="2" s="1"/>
  <c r="C316" i="2"/>
  <c r="B43" i="2"/>
  <c r="B46" i="2"/>
  <c r="B54" i="2"/>
  <c r="B61" i="2"/>
  <c r="B30" i="2"/>
  <c r="B76" i="2"/>
  <c r="B81" i="2"/>
  <c r="B83" i="2"/>
  <c r="B86" i="2"/>
  <c r="B89" i="2"/>
  <c r="B91" i="2"/>
  <c r="B95" i="2"/>
  <c r="B32" i="2"/>
  <c r="B100" i="2"/>
  <c r="B102" i="2"/>
  <c r="B103" i="2"/>
  <c r="B310" i="2"/>
  <c r="B109" i="2"/>
  <c r="B112" i="2"/>
  <c r="B11" i="2"/>
  <c r="B117" i="2"/>
  <c r="B118" i="2"/>
  <c r="B123" i="2"/>
  <c r="B125" i="2"/>
  <c r="B126" i="2"/>
  <c r="B129" i="2"/>
  <c r="B130" i="2"/>
  <c r="B137" i="2"/>
  <c r="B138" i="2"/>
  <c r="B140" i="2"/>
  <c r="B288" i="2"/>
  <c r="B149" i="2"/>
  <c r="B151" i="2"/>
  <c r="B153" i="2"/>
  <c r="B163" i="2"/>
  <c r="B19" i="2"/>
  <c r="B166" i="2"/>
  <c r="B168" i="2"/>
  <c r="B291" i="2"/>
  <c r="B169" i="2"/>
  <c r="B170" i="2"/>
  <c r="B12" i="2"/>
  <c r="B174" i="2"/>
  <c r="B175" i="2"/>
  <c r="B23" i="2"/>
  <c r="B293" i="2"/>
  <c r="B312" i="2"/>
  <c r="B181" i="2"/>
  <c r="B294" i="2"/>
  <c r="B186" i="2"/>
  <c r="B295" i="2"/>
  <c r="B275" i="2"/>
  <c r="B191" i="2"/>
  <c r="B192" i="2"/>
  <c r="B24" i="2"/>
  <c r="B196" i="2"/>
  <c r="B198" i="2"/>
  <c r="B200" i="2"/>
  <c r="B203" i="2"/>
  <c r="B204" i="2"/>
  <c r="B206" i="2"/>
  <c r="B208" i="2"/>
  <c r="B210" i="2"/>
  <c r="B211" i="2"/>
  <c r="B212" i="2"/>
  <c r="B213" i="2"/>
  <c r="B215" i="2"/>
  <c r="B217" i="2"/>
  <c r="B218" i="2"/>
  <c r="B222" i="2"/>
  <c r="B224" i="2"/>
  <c r="B225" i="2"/>
  <c r="B226" i="2"/>
  <c r="B229" i="2"/>
  <c r="B232" i="2"/>
  <c r="B300" i="2"/>
  <c r="B235" i="2"/>
  <c r="B236" i="2"/>
  <c r="B238" i="2"/>
  <c r="B239" i="2"/>
  <c r="B243" i="2"/>
  <c r="B244" i="2"/>
  <c r="B36" i="2"/>
  <c r="B250" i="2"/>
  <c r="B251" i="2"/>
  <c r="B253" i="2"/>
  <c r="B254" i="2"/>
  <c r="B7" i="2"/>
  <c r="B258" i="2"/>
  <c r="B25" i="2"/>
  <c r="B314" i="2"/>
  <c r="B264" i="2"/>
  <c r="B266" i="2"/>
  <c r="B267" i="2"/>
  <c r="B307" i="2"/>
  <c r="B271" i="2"/>
  <c r="B272" i="2"/>
  <c r="B273" i="2"/>
  <c r="B316" i="2"/>
  <c r="D306" i="2" l="1"/>
  <c r="E306" i="2" s="1"/>
  <c r="K33" i="26"/>
  <c r="C14" i="26"/>
  <c r="C13" i="26"/>
  <c r="C9" i="25"/>
  <c r="E18" i="25"/>
  <c r="E17" i="25"/>
  <c r="D19" i="25"/>
  <c r="E19" i="25" s="1"/>
  <c r="C11" i="25"/>
  <c r="C10" i="25"/>
  <c r="E6" i="25"/>
  <c r="B3" i="24" l="1"/>
  <c r="C13" i="21" l="1"/>
  <c r="C12" i="21"/>
  <c r="C11" i="21"/>
  <c r="E6" i="21"/>
  <c r="D4" i="19" l="1"/>
  <c r="D4" i="18"/>
  <c r="D4" i="17"/>
  <c r="D4" i="16"/>
  <c r="D4" i="15"/>
  <c r="E4" i="20" l="1"/>
  <c r="C12" i="20"/>
  <c r="C11" i="20"/>
  <c r="C10" i="20"/>
  <c r="C9" i="20"/>
  <c r="C8" i="20"/>
  <c r="C272" i="16"/>
  <c r="C272" i="17"/>
  <c r="C272" i="18"/>
  <c r="C272" i="19"/>
  <c r="C272" i="15"/>
  <c r="D5" i="1" l="1"/>
  <c r="E34" i="2" l="1"/>
  <c r="E89" i="2"/>
  <c r="E70" i="2"/>
  <c r="E170" i="2"/>
  <c r="E125" i="2"/>
  <c r="E54" i="2"/>
  <c r="E12" i="2"/>
  <c r="E31" i="2"/>
  <c r="E183" i="2"/>
  <c r="E275" i="2"/>
  <c r="E18" i="2"/>
  <c r="E292" i="2"/>
  <c r="E73" i="2"/>
  <c r="E59" i="2"/>
  <c r="E116" i="2"/>
  <c r="E21" i="2"/>
  <c r="E164" i="2"/>
  <c r="E88" i="2"/>
  <c r="E294" i="2"/>
  <c r="E90" i="2"/>
  <c r="E281" i="2"/>
  <c r="E32" i="2"/>
  <c r="E283" i="2"/>
  <c r="E98" i="2"/>
  <c r="E83" i="2"/>
  <c r="E115" i="2"/>
  <c r="E188" i="2"/>
  <c r="E60" i="2"/>
  <c r="E113" i="2"/>
  <c r="E160" i="2"/>
  <c r="E177" i="2"/>
  <c r="E204" i="2"/>
  <c r="E193" i="2"/>
  <c r="E276" i="2"/>
  <c r="E27" i="2"/>
  <c r="E23" i="2"/>
  <c r="E173" i="2"/>
  <c r="E121" i="2"/>
  <c r="E42" i="2"/>
  <c r="E100" i="2"/>
  <c r="E64" i="2"/>
  <c r="E201" i="2"/>
  <c r="E19" i="2"/>
  <c r="E163" i="2"/>
  <c r="E106" i="2"/>
  <c r="E169" i="2"/>
  <c r="E94" i="2"/>
  <c r="E165" i="2"/>
  <c r="E102" i="2"/>
  <c r="E174" i="2"/>
  <c r="E55" i="2"/>
  <c r="E56" i="2"/>
  <c r="E161" i="2"/>
  <c r="E171" i="2"/>
  <c r="E291" i="2"/>
  <c r="E200" i="2"/>
  <c r="E167" i="2"/>
  <c r="E190" i="2"/>
  <c r="E175" i="2"/>
  <c r="E285" i="2"/>
  <c r="E189" i="2"/>
  <c r="E186" i="2"/>
  <c r="E168" i="2"/>
  <c r="E313" i="2"/>
  <c r="E293" i="2"/>
  <c r="E172" i="2"/>
  <c r="E111" i="2"/>
  <c r="E14" i="2"/>
  <c r="E206" i="2"/>
  <c r="E82" i="2"/>
  <c r="E185" i="2"/>
  <c r="E166" i="2"/>
  <c r="E182" i="2"/>
  <c r="E162" i="2"/>
  <c r="E92" i="2"/>
  <c r="E310" i="2"/>
  <c r="E157" i="2"/>
  <c r="E159" i="2"/>
  <c r="E58" i="2"/>
  <c r="E194" i="2"/>
  <c r="E309" i="2"/>
  <c r="E76" i="2"/>
  <c r="E126" i="2"/>
  <c r="E196" i="2"/>
  <c r="E30" i="2"/>
  <c r="E8" i="2"/>
  <c r="E146" i="2"/>
  <c r="E155" i="2"/>
  <c r="E317" i="2"/>
  <c r="E120" i="2"/>
  <c r="E284" i="2"/>
  <c r="E105" i="2"/>
  <c r="E286" i="2"/>
  <c r="E68" i="2"/>
  <c r="E195" i="2"/>
  <c r="E40" i="2"/>
  <c r="E15" i="2"/>
  <c r="E187" i="2"/>
  <c r="E48" i="2"/>
  <c r="E152" i="2"/>
  <c r="E110" i="2"/>
  <c r="E96" i="2"/>
  <c r="E148" i="2"/>
  <c r="E46" i="2"/>
  <c r="E289" i="2"/>
  <c r="E72" i="2"/>
  <c r="E108" i="2"/>
  <c r="E123" i="2"/>
  <c r="E79" i="2"/>
  <c r="E11" i="2"/>
  <c r="E53" i="2"/>
  <c r="E9" i="2"/>
  <c r="E150" i="2"/>
  <c r="E69" i="2"/>
  <c r="E65" i="2"/>
  <c r="E274" i="2"/>
  <c r="E158" i="2"/>
  <c r="E118" i="2"/>
  <c r="E153" i="2"/>
  <c r="E52" i="2"/>
  <c r="E145" i="2"/>
  <c r="E117" i="2"/>
  <c r="E151" i="2"/>
  <c r="E44" i="2"/>
  <c r="E16" i="2"/>
  <c r="E17" i="2"/>
  <c r="E156" i="2"/>
  <c r="E104" i="2"/>
  <c r="E181" i="2"/>
  <c r="E10" i="2"/>
  <c r="E71" i="2"/>
  <c r="E103" i="2"/>
  <c r="E124" i="2"/>
  <c r="E29" i="2"/>
  <c r="E80" i="2"/>
  <c r="E149" i="2"/>
  <c r="E77" i="2"/>
  <c r="E75" i="2"/>
  <c r="E197" i="2"/>
  <c r="E154" i="2"/>
  <c r="E26" i="2"/>
  <c r="E66" i="2"/>
  <c r="E50" i="2"/>
  <c r="E81" i="2"/>
  <c r="E57" i="2"/>
  <c r="E180" i="2"/>
  <c r="E86" i="2"/>
  <c r="E147" i="2"/>
  <c r="E290" i="2"/>
  <c r="E184" i="2"/>
  <c r="E85" i="2"/>
  <c r="E143" i="2"/>
  <c r="E119" i="2"/>
  <c r="E132" i="2"/>
  <c r="E129" i="2"/>
  <c r="E112" i="2"/>
  <c r="E142" i="2"/>
  <c r="E134" i="2"/>
  <c r="E39" i="2"/>
  <c r="E199" i="2"/>
  <c r="E139" i="2"/>
  <c r="E122" i="2"/>
  <c r="E97" i="2"/>
  <c r="E295" i="2"/>
  <c r="E63" i="2"/>
  <c r="E99" i="2"/>
  <c r="E37" i="2"/>
  <c r="E93" i="2"/>
  <c r="E78" i="2"/>
  <c r="E141" i="2"/>
  <c r="E192" i="2"/>
  <c r="E84" i="2"/>
  <c r="E51" i="2"/>
  <c r="E107" i="2"/>
  <c r="E140" i="2"/>
  <c r="E137" i="2"/>
  <c r="E133" i="2"/>
  <c r="E45" i="2"/>
  <c r="E49" i="2"/>
  <c r="E287" i="2"/>
  <c r="E47" i="2"/>
  <c r="E127" i="2"/>
  <c r="E144" i="2"/>
  <c r="E20" i="2"/>
  <c r="E101" i="2"/>
  <c r="E136" i="2"/>
  <c r="E131" i="2"/>
  <c r="E135" i="2"/>
  <c r="E203" i="2"/>
  <c r="E38" i="2"/>
  <c r="E22" i="2"/>
  <c r="E114" i="2"/>
  <c r="E202" i="2"/>
  <c r="E278" i="2"/>
  <c r="E279" i="2"/>
  <c r="E198" i="2"/>
  <c r="E178" i="2"/>
  <c r="E33" i="2"/>
  <c r="E109" i="2"/>
  <c r="E130" i="2"/>
  <c r="E176" i="2"/>
  <c r="E67" i="2"/>
  <c r="E6" i="2"/>
  <c r="E311" i="2"/>
  <c r="E62" i="2"/>
  <c r="E280" i="2"/>
  <c r="E91" i="2"/>
  <c r="E312" i="2"/>
  <c r="E205" i="2"/>
  <c r="E24" i="2"/>
  <c r="E61" i="2"/>
  <c r="E288" i="2"/>
  <c r="E95" i="2"/>
  <c r="E179" i="2"/>
  <c r="E138" i="2"/>
  <c r="E87" i="2"/>
  <c r="E74" i="2"/>
  <c r="E282" i="2"/>
  <c r="E128" i="2"/>
  <c r="E191" i="2"/>
  <c r="E43" i="2" l="1"/>
  <c r="E136" i="16" s="1" a="1"/>
  <c r="E136" i="16" s="1"/>
  <c r="D328" i="2"/>
  <c r="D123" i="16" a="1"/>
  <c r="D123" i="16" s="1"/>
  <c r="G124" i="24" s="1"/>
  <c r="B129" i="16" a="1"/>
  <c r="B129" i="16" s="1"/>
  <c r="B131" i="16" a="1"/>
  <c r="B131" i="16" s="1"/>
  <c r="B133" i="16" a="1"/>
  <c r="B133" i="16" s="1"/>
  <c r="D138" i="16" a="1"/>
  <c r="D138" i="16" s="1"/>
  <c r="G139" i="24" s="1"/>
  <c r="D140" i="16" a="1"/>
  <c r="D140" i="16" s="1"/>
  <c r="G141" i="24" s="1"/>
  <c r="D142" i="16" a="1"/>
  <c r="D142" i="16" s="1"/>
  <c r="G143" i="24" s="1"/>
  <c r="C144" i="16" a="1"/>
  <c r="C144" i="16" s="1"/>
  <c r="F145" i="24" s="1"/>
  <c r="B146" i="16" a="1"/>
  <c r="B146" i="16" s="1"/>
  <c r="B148" i="16" a="1"/>
  <c r="B148" i="16" s="1"/>
  <c r="B150" i="16" a="1"/>
  <c r="B150" i="16" s="1"/>
  <c r="E151" i="16" a="1"/>
  <c r="E151" i="16" s="1"/>
  <c r="D153" i="16" a="1"/>
  <c r="D153" i="16" s="1"/>
  <c r="G154" i="24" s="1"/>
  <c r="D155" i="16" a="1"/>
  <c r="D155" i="16" s="1"/>
  <c r="G156" i="24" s="1"/>
  <c r="D157" i="16" a="1"/>
  <c r="D157" i="16" s="1"/>
  <c r="G158" i="24" s="1"/>
  <c r="C159" i="16" a="1"/>
  <c r="C159" i="16" s="1"/>
  <c r="F160" i="24" s="1"/>
  <c r="B161" i="16" a="1"/>
  <c r="B161" i="16" s="1"/>
  <c r="B163" i="16" a="1"/>
  <c r="B163" i="16" s="1"/>
  <c r="B165" i="16" a="1"/>
  <c r="B165" i="16" s="1"/>
  <c r="E168" i="16" a="1"/>
  <c r="E168" i="16" s="1"/>
  <c r="D170" i="16" a="1"/>
  <c r="D170" i="16" s="1"/>
  <c r="G171" i="24" s="1"/>
  <c r="D172" i="16" a="1"/>
  <c r="D172" i="16" s="1"/>
  <c r="G173" i="24" s="1"/>
  <c r="D174" i="16" a="1"/>
  <c r="D174" i="16" s="1"/>
  <c r="G175" i="24" s="1"/>
  <c r="C176" i="16" a="1"/>
  <c r="C176" i="16" s="1"/>
  <c r="F177" i="24" s="1"/>
  <c r="B178" i="16" a="1"/>
  <c r="B178" i="16" s="1"/>
  <c r="B180" i="16" a="1"/>
  <c r="B180" i="16" s="1"/>
  <c r="B182" i="16" a="1"/>
  <c r="B182" i="16" s="1"/>
  <c r="E183" i="16" a="1"/>
  <c r="E183" i="16" s="1"/>
  <c r="D185" i="16" a="1"/>
  <c r="D185" i="16" s="1"/>
  <c r="G186" i="24" s="1"/>
  <c r="D187" i="16" a="1"/>
  <c r="D187" i="16" s="1"/>
  <c r="G188" i="24" s="1"/>
  <c r="D189" i="16" a="1"/>
  <c r="D189" i="16" s="1"/>
  <c r="G190" i="24" s="1"/>
  <c r="C191" i="16" a="1"/>
  <c r="C191" i="16" s="1"/>
  <c r="F192" i="24" s="1"/>
  <c r="B193" i="16" a="1"/>
  <c r="B193" i="16" s="1"/>
  <c r="B195" i="16" a="1"/>
  <c r="B195" i="16" s="1"/>
  <c r="B197" i="16" a="1"/>
  <c r="B197" i="16" s="1"/>
  <c r="E200" i="16" a="1"/>
  <c r="E200" i="16" s="1"/>
  <c r="D202" i="16" a="1"/>
  <c r="D202" i="16" s="1"/>
  <c r="G203" i="24" s="1"/>
  <c r="D204" i="16" a="1"/>
  <c r="D204" i="16" s="1"/>
  <c r="G205" i="24" s="1"/>
  <c r="E207" i="16" a="1"/>
  <c r="E207" i="16" s="1"/>
  <c r="D209" i="16" a="1"/>
  <c r="D209" i="16" s="1"/>
  <c r="G210" i="24" s="1"/>
  <c r="B211" i="16" a="1"/>
  <c r="B211" i="16" s="1"/>
  <c r="C212" i="16" a="1"/>
  <c r="C212" i="16" s="1"/>
  <c r="F213" i="24" s="1"/>
  <c r="B214" i="16" a="1"/>
  <c r="B214" i="16" s="1"/>
  <c r="C217" i="16" a="1"/>
  <c r="C217" i="16" s="1"/>
  <c r="F218" i="24" s="1"/>
  <c r="E218" i="16" a="1"/>
  <c r="E218" i="16" s="1"/>
  <c r="D223" i="16" a="1"/>
  <c r="D223" i="16" s="1"/>
  <c r="G224" i="24" s="1"/>
  <c r="B225" i="16" a="1"/>
  <c r="B225" i="16" s="1"/>
  <c r="D226" i="16" a="1"/>
  <c r="D226" i="16" s="1"/>
  <c r="G227" i="24" s="1"/>
  <c r="B228" i="16" a="1"/>
  <c r="B228" i="16" s="1"/>
  <c r="E229" i="16" a="1"/>
  <c r="E229" i="16" s="1"/>
  <c r="C231" i="16" a="1"/>
  <c r="C231" i="16" s="1"/>
  <c r="F232" i="24" s="1"/>
  <c r="E232" i="16" a="1"/>
  <c r="E232" i="16" s="1"/>
  <c r="C234" i="16" a="1"/>
  <c r="C234" i="16" s="1"/>
  <c r="F235" i="24" s="1"/>
  <c r="D237" i="16" a="1"/>
  <c r="D237" i="16" s="1"/>
  <c r="G238" i="24" s="1"/>
  <c r="E238" i="16" a="1"/>
  <c r="E238" i="16" s="1"/>
  <c r="C240" i="16" a="1"/>
  <c r="C240" i="16" s="1"/>
  <c r="F241" i="24" s="1"/>
  <c r="E241" i="16" a="1"/>
  <c r="E241" i="16" s="1"/>
  <c r="C243" i="16" a="1"/>
  <c r="C243" i="16" s="1"/>
  <c r="F244" i="24" s="1"/>
  <c r="D244" i="16" a="1"/>
  <c r="D244" i="16" s="1"/>
  <c r="G245" i="24" s="1"/>
  <c r="B249" i="16" a="1"/>
  <c r="B249" i="16" s="1"/>
  <c r="D250" i="16" a="1"/>
  <c r="D250" i="16" s="1"/>
  <c r="G251" i="24" s="1"/>
  <c r="B252" i="16" a="1"/>
  <c r="B252" i="16" s="1"/>
  <c r="D253" i="16" a="1"/>
  <c r="D253" i="16" s="1"/>
  <c r="G254" i="24" s="1"/>
  <c r="D256" i="16" a="1"/>
  <c r="D256" i="16" s="1"/>
  <c r="G257" i="24" s="1"/>
  <c r="E257" i="16" a="1"/>
  <c r="E257" i="16" s="1"/>
  <c r="C259" i="16" a="1"/>
  <c r="C259" i="16" s="1"/>
  <c r="F260" i="24" s="1"/>
  <c r="C262" i="16" a="1"/>
  <c r="C262" i="16" s="1"/>
  <c r="F263" i="24" s="1"/>
  <c r="E123" i="16" a="1"/>
  <c r="E123" i="16" s="1"/>
  <c r="E125" i="16" a="1"/>
  <c r="E125" i="16" s="1"/>
  <c r="D127" i="16" a="1"/>
  <c r="D127" i="16" s="1"/>
  <c r="G128" i="24" s="1"/>
  <c r="C129" i="16" a="1"/>
  <c r="C129" i="16" s="1"/>
  <c r="F130" i="24" s="1"/>
  <c r="C131" i="16" a="1"/>
  <c r="C131" i="16" s="1"/>
  <c r="F132" i="24" s="1"/>
  <c r="C133" i="16" a="1"/>
  <c r="C133" i="16" s="1"/>
  <c r="F134" i="24" s="1"/>
  <c r="B135" i="16" a="1"/>
  <c r="B135" i="16" s="1"/>
  <c r="E138" i="16" a="1"/>
  <c r="E138" i="16" s="1"/>
  <c r="E140" i="16" a="1"/>
  <c r="E140" i="16" s="1"/>
  <c r="E142" i="16" a="1"/>
  <c r="E142" i="16" s="1"/>
  <c r="D144" i="16" a="1"/>
  <c r="D144" i="16" s="1"/>
  <c r="G145" i="24" s="1"/>
  <c r="C146" i="16" a="1"/>
  <c r="C146" i="16" s="1"/>
  <c r="F147" i="24" s="1"/>
  <c r="C148" i="16" a="1"/>
  <c r="C148" i="16" s="1"/>
  <c r="F149" i="24" s="1"/>
  <c r="C150" i="16" a="1"/>
  <c r="C150" i="16" s="1"/>
  <c r="F151" i="24" s="1"/>
  <c r="B152" i="16" a="1"/>
  <c r="B152" i="16" s="1"/>
  <c r="E153" i="16" a="1"/>
  <c r="E153" i="16" s="1"/>
  <c r="E155" i="16" a="1"/>
  <c r="E155" i="16" s="1"/>
  <c r="E157" i="16" a="1"/>
  <c r="E157" i="16" s="1"/>
  <c r="D159" i="16" a="1"/>
  <c r="D159" i="16" s="1"/>
  <c r="G160" i="24" s="1"/>
  <c r="C161" i="16" a="1"/>
  <c r="C161" i="16" s="1"/>
  <c r="F162" i="24" s="1"/>
  <c r="C163" i="16" a="1"/>
  <c r="C163" i="16" s="1"/>
  <c r="F164" i="24" s="1"/>
  <c r="C165" i="16" a="1"/>
  <c r="C165" i="16" s="1"/>
  <c r="F166" i="24" s="1"/>
  <c r="B167" i="16" a="1"/>
  <c r="B167" i="16" s="1"/>
  <c r="E170" i="16" a="1"/>
  <c r="E170" i="16" s="1"/>
  <c r="E172" i="16" a="1"/>
  <c r="E172" i="16" s="1"/>
  <c r="E174" i="16" a="1"/>
  <c r="E174" i="16" s="1"/>
  <c r="D176" i="16" a="1"/>
  <c r="D176" i="16" s="1"/>
  <c r="G177" i="24" s="1"/>
  <c r="C178" i="16" a="1"/>
  <c r="C178" i="16" s="1"/>
  <c r="F179" i="24" s="1"/>
  <c r="C180" i="16" a="1"/>
  <c r="C180" i="16" s="1"/>
  <c r="F181" i="24" s="1"/>
  <c r="C182" i="16" a="1"/>
  <c r="C182" i="16" s="1"/>
  <c r="F183" i="24" s="1"/>
  <c r="B184" i="16" a="1"/>
  <c r="B184" i="16" s="1"/>
  <c r="E185" i="16" a="1"/>
  <c r="E185" i="16" s="1"/>
  <c r="E187" i="16" a="1"/>
  <c r="E187" i="16" s="1"/>
  <c r="E189" i="16" a="1"/>
  <c r="E189" i="16" s="1"/>
  <c r="D191" i="16" a="1"/>
  <c r="D191" i="16" s="1"/>
  <c r="G192" i="24" s="1"/>
  <c r="C193" i="16" a="1"/>
  <c r="C193" i="16" s="1"/>
  <c r="F194" i="24" s="1"/>
  <c r="C195" i="16" a="1"/>
  <c r="C195" i="16" s="1"/>
  <c r="F196" i="24" s="1"/>
  <c r="C197" i="16" a="1"/>
  <c r="C197" i="16" s="1"/>
  <c r="F198" i="24" s="1"/>
  <c r="B199" i="16" a="1"/>
  <c r="B199" i="16" s="1"/>
  <c r="E202" i="16" a="1"/>
  <c r="E202" i="16" s="1"/>
  <c r="E204" i="16" a="1"/>
  <c r="E204" i="16" s="1"/>
  <c r="C206" i="16" a="1"/>
  <c r="C206" i="16" s="1"/>
  <c r="F207" i="24" s="1"/>
  <c r="B208" i="16" a="1"/>
  <c r="B208" i="16" s="1"/>
  <c r="C211" i="16" a="1"/>
  <c r="C211" i="16" s="1"/>
  <c r="F212" i="24" s="1"/>
  <c r="D212" i="16" a="1"/>
  <c r="D212" i="16" s="1"/>
  <c r="G213" i="24" s="1"/>
  <c r="E215" i="16" a="1"/>
  <c r="E215" i="16" s="1"/>
  <c r="D217" i="16" a="1"/>
  <c r="D217" i="16" s="1"/>
  <c r="G218" i="24" s="1"/>
  <c r="B219" i="16" a="1"/>
  <c r="B219" i="16" s="1"/>
  <c r="C220" i="16" a="1"/>
  <c r="C220" i="16" s="1"/>
  <c r="F221" i="24" s="1"/>
  <c r="B222" i="16" a="1"/>
  <c r="B222" i="16" s="1"/>
  <c r="C225" i="16" a="1"/>
  <c r="C225" i="16" s="1"/>
  <c r="F226" i="24" s="1"/>
  <c r="E226" i="16" a="1"/>
  <c r="E226" i="16" s="1"/>
  <c r="D231" i="16" a="1"/>
  <c r="D231" i="16" s="1"/>
  <c r="G232" i="24" s="1"/>
  <c r="B233" i="16" a="1"/>
  <c r="B233" i="16" s="1"/>
  <c r="D234" i="16" a="1"/>
  <c r="D234" i="16" s="1"/>
  <c r="G235" i="24" s="1"/>
  <c r="B236" i="16" a="1"/>
  <c r="B236" i="16" s="1"/>
  <c r="E237" i="16" a="1"/>
  <c r="E237" i="16" s="1"/>
  <c r="B239" i="16" a="1"/>
  <c r="B239" i="16" s="1"/>
  <c r="D240" i="16" a="1"/>
  <c r="D240" i="16" s="1"/>
  <c r="G241" i="24" s="1"/>
  <c r="D243" i="16" a="1"/>
  <c r="D243" i="16" s="1"/>
  <c r="G244" i="24" s="1"/>
  <c r="E244" i="16" a="1"/>
  <c r="E244" i="16" s="1"/>
  <c r="C246" i="16" a="1"/>
  <c r="C246" i="16" s="1"/>
  <c r="F247" i="24" s="1"/>
  <c r="E247" i="16" a="1"/>
  <c r="E247" i="16" s="1"/>
  <c r="C249" i="16" a="1"/>
  <c r="C249" i="16" s="1"/>
  <c r="F250" i="24" s="1"/>
  <c r="E250" i="16" a="1"/>
  <c r="E250" i="16" s="1"/>
  <c r="E253" i="16" a="1"/>
  <c r="E253" i="16" s="1"/>
  <c r="B255" i="16" a="1"/>
  <c r="B255" i="16" s="1"/>
  <c r="B122" i="16" a="1"/>
  <c r="B122" i="16" s="1"/>
  <c r="B124" i="16" a="1"/>
  <c r="B124" i="16" s="1"/>
  <c r="B126" i="16" a="1"/>
  <c r="B126" i="16" s="1"/>
  <c r="E127" i="16" a="1"/>
  <c r="E127" i="16" s="1"/>
  <c r="D129" i="16" a="1"/>
  <c r="D129" i="16" s="1"/>
  <c r="G130" i="24" s="1"/>
  <c r="D131" i="16" a="1"/>
  <c r="D131" i="16" s="1"/>
  <c r="G132" i="24" s="1"/>
  <c r="D133" i="16" a="1"/>
  <c r="D133" i="16" s="1"/>
  <c r="G134" i="24" s="1"/>
  <c r="C135" i="16" a="1"/>
  <c r="C135" i="16" s="1"/>
  <c r="F136" i="24" s="1"/>
  <c r="B137" i="16" a="1"/>
  <c r="B137" i="16" s="1"/>
  <c r="B139" i="16" a="1"/>
  <c r="B139" i="16" s="1"/>
  <c r="B141" i="16" a="1"/>
  <c r="B141" i="16" s="1"/>
  <c r="E144" i="16" a="1"/>
  <c r="E144" i="16" s="1"/>
  <c r="D146" i="16" a="1"/>
  <c r="D146" i="16" s="1"/>
  <c r="G147" i="24" s="1"/>
  <c r="D148" i="16" a="1"/>
  <c r="D148" i="16" s="1"/>
  <c r="G149" i="24" s="1"/>
  <c r="D150" i="16" a="1"/>
  <c r="D150" i="16" s="1"/>
  <c r="G151" i="24" s="1"/>
  <c r="C152" i="16" a="1"/>
  <c r="C152" i="16" s="1"/>
  <c r="F153" i="24" s="1"/>
  <c r="B154" i="16" a="1"/>
  <c r="B154" i="16" s="1"/>
  <c r="B156" i="16" a="1"/>
  <c r="B156" i="16" s="1"/>
  <c r="B158" i="16" a="1"/>
  <c r="B158" i="16" s="1"/>
  <c r="E159" i="16" a="1"/>
  <c r="E159" i="16" s="1"/>
  <c r="D161" i="16" a="1"/>
  <c r="D161" i="16" s="1"/>
  <c r="G162" i="24" s="1"/>
  <c r="D163" i="16" a="1"/>
  <c r="D163" i="16" s="1"/>
  <c r="G164" i="24" s="1"/>
  <c r="D165" i="16" a="1"/>
  <c r="D165" i="16" s="1"/>
  <c r="G166" i="24" s="1"/>
  <c r="C167" i="16" a="1"/>
  <c r="C167" i="16" s="1"/>
  <c r="F168" i="24" s="1"/>
  <c r="B169" i="16" a="1"/>
  <c r="B169" i="16" s="1"/>
  <c r="B171" i="16" a="1"/>
  <c r="B171" i="16" s="1"/>
  <c r="B173" i="16" a="1"/>
  <c r="B173" i="16" s="1"/>
  <c r="E176" i="16" a="1"/>
  <c r="E176" i="16" s="1"/>
  <c r="D178" i="16" a="1"/>
  <c r="D178" i="16" s="1"/>
  <c r="G179" i="24" s="1"/>
  <c r="D180" i="16" a="1"/>
  <c r="D180" i="16" s="1"/>
  <c r="G181" i="24" s="1"/>
  <c r="D182" i="16" a="1"/>
  <c r="D182" i="16" s="1"/>
  <c r="G183" i="24" s="1"/>
  <c r="C184" i="16" a="1"/>
  <c r="C184" i="16" s="1"/>
  <c r="F185" i="24" s="1"/>
  <c r="B186" i="16" a="1"/>
  <c r="B186" i="16" s="1"/>
  <c r="B188" i="16" a="1"/>
  <c r="B188" i="16" s="1"/>
  <c r="B190" i="16" a="1"/>
  <c r="B190" i="16" s="1"/>
  <c r="E191" i="16" a="1"/>
  <c r="E191" i="16" s="1"/>
  <c r="D193" i="16" a="1"/>
  <c r="D193" i="16" s="1"/>
  <c r="G194" i="24" s="1"/>
  <c r="D195" i="16" a="1"/>
  <c r="D195" i="16" s="1"/>
  <c r="G196" i="24" s="1"/>
  <c r="D197" i="16" a="1"/>
  <c r="D197" i="16" s="1"/>
  <c r="G198" i="24" s="1"/>
  <c r="C199" i="16" a="1"/>
  <c r="C199" i="16" s="1"/>
  <c r="F200" i="24" s="1"/>
  <c r="B201" i="16" a="1"/>
  <c r="B201" i="16" s="1"/>
  <c r="B203" i="16" a="1"/>
  <c r="B203" i="16" s="1"/>
  <c r="B205" i="16" a="1"/>
  <c r="B205" i="16" s="1"/>
  <c r="D206" i="16" a="1"/>
  <c r="D206" i="16" s="1"/>
  <c r="G207" i="24" s="1"/>
  <c r="E209" i="16" a="1"/>
  <c r="E209" i="16" s="1"/>
  <c r="D211" i="16" a="1"/>
  <c r="D211" i="16" s="1"/>
  <c r="G212" i="24" s="1"/>
  <c r="E212" i="16" a="1"/>
  <c r="E212" i="16" s="1"/>
  <c r="C214" i="16" a="1"/>
  <c r="C214" i="16" s="1"/>
  <c r="F215" i="24" s="1"/>
  <c r="B216" i="16" a="1"/>
  <c r="B216" i="16" s="1"/>
  <c r="C219" i="16" a="1"/>
  <c r="C219" i="16" s="1"/>
  <c r="F220" i="24" s="1"/>
  <c r="D220" i="16" a="1"/>
  <c r="D220" i="16" s="1"/>
  <c r="G221" i="24" s="1"/>
  <c r="E223" i="16" a="1"/>
  <c r="E223" i="16" s="1"/>
  <c r="D225" i="16" a="1"/>
  <c r="D225" i="16" s="1"/>
  <c r="G226" i="24" s="1"/>
  <c r="B227" i="16" a="1"/>
  <c r="B227" i="16" s="1"/>
  <c r="C228" i="16" a="1"/>
  <c r="C228" i="16" s="1"/>
  <c r="F229" i="24" s="1"/>
  <c r="B230" i="16" a="1"/>
  <c r="B230" i="16" s="1"/>
  <c r="C233" i="16" a="1"/>
  <c r="C233" i="16" s="1"/>
  <c r="F234" i="24" s="1"/>
  <c r="E234" i="16" a="1"/>
  <c r="E234" i="16" s="1"/>
  <c r="C239" i="16" a="1"/>
  <c r="C239" i="16" s="1"/>
  <c r="F240" i="24" s="1"/>
  <c r="E240" i="16" a="1"/>
  <c r="E240" i="16" s="1"/>
  <c r="B242" i="16" a="1"/>
  <c r="B242" i="16" s="1"/>
  <c r="B245" i="16" a="1"/>
  <c r="B245" i="16" s="1"/>
  <c r="D246" i="16" a="1"/>
  <c r="D246" i="16" s="1"/>
  <c r="G247" i="24" s="1"/>
  <c r="B248" i="16" a="1"/>
  <c r="B248" i="16" s="1"/>
  <c r="D249" i="16" a="1"/>
  <c r="D249" i="16" s="1"/>
  <c r="G250" i="24" s="1"/>
  <c r="B251" i="16" a="1"/>
  <c r="B251" i="16" s="1"/>
  <c r="C252" i="16" a="1"/>
  <c r="C252" i="16" s="1"/>
  <c r="F253" i="24" s="1"/>
  <c r="B254" i="16" a="1"/>
  <c r="B254" i="16" s="1"/>
  <c r="C255" i="16" a="1"/>
  <c r="C255" i="16" s="1"/>
  <c r="F256" i="24" s="1"/>
  <c r="C122" i="16" a="1"/>
  <c r="C122" i="16" s="1"/>
  <c r="F123" i="24" s="1"/>
  <c r="C124" i="16" a="1"/>
  <c r="C124" i="16" s="1"/>
  <c r="F125" i="24" s="1"/>
  <c r="C126" i="16" a="1"/>
  <c r="C126" i="16" s="1"/>
  <c r="F127" i="24" s="1"/>
  <c r="B128" i="16" a="1"/>
  <c r="B128" i="16" s="1"/>
  <c r="E129" i="16" a="1"/>
  <c r="E129" i="16" s="1"/>
  <c r="E131" i="16" a="1"/>
  <c r="E131" i="16" s="1"/>
  <c r="E133" i="16" a="1"/>
  <c r="E133" i="16" s="1"/>
  <c r="D135" i="16" a="1"/>
  <c r="D135" i="16" s="1"/>
  <c r="G136" i="24" s="1"/>
  <c r="C137" i="16" a="1"/>
  <c r="C137" i="16" s="1"/>
  <c r="F138" i="24" s="1"/>
  <c r="C139" i="16" a="1"/>
  <c r="C139" i="16" s="1"/>
  <c r="F140" i="24" s="1"/>
  <c r="C141" i="16" a="1"/>
  <c r="C141" i="16" s="1"/>
  <c r="F142" i="24" s="1"/>
  <c r="B143" i="16" a="1"/>
  <c r="B143" i="16" s="1"/>
  <c r="E146" i="16" a="1"/>
  <c r="E146" i="16" s="1"/>
  <c r="E148" i="16" a="1"/>
  <c r="E148" i="16" s="1"/>
  <c r="E150" i="16" a="1"/>
  <c r="E150" i="16" s="1"/>
  <c r="D152" i="16" a="1"/>
  <c r="D152" i="16" s="1"/>
  <c r="G153" i="24" s="1"/>
  <c r="C154" i="16" a="1"/>
  <c r="C154" i="16" s="1"/>
  <c r="F155" i="24" s="1"/>
  <c r="C156" i="16" a="1"/>
  <c r="C156" i="16" s="1"/>
  <c r="F157" i="24" s="1"/>
  <c r="C158" i="16" a="1"/>
  <c r="C158" i="16" s="1"/>
  <c r="F159" i="24" s="1"/>
  <c r="B160" i="16" a="1"/>
  <c r="B160" i="16" s="1"/>
  <c r="E161" i="16" a="1"/>
  <c r="E161" i="16" s="1"/>
  <c r="E163" i="16" a="1"/>
  <c r="E163" i="16" s="1"/>
  <c r="E165" i="16" a="1"/>
  <c r="E165" i="16" s="1"/>
  <c r="D167" i="16" a="1"/>
  <c r="D167" i="16" s="1"/>
  <c r="G168" i="24" s="1"/>
  <c r="C169" i="16" a="1"/>
  <c r="C169" i="16" s="1"/>
  <c r="F170" i="24" s="1"/>
  <c r="C171" i="16" a="1"/>
  <c r="C171" i="16" s="1"/>
  <c r="F172" i="24" s="1"/>
  <c r="C173" i="16" a="1"/>
  <c r="C173" i="16" s="1"/>
  <c r="F174" i="24" s="1"/>
  <c r="B175" i="16" a="1"/>
  <c r="B175" i="16" s="1"/>
  <c r="E178" i="16" a="1"/>
  <c r="E178" i="16" s="1"/>
  <c r="E180" i="16" a="1"/>
  <c r="E180" i="16" s="1"/>
  <c r="E182" i="16" a="1"/>
  <c r="E182" i="16" s="1"/>
  <c r="D184" i="16" a="1"/>
  <c r="D184" i="16" s="1"/>
  <c r="G185" i="24" s="1"/>
  <c r="C186" i="16" a="1"/>
  <c r="C186" i="16" s="1"/>
  <c r="F187" i="24" s="1"/>
  <c r="C188" i="16" a="1"/>
  <c r="C188" i="16" s="1"/>
  <c r="F189" i="24" s="1"/>
  <c r="C190" i="16" a="1"/>
  <c r="C190" i="16" s="1"/>
  <c r="F191" i="24" s="1"/>
  <c r="B192" i="16" a="1"/>
  <c r="B192" i="16" s="1"/>
  <c r="E193" i="16" a="1"/>
  <c r="E193" i="16" s="1"/>
  <c r="E195" i="16" a="1"/>
  <c r="E195" i="16" s="1"/>
  <c r="E197" i="16" a="1"/>
  <c r="E197" i="16" s="1"/>
  <c r="D199" i="16" a="1"/>
  <c r="D199" i="16" s="1"/>
  <c r="G200" i="24" s="1"/>
  <c r="C201" i="16" a="1"/>
  <c r="C201" i="16" s="1"/>
  <c r="F202" i="24" s="1"/>
  <c r="C203" i="16" a="1"/>
  <c r="C203" i="16" s="1"/>
  <c r="F204" i="24" s="1"/>
  <c r="C205" i="16" a="1"/>
  <c r="C205" i="16" s="1"/>
  <c r="F206" i="24" s="1"/>
  <c r="E206" i="16" a="1"/>
  <c r="E206" i="16" s="1"/>
  <c r="C208" i="16" a="1"/>
  <c r="C208" i="16" s="1"/>
  <c r="F209" i="24" s="1"/>
  <c r="B213" i="16" a="1"/>
  <c r="B213" i="16" s="1"/>
  <c r="D214" i="16" a="1"/>
  <c r="D214" i="16" s="1"/>
  <c r="G215" i="24" s="1"/>
  <c r="E217" i="16" a="1"/>
  <c r="E217" i="16" s="1"/>
  <c r="D219" i="16" a="1"/>
  <c r="D219" i="16" s="1"/>
  <c r="G220" i="24" s="1"/>
  <c r="E220" i="16" a="1"/>
  <c r="E220" i="16" s="1"/>
  <c r="C222" i="16" a="1"/>
  <c r="C222" i="16" s="1"/>
  <c r="F223" i="24" s="1"/>
  <c r="B224" i="16" a="1"/>
  <c r="B224" i="16" s="1"/>
  <c r="C227" i="16" a="1"/>
  <c r="C227" i="16" s="1"/>
  <c r="F228" i="24" s="1"/>
  <c r="D228" i="16" a="1"/>
  <c r="D228" i="16" s="1"/>
  <c r="G229" i="24" s="1"/>
  <c r="E231" i="16" a="1"/>
  <c r="E231" i="16" s="1"/>
  <c r="D233" i="16" a="1"/>
  <c r="D233" i="16" s="1"/>
  <c r="G234" i="24" s="1"/>
  <c r="B235" i="16" a="1"/>
  <c r="B235" i="16" s="1"/>
  <c r="C236" i="16" a="1"/>
  <c r="C236" i="16" s="1"/>
  <c r="F237" i="24" s="1"/>
  <c r="B238" i="16" a="1"/>
  <c r="B238" i="16" s="1"/>
  <c r="D239" i="16" a="1"/>
  <c r="D239" i="16" s="1"/>
  <c r="G240" i="24" s="1"/>
  <c r="C242" i="16" a="1"/>
  <c r="C242" i="16" s="1"/>
  <c r="F243" i="24" s="1"/>
  <c r="E243" i="16" a="1"/>
  <c r="E243" i="16" s="1"/>
  <c r="C245" i="16" a="1"/>
  <c r="C245" i="16" s="1"/>
  <c r="F246" i="24" s="1"/>
  <c r="D252" i="16" a="1"/>
  <c r="D252" i="16" s="1"/>
  <c r="G253" i="24" s="1"/>
  <c r="D255" i="16" a="1"/>
  <c r="D255" i="16" s="1"/>
  <c r="G256" i="24" s="1"/>
  <c r="B257" i="16" a="1"/>
  <c r="B257" i="16" s="1"/>
  <c r="C258" i="16" a="1"/>
  <c r="C258" i="16" s="1"/>
  <c r="F259" i="24" s="1"/>
  <c r="D122" i="16" a="1"/>
  <c r="D122" i="16" s="1"/>
  <c r="G123" i="24" s="1"/>
  <c r="D124" i="16" a="1"/>
  <c r="D124" i="16" s="1"/>
  <c r="G125" i="24" s="1"/>
  <c r="D126" i="16" a="1"/>
  <c r="D126" i="16" s="1"/>
  <c r="G127" i="24" s="1"/>
  <c r="C128" i="16" a="1"/>
  <c r="C128" i="16" s="1"/>
  <c r="F129" i="24" s="1"/>
  <c r="B130" i="16" a="1"/>
  <c r="B130" i="16" s="1"/>
  <c r="B132" i="16" a="1"/>
  <c r="B132" i="16" s="1"/>
  <c r="B134" i="16" a="1"/>
  <c r="B134" i="16" s="1"/>
  <c r="E135" i="16" a="1"/>
  <c r="E135" i="16" s="1"/>
  <c r="D137" i="16" a="1"/>
  <c r="D137" i="16" s="1"/>
  <c r="G138" i="24" s="1"/>
  <c r="D139" i="16" a="1"/>
  <c r="D139" i="16" s="1"/>
  <c r="G140" i="24" s="1"/>
  <c r="D141" i="16" a="1"/>
  <c r="D141" i="16" s="1"/>
  <c r="G142" i="24" s="1"/>
  <c r="C143" i="16" a="1"/>
  <c r="C143" i="16" s="1"/>
  <c r="F144" i="24" s="1"/>
  <c r="B145" i="16" a="1"/>
  <c r="B145" i="16" s="1"/>
  <c r="B147" i="16" a="1"/>
  <c r="B147" i="16" s="1"/>
  <c r="B149" i="16" a="1"/>
  <c r="B149" i="16" s="1"/>
  <c r="E152" i="16" a="1"/>
  <c r="E152" i="16" s="1"/>
  <c r="D154" i="16" a="1"/>
  <c r="D154" i="16" s="1"/>
  <c r="G155" i="24" s="1"/>
  <c r="D156" i="16" a="1"/>
  <c r="D156" i="16" s="1"/>
  <c r="G157" i="24" s="1"/>
  <c r="D158" i="16" a="1"/>
  <c r="D158" i="16" s="1"/>
  <c r="G159" i="24" s="1"/>
  <c r="C160" i="16" a="1"/>
  <c r="C160" i="16" s="1"/>
  <c r="F161" i="24" s="1"/>
  <c r="B162" i="16" a="1"/>
  <c r="B162" i="16" s="1"/>
  <c r="B164" i="16" a="1"/>
  <c r="B164" i="16" s="1"/>
  <c r="B166" i="16" a="1"/>
  <c r="B166" i="16" s="1"/>
  <c r="E167" i="16" a="1"/>
  <c r="E167" i="16" s="1"/>
  <c r="D169" i="16" a="1"/>
  <c r="D169" i="16" s="1"/>
  <c r="G170" i="24" s="1"/>
  <c r="D171" i="16" a="1"/>
  <c r="D171" i="16" s="1"/>
  <c r="G172" i="24" s="1"/>
  <c r="D173" i="16" a="1"/>
  <c r="D173" i="16" s="1"/>
  <c r="G174" i="24" s="1"/>
  <c r="C175" i="16" a="1"/>
  <c r="C175" i="16" s="1"/>
  <c r="F176" i="24" s="1"/>
  <c r="B177" i="16" a="1"/>
  <c r="B177" i="16" s="1"/>
  <c r="B179" i="16" a="1"/>
  <c r="B179" i="16" s="1"/>
  <c r="B181" i="16" a="1"/>
  <c r="B181" i="16" s="1"/>
  <c r="E184" i="16" a="1"/>
  <c r="E184" i="16" s="1"/>
  <c r="D186" i="16" a="1"/>
  <c r="D186" i="16" s="1"/>
  <c r="G187" i="24" s="1"/>
  <c r="D188" i="16" a="1"/>
  <c r="D188" i="16" s="1"/>
  <c r="G189" i="24" s="1"/>
  <c r="D190" i="16" a="1"/>
  <c r="D190" i="16" s="1"/>
  <c r="G191" i="24" s="1"/>
  <c r="C192" i="16" a="1"/>
  <c r="C192" i="16" s="1"/>
  <c r="F193" i="24" s="1"/>
  <c r="B194" i="16" a="1"/>
  <c r="B194" i="16" s="1"/>
  <c r="B196" i="16" a="1"/>
  <c r="B196" i="16" s="1"/>
  <c r="B198" i="16" a="1"/>
  <c r="B198" i="16" s="1"/>
  <c r="E199" i="16" a="1"/>
  <c r="E199" i="16" s="1"/>
  <c r="D201" i="16" a="1"/>
  <c r="D201" i="16" s="1"/>
  <c r="G202" i="24" s="1"/>
  <c r="D203" i="16" a="1"/>
  <c r="D203" i="16" s="1"/>
  <c r="G204" i="24" s="1"/>
  <c r="D205" i="16" a="1"/>
  <c r="D205" i="16" s="1"/>
  <c r="G206" i="24" s="1"/>
  <c r="B207" i="16" a="1"/>
  <c r="B207" i="16" s="1"/>
  <c r="D208" i="16" a="1"/>
  <c r="D208" i="16" s="1"/>
  <c r="G209" i="24" s="1"/>
  <c r="B210" i="16" a="1"/>
  <c r="B210" i="16" s="1"/>
  <c r="E211" i="16" a="1"/>
  <c r="E211" i="16" s="1"/>
  <c r="C213" i="16" a="1"/>
  <c r="C213" i="16" s="1"/>
  <c r="F214" i="24" s="1"/>
  <c r="E214" i="16" a="1"/>
  <c r="E214" i="16" s="1"/>
  <c r="C216" i="16" a="1"/>
  <c r="C216" i="16" s="1"/>
  <c r="F217" i="24" s="1"/>
  <c r="B221" i="16" a="1"/>
  <c r="B221" i="16" s="1"/>
  <c r="D222" i="16" a="1"/>
  <c r="D222" i="16" s="1"/>
  <c r="G223" i="24" s="1"/>
  <c r="E225" i="16" a="1"/>
  <c r="E225" i="16" s="1"/>
  <c r="D227" i="16" a="1"/>
  <c r="D227" i="16" s="1"/>
  <c r="G228" i="24" s="1"/>
  <c r="E228" i="16" a="1"/>
  <c r="E228" i="16" s="1"/>
  <c r="C230" i="16" a="1"/>
  <c r="C230" i="16" s="1"/>
  <c r="F231" i="24" s="1"/>
  <c r="B232" i="16" a="1"/>
  <c r="B232" i="16" s="1"/>
  <c r="C235" i="16" a="1"/>
  <c r="C235" i="16" s="1"/>
  <c r="F236" i="24" s="1"/>
  <c r="D236" i="16" a="1"/>
  <c r="D236" i="16" s="1"/>
  <c r="G237" i="24" s="1"/>
  <c r="B241" i="16" a="1"/>
  <c r="B241" i="16" s="1"/>
  <c r="D242" i="16" a="1"/>
  <c r="D242" i="16" s="1"/>
  <c r="G243" i="24" s="1"/>
  <c r="D245" i="16" a="1"/>
  <c r="D245" i="16" s="1"/>
  <c r="G246" i="24" s="1"/>
  <c r="E246" i="16" a="1"/>
  <c r="E246" i="16" s="1"/>
  <c r="C248" i="16" a="1"/>
  <c r="C248" i="16" s="1"/>
  <c r="F249" i="24" s="1"/>
  <c r="E249" i="16" a="1"/>
  <c r="E249" i="16" s="1"/>
  <c r="C251" i="16" a="1"/>
  <c r="C251" i="16" s="1"/>
  <c r="F252" i="24" s="1"/>
  <c r="C254" i="16" a="1"/>
  <c r="C254" i="16" s="1"/>
  <c r="F255" i="24" s="1"/>
  <c r="D258" i="16" a="1"/>
  <c r="D258" i="16" s="1"/>
  <c r="G259" i="24" s="1"/>
  <c r="B260" i="16" a="1"/>
  <c r="B260" i="16" s="1"/>
  <c r="D261" i="16" a="1"/>
  <c r="D261" i="16" s="1"/>
  <c r="G262" i="24" s="1"/>
  <c r="B121" i="16" a="1"/>
  <c r="B121" i="16" s="1"/>
  <c r="E122" i="16" a="1"/>
  <c r="E122" i="16" s="1"/>
  <c r="E124" i="16" a="1"/>
  <c r="E124" i="16" s="1"/>
  <c r="E126" i="16" a="1"/>
  <c r="E126" i="16" s="1"/>
  <c r="D128" i="16" a="1"/>
  <c r="D128" i="16" s="1"/>
  <c r="G129" i="24" s="1"/>
  <c r="C130" i="16" a="1"/>
  <c r="C130" i="16" s="1"/>
  <c r="F131" i="24" s="1"/>
  <c r="C132" i="16" a="1"/>
  <c r="C132" i="16" s="1"/>
  <c r="F133" i="24" s="1"/>
  <c r="C134" i="16" a="1"/>
  <c r="C134" i="16" s="1"/>
  <c r="F135" i="24" s="1"/>
  <c r="B136" i="16" a="1"/>
  <c r="B136" i="16" s="1"/>
  <c r="E137" i="16" a="1"/>
  <c r="E137" i="16" s="1"/>
  <c r="E139" i="16" a="1"/>
  <c r="E139" i="16" s="1"/>
  <c r="E141" i="16" a="1"/>
  <c r="E141" i="16" s="1"/>
  <c r="D143" i="16" a="1"/>
  <c r="D143" i="16" s="1"/>
  <c r="G144" i="24" s="1"/>
  <c r="C145" i="16" a="1"/>
  <c r="C145" i="16" s="1"/>
  <c r="F146" i="24" s="1"/>
  <c r="C147" i="16" a="1"/>
  <c r="C147" i="16" s="1"/>
  <c r="F148" i="24" s="1"/>
  <c r="C149" i="16" a="1"/>
  <c r="C149" i="16" s="1"/>
  <c r="F150" i="24" s="1"/>
  <c r="B151" i="16" a="1"/>
  <c r="B151" i="16" s="1"/>
  <c r="E154" i="16" a="1"/>
  <c r="E154" i="16" s="1"/>
  <c r="E156" i="16" a="1"/>
  <c r="E156" i="16" s="1"/>
  <c r="E158" i="16" a="1"/>
  <c r="E158" i="16" s="1"/>
  <c r="D160" i="16" a="1"/>
  <c r="D160" i="16" s="1"/>
  <c r="G161" i="24" s="1"/>
  <c r="C162" i="16" a="1"/>
  <c r="C162" i="16" s="1"/>
  <c r="F163" i="24" s="1"/>
  <c r="C164" i="16" a="1"/>
  <c r="C164" i="16" s="1"/>
  <c r="F165" i="24" s="1"/>
  <c r="C166" i="16" a="1"/>
  <c r="C166" i="16" s="1"/>
  <c r="F167" i="24" s="1"/>
  <c r="B168" i="16" a="1"/>
  <c r="B168" i="16" s="1"/>
  <c r="E169" i="16" a="1"/>
  <c r="E169" i="16" s="1"/>
  <c r="E171" i="16" a="1"/>
  <c r="E171" i="16" s="1"/>
  <c r="E173" i="16" a="1"/>
  <c r="E173" i="16" s="1"/>
  <c r="D175" i="16" a="1"/>
  <c r="D175" i="16" s="1"/>
  <c r="G176" i="24" s="1"/>
  <c r="C177" i="16" a="1"/>
  <c r="C177" i="16" s="1"/>
  <c r="F178" i="24" s="1"/>
  <c r="C179" i="16" a="1"/>
  <c r="C179" i="16" s="1"/>
  <c r="F180" i="24" s="1"/>
  <c r="C181" i="16" a="1"/>
  <c r="C181" i="16" s="1"/>
  <c r="F182" i="24" s="1"/>
  <c r="B183" i="16" a="1"/>
  <c r="B183" i="16" s="1"/>
  <c r="E186" i="16" a="1"/>
  <c r="E186" i="16" s="1"/>
  <c r="E188" i="16" a="1"/>
  <c r="E188" i="16" s="1"/>
  <c r="E190" i="16" a="1"/>
  <c r="E190" i="16" s="1"/>
  <c r="D192" i="16" a="1"/>
  <c r="D192" i="16" s="1"/>
  <c r="G193" i="24" s="1"/>
  <c r="C194" i="16" a="1"/>
  <c r="C194" i="16" s="1"/>
  <c r="F195" i="24" s="1"/>
  <c r="C196" i="16" a="1"/>
  <c r="C196" i="16" s="1"/>
  <c r="F197" i="24" s="1"/>
  <c r="C198" i="16" a="1"/>
  <c r="C198" i="16" s="1"/>
  <c r="F199" i="24" s="1"/>
  <c r="B200" i="16" a="1"/>
  <c r="B200" i="16" s="1"/>
  <c r="E201" i="16" a="1"/>
  <c r="E201" i="16" s="1"/>
  <c r="E203" i="16" a="1"/>
  <c r="E203" i="16" s="1"/>
  <c r="E205" i="16" a="1"/>
  <c r="E205" i="16" s="1"/>
  <c r="C207" i="16" a="1"/>
  <c r="C207" i="16" s="1"/>
  <c r="F208" i="24" s="1"/>
  <c r="E208" i="16" a="1"/>
  <c r="E208" i="16" s="1"/>
  <c r="C210" i="16" a="1"/>
  <c r="C210" i="16" s="1"/>
  <c r="F211" i="24" s="1"/>
  <c r="D213" i="16" a="1"/>
  <c r="D213" i="16" s="1"/>
  <c r="G214" i="24" s="1"/>
  <c r="B215" i="16" a="1"/>
  <c r="B215" i="16" s="1"/>
  <c r="D216" i="16" a="1"/>
  <c r="D216" i="16" s="1"/>
  <c r="G217" i="24" s="1"/>
  <c r="B218" i="16" a="1"/>
  <c r="B218" i="16" s="1"/>
  <c r="E219" i="16" a="1"/>
  <c r="E219" i="16" s="1"/>
  <c r="C221" i="16" a="1"/>
  <c r="C221" i="16" s="1"/>
  <c r="F222" i="24" s="1"/>
  <c r="E222" i="16" a="1"/>
  <c r="E222" i="16" s="1"/>
  <c r="C224" i="16" a="1"/>
  <c r="C224" i="16" s="1"/>
  <c r="F225" i="24" s="1"/>
  <c r="B229" i="16" a="1"/>
  <c r="B229" i="16" s="1"/>
  <c r="D230" i="16" a="1"/>
  <c r="D230" i="16" s="1"/>
  <c r="G231" i="24" s="1"/>
  <c r="E233" i="16" a="1"/>
  <c r="E233" i="16" s="1"/>
  <c r="D235" i="16" a="1"/>
  <c r="D235" i="16" s="1"/>
  <c r="G236" i="24" s="1"/>
  <c r="E236" i="16" a="1"/>
  <c r="E236" i="16" s="1"/>
  <c r="C238" i="16" a="1"/>
  <c r="C238" i="16" s="1"/>
  <c r="F239" i="24" s="1"/>
  <c r="E239" i="16" a="1"/>
  <c r="E239" i="16" s="1"/>
  <c r="C241" i="16" a="1"/>
  <c r="C241" i="16" s="1"/>
  <c r="F242" i="24" s="1"/>
  <c r="E242" i="16" a="1"/>
  <c r="E242" i="16" s="1"/>
  <c r="B244" i="16" a="1"/>
  <c r="B244" i="16" s="1"/>
  <c r="E245" i="16" a="1"/>
  <c r="E245" i="16" s="1"/>
  <c r="B247" i="16" a="1"/>
  <c r="B247" i="16" s="1"/>
  <c r="D248" i="16" a="1"/>
  <c r="D248" i="16" s="1"/>
  <c r="G249" i="24" s="1"/>
  <c r="D251" i="16" a="1"/>
  <c r="D251" i="16" s="1"/>
  <c r="G252" i="24" s="1"/>
  <c r="E252" i="16" a="1"/>
  <c r="E252" i="16" s="1"/>
  <c r="D254" i="16" a="1"/>
  <c r="D254" i="16" s="1"/>
  <c r="G255" i="24" s="1"/>
  <c r="C121" i="16" a="1"/>
  <c r="C121" i="16" s="1"/>
  <c r="F122" i="24" s="1"/>
  <c r="B123" i="16" a="1"/>
  <c r="B123" i="16" s="1"/>
  <c r="B125" i="16" a="1"/>
  <c r="B125" i="16" s="1"/>
  <c r="E128" i="16" a="1"/>
  <c r="E128" i="16" s="1"/>
  <c r="D130" i="16" a="1"/>
  <c r="D130" i="16" s="1"/>
  <c r="G131" i="24" s="1"/>
  <c r="D132" i="16" a="1"/>
  <c r="D132" i="16" s="1"/>
  <c r="G133" i="24" s="1"/>
  <c r="D134" i="16" a="1"/>
  <c r="D134" i="16" s="1"/>
  <c r="G135" i="24" s="1"/>
  <c r="C136" i="16" a="1"/>
  <c r="C136" i="16" s="1"/>
  <c r="F137" i="24" s="1"/>
  <c r="B138" i="16" a="1"/>
  <c r="B138" i="16" s="1"/>
  <c r="B140" i="16" a="1"/>
  <c r="B140" i="16" s="1"/>
  <c r="B142" i="16" a="1"/>
  <c r="B142" i="16" s="1"/>
  <c r="E143" i="16" a="1"/>
  <c r="E143" i="16" s="1"/>
  <c r="D145" i="16" a="1"/>
  <c r="D145" i="16" s="1"/>
  <c r="G146" i="24" s="1"/>
  <c r="D147" i="16" a="1"/>
  <c r="D147" i="16" s="1"/>
  <c r="G148" i="24" s="1"/>
  <c r="D149" i="16" a="1"/>
  <c r="D149" i="16" s="1"/>
  <c r="G150" i="24" s="1"/>
  <c r="C151" i="16" a="1"/>
  <c r="C151" i="16" s="1"/>
  <c r="F152" i="24" s="1"/>
  <c r="B153" i="16" a="1"/>
  <c r="B153" i="16" s="1"/>
  <c r="B155" i="16" a="1"/>
  <c r="B155" i="16" s="1"/>
  <c r="B157" i="16" a="1"/>
  <c r="B157" i="16" s="1"/>
  <c r="E160" i="16" a="1"/>
  <c r="E160" i="16" s="1"/>
  <c r="D162" i="16" a="1"/>
  <c r="D162" i="16" s="1"/>
  <c r="G163" i="24" s="1"/>
  <c r="D164" i="16" a="1"/>
  <c r="D164" i="16" s="1"/>
  <c r="G165" i="24" s="1"/>
  <c r="D166" i="16" a="1"/>
  <c r="D166" i="16" s="1"/>
  <c r="G167" i="24" s="1"/>
  <c r="C168" i="16" a="1"/>
  <c r="C168" i="16" s="1"/>
  <c r="F169" i="24" s="1"/>
  <c r="B170" i="16" a="1"/>
  <c r="B170" i="16" s="1"/>
  <c r="B172" i="16" a="1"/>
  <c r="B172" i="16" s="1"/>
  <c r="B174" i="16" a="1"/>
  <c r="B174" i="16" s="1"/>
  <c r="E175" i="16" a="1"/>
  <c r="E175" i="16" s="1"/>
  <c r="D177" i="16" a="1"/>
  <c r="D177" i="16" s="1"/>
  <c r="G178" i="24" s="1"/>
  <c r="D179" i="16" a="1"/>
  <c r="D179" i="16" s="1"/>
  <c r="G180" i="24" s="1"/>
  <c r="D181" i="16" a="1"/>
  <c r="D181" i="16" s="1"/>
  <c r="G182" i="24" s="1"/>
  <c r="C183" i="16" a="1"/>
  <c r="C183" i="16" s="1"/>
  <c r="F184" i="24" s="1"/>
  <c r="B185" i="16" a="1"/>
  <c r="B185" i="16" s="1"/>
  <c r="B187" i="16" a="1"/>
  <c r="B187" i="16" s="1"/>
  <c r="B189" i="16" a="1"/>
  <c r="B189" i="16" s="1"/>
  <c r="E192" i="16" a="1"/>
  <c r="E192" i="16" s="1"/>
  <c r="D194" i="16" a="1"/>
  <c r="D194" i="16" s="1"/>
  <c r="G195" i="24" s="1"/>
  <c r="D196" i="16" a="1"/>
  <c r="D196" i="16" s="1"/>
  <c r="G197" i="24" s="1"/>
  <c r="D198" i="16" a="1"/>
  <c r="D198" i="16" s="1"/>
  <c r="G199" i="24" s="1"/>
  <c r="C200" i="16" a="1"/>
  <c r="C200" i="16" s="1"/>
  <c r="F201" i="24" s="1"/>
  <c r="B202" i="16" a="1"/>
  <c r="B202" i="16" s="1"/>
  <c r="B204" i="16" a="1"/>
  <c r="B204" i="16" s="1"/>
  <c r="D207" i="16" a="1"/>
  <c r="D207" i="16" s="1"/>
  <c r="G208" i="24" s="1"/>
  <c r="B209" i="16" a="1"/>
  <c r="B209" i="16" s="1"/>
  <c r="D210" i="16" a="1"/>
  <c r="D210" i="16" s="1"/>
  <c r="G211" i="24" s="1"/>
  <c r="B212" i="16" a="1"/>
  <c r="B212" i="16" s="1"/>
  <c r="E213" i="16" a="1"/>
  <c r="E213" i="16" s="1"/>
  <c r="C215" i="16" a="1"/>
  <c r="C215" i="16" s="1"/>
  <c r="F216" i="24" s="1"/>
  <c r="E216" i="16" a="1"/>
  <c r="E216" i="16" s="1"/>
  <c r="C218" i="16" a="1"/>
  <c r="C218" i="16" s="1"/>
  <c r="F219" i="24" s="1"/>
  <c r="D221" i="16" a="1"/>
  <c r="D221" i="16" s="1"/>
  <c r="G222" i="24" s="1"/>
  <c r="B223" i="16" a="1"/>
  <c r="B223" i="16" s="1"/>
  <c r="D224" i="16" a="1"/>
  <c r="D224" i="16" s="1"/>
  <c r="G225" i="24" s="1"/>
  <c r="B226" i="16" a="1"/>
  <c r="B226" i="16" s="1"/>
  <c r="E227" i="16" a="1"/>
  <c r="E227" i="16" s="1"/>
  <c r="C229" i="16" a="1"/>
  <c r="C229" i="16" s="1"/>
  <c r="F230" i="24" s="1"/>
  <c r="E230" i="16" a="1"/>
  <c r="E230" i="16" s="1"/>
  <c r="C232" i="16" a="1"/>
  <c r="C232" i="16" s="1"/>
  <c r="F233" i="24" s="1"/>
  <c r="B237" i="16" a="1"/>
  <c r="B237" i="16" s="1"/>
  <c r="D238" i="16" a="1"/>
  <c r="D238" i="16" s="1"/>
  <c r="G239" i="24" s="1"/>
  <c r="B240" i="16" a="1"/>
  <c r="B240" i="16" s="1"/>
  <c r="D241" i="16" a="1"/>
  <c r="D241" i="16" s="1"/>
  <c r="G242" i="24" s="1"/>
  <c r="B243" i="16" a="1"/>
  <c r="B243" i="16" s="1"/>
  <c r="C247" i="16" a="1"/>
  <c r="C247" i="16" s="1"/>
  <c r="F248" i="24" s="1"/>
  <c r="E248" i="16" a="1"/>
  <c r="E248" i="16" s="1"/>
  <c r="B250" i="16" a="1"/>
  <c r="B250" i="16" s="1"/>
  <c r="E251" i="16" a="1"/>
  <c r="E251" i="16" s="1"/>
  <c r="B253" i="16" a="1"/>
  <c r="B253" i="16" s="1"/>
  <c r="B256" i="16" a="1"/>
  <c r="B256" i="16" s="1"/>
  <c r="D257" i="16" a="1"/>
  <c r="D257" i="16" s="1"/>
  <c r="G258" i="24" s="1"/>
  <c r="D121" i="16" a="1"/>
  <c r="D121" i="16" s="1"/>
  <c r="G122" i="24" s="1"/>
  <c r="C123" i="16" a="1"/>
  <c r="C123" i="16" s="1"/>
  <c r="F124" i="24" s="1"/>
  <c r="C125" i="16" a="1"/>
  <c r="C125" i="16" s="1"/>
  <c r="F126" i="24" s="1"/>
  <c r="B127" i="16" a="1"/>
  <c r="B127" i="16" s="1"/>
  <c r="E130" i="16" a="1"/>
  <c r="E130" i="16" s="1"/>
  <c r="E132" i="16" a="1"/>
  <c r="E132" i="16" s="1"/>
  <c r="E134" i="16" a="1"/>
  <c r="E134" i="16" s="1"/>
  <c r="D136" i="16" a="1"/>
  <c r="D136" i="16" s="1"/>
  <c r="G137" i="24" s="1"/>
  <c r="C138" i="16" a="1"/>
  <c r="C138" i="16" s="1"/>
  <c r="F139" i="24" s="1"/>
  <c r="C140" i="16" a="1"/>
  <c r="C140" i="16" s="1"/>
  <c r="F141" i="24" s="1"/>
  <c r="C142" i="16" a="1"/>
  <c r="C142" i="16" s="1"/>
  <c r="F143" i="24" s="1"/>
  <c r="B144" i="16" a="1"/>
  <c r="B144" i="16" s="1"/>
  <c r="E145" i="16" a="1"/>
  <c r="E145" i="16" s="1"/>
  <c r="E147" i="16" a="1"/>
  <c r="E147" i="16" s="1"/>
  <c r="E149" i="16" a="1"/>
  <c r="E149" i="16" s="1"/>
  <c r="D151" i="16" a="1"/>
  <c r="D151" i="16" s="1"/>
  <c r="G152" i="24" s="1"/>
  <c r="C153" i="16" a="1"/>
  <c r="C153" i="16" s="1"/>
  <c r="F154" i="24" s="1"/>
  <c r="C155" i="16" a="1"/>
  <c r="C155" i="16" s="1"/>
  <c r="F156" i="24" s="1"/>
  <c r="C157" i="16" a="1"/>
  <c r="C157" i="16" s="1"/>
  <c r="F158" i="24" s="1"/>
  <c r="B159" i="16" a="1"/>
  <c r="B159" i="16" s="1"/>
  <c r="E162" i="16" a="1"/>
  <c r="E162" i="16" s="1"/>
  <c r="E164" i="16" a="1"/>
  <c r="E164" i="16" s="1"/>
  <c r="E166" i="16" a="1"/>
  <c r="E166" i="16" s="1"/>
  <c r="D168" i="16" a="1"/>
  <c r="D168" i="16" s="1"/>
  <c r="G169" i="24" s="1"/>
  <c r="C170" i="16" a="1"/>
  <c r="C170" i="16" s="1"/>
  <c r="F171" i="24" s="1"/>
  <c r="C172" i="16" a="1"/>
  <c r="C172" i="16" s="1"/>
  <c r="F173" i="24" s="1"/>
  <c r="C174" i="16" a="1"/>
  <c r="C174" i="16" s="1"/>
  <c r="F175" i="24" s="1"/>
  <c r="B176" i="16" a="1"/>
  <c r="B176" i="16" s="1"/>
  <c r="E177" i="16" a="1"/>
  <c r="E177" i="16" s="1"/>
  <c r="E179" i="16" a="1"/>
  <c r="E179" i="16" s="1"/>
  <c r="E181" i="16" a="1"/>
  <c r="E181" i="16" s="1"/>
  <c r="D183" i="16" a="1"/>
  <c r="D183" i="16" s="1"/>
  <c r="G184" i="24" s="1"/>
  <c r="C185" i="16" a="1"/>
  <c r="C185" i="16" s="1"/>
  <c r="F186" i="24" s="1"/>
  <c r="C187" i="16" a="1"/>
  <c r="C187" i="16" s="1"/>
  <c r="F188" i="24" s="1"/>
  <c r="C189" i="16" a="1"/>
  <c r="C189" i="16" s="1"/>
  <c r="F190" i="24" s="1"/>
  <c r="B191" i="16" a="1"/>
  <c r="B191" i="16" s="1"/>
  <c r="E194" i="16" a="1"/>
  <c r="E194" i="16" s="1"/>
  <c r="E196" i="16" a="1"/>
  <c r="E196" i="16" s="1"/>
  <c r="E198" i="16" a="1"/>
  <c r="E198" i="16" s="1"/>
  <c r="D200" i="16" a="1"/>
  <c r="D200" i="16" s="1"/>
  <c r="G201" i="24" s="1"/>
  <c r="C202" i="16" a="1"/>
  <c r="C202" i="16" s="1"/>
  <c r="F203" i="24" s="1"/>
  <c r="C204" i="16" a="1"/>
  <c r="C204" i="16" s="1"/>
  <c r="F205" i="24" s="1"/>
  <c r="B206" i="16" a="1"/>
  <c r="B206" i="16" s="1"/>
  <c r="C209" i="16" a="1"/>
  <c r="C209" i="16" s="1"/>
  <c r="F210" i="24" s="1"/>
  <c r="E210" i="16" a="1"/>
  <c r="E210" i="16" s="1"/>
  <c r="D215" i="16" a="1"/>
  <c r="D215" i="16" s="1"/>
  <c r="G216" i="24" s="1"/>
  <c r="B217" i="16" a="1"/>
  <c r="B217" i="16" s="1"/>
  <c r="D218" i="16" a="1"/>
  <c r="D218" i="16" s="1"/>
  <c r="G219" i="24" s="1"/>
  <c r="B220" i="16" a="1"/>
  <c r="B220" i="16" s="1"/>
  <c r="E221" i="16" a="1"/>
  <c r="E221" i="16" s="1"/>
  <c r="C223" i="16" a="1"/>
  <c r="C223" i="16" s="1"/>
  <c r="F224" i="24" s="1"/>
  <c r="E224" i="16" a="1"/>
  <c r="E224" i="16" s="1"/>
  <c r="C226" i="16" a="1"/>
  <c r="C226" i="16" s="1"/>
  <c r="F227" i="24" s="1"/>
  <c r="D229" i="16" a="1"/>
  <c r="D229" i="16" s="1"/>
  <c r="G230" i="24" s="1"/>
  <c r="B231" i="16" a="1"/>
  <c r="B231" i="16" s="1"/>
  <c r="D232" i="16" a="1"/>
  <c r="D232" i="16" s="1"/>
  <c r="G233" i="24" s="1"/>
  <c r="B234" i="16" a="1"/>
  <c r="B234" i="16" s="1"/>
  <c r="E235" i="16" a="1"/>
  <c r="E235" i="16" s="1"/>
  <c r="C237" i="16" a="1"/>
  <c r="C237" i="16" s="1"/>
  <c r="F238" i="24" s="1"/>
  <c r="C244" i="16" a="1"/>
  <c r="C244" i="16" s="1"/>
  <c r="F245" i="24" s="1"/>
  <c r="B246" i="16" a="1"/>
  <c r="B246" i="16" s="1"/>
  <c r="D247" i="16" a="1"/>
  <c r="D247" i="16" s="1"/>
  <c r="G248" i="24" s="1"/>
  <c r="C250" i="16" a="1"/>
  <c r="C250" i="16" s="1"/>
  <c r="F251" i="24" s="1"/>
  <c r="C253" i="16" a="1"/>
  <c r="C253" i="16" s="1"/>
  <c r="F254" i="24" s="1"/>
  <c r="E254" i="16" a="1"/>
  <c r="E254" i="16" s="1"/>
  <c r="C256" i="16" a="1"/>
  <c r="C256" i="16" s="1"/>
  <c r="F257" i="24" s="1"/>
  <c r="D260" i="16" a="1"/>
  <c r="D260" i="16" s="1"/>
  <c r="G261" i="24" s="1"/>
  <c r="D263" i="16" a="1"/>
  <c r="D263" i="16" s="1"/>
  <c r="G264" i="24" s="1"/>
  <c r="B265" i="16" a="1"/>
  <c r="B265" i="16" s="1"/>
  <c r="B258" i="16" a="1"/>
  <c r="B258" i="16" s="1"/>
  <c r="E260" i="16" a="1"/>
  <c r="E260" i="16" s="1"/>
  <c r="E264" i="16" a="1"/>
  <c r="E264" i="16" s="1"/>
  <c r="B266" i="16" a="1"/>
  <c r="B266" i="16" s="1"/>
  <c r="E267" i="16" a="1"/>
  <c r="E267" i="16" s="1"/>
  <c r="B269" i="16" a="1"/>
  <c r="B269" i="16" s="1"/>
  <c r="B121" i="17" a="1"/>
  <c r="B121" i="17" s="1"/>
  <c r="D122" i="17" a="1"/>
  <c r="D122" i="17" s="1"/>
  <c r="K123" i="24" s="1"/>
  <c r="B124" i="17" a="1"/>
  <c r="B124" i="17" s="1"/>
  <c r="C125" i="17" a="1"/>
  <c r="C125" i="17" s="1"/>
  <c r="J126" i="24" s="1"/>
  <c r="B127" i="17" a="1"/>
  <c r="B127" i="17" s="1"/>
  <c r="C128" i="17" a="1"/>
  <c r="C128" i="17" s="1"/>
  <c r="J129" i="24" s="1"/>
  <c r="D132" i="17" a="1"/>
  <c r="D132" i="17" s="1"/>
  <c r="K133" i="24" s="1"/>
  <c r="C134" i="17" a="1"/>
  <c r="C134" i="17" s="1"/>
  <c r="J135" i="24" s="1"/>
  <c r="B136" i="17" a="1"/>
  <c r="B136" i="17" s="1"/>
  <c r="E137" i="17" a="1"/>
  <c r="E137" i="17" s="1"/>
  <c r="D139" i="17" a="1"/>
  <c r="D139" i="17" s="1"/>
  <c r="K140" i="24" s="1"/>
  <c r="B141" i="17" a="1"/>
  <c r="B141" i="17" s="1"/>
  <c r="E142" i="17" a="1"/>
  <c r="E142" i="17" s="1"/>
  <c r="D144" i="17" a="1"/>
  <c r="D144" i="17" s="1"/>
  <c r="K145" i="24" s="1"/>
  <c r="C146" i="17" a="1"/>
  <c r="C146" i="17" s="1"/>
  <c r="J147" i="24" s="1"/>
  <c r="B148" i="17" a="1"/>
  <c r="B148" i="17" s="1"/>
  <c r="D149" i="17" a="1"/>
  <c r="D149" i="17" s="1"/>
  <c r="K150" i="24" s="1"/>
  <c r="D151" i="17" a="1"/>
  <c r="D151" i="17" s="1"/>
  <c r="K152" i="24" s="1"/>
  <c r="B153" i="17" a="1"/>
  <c r="B153" i="17" s="1"/>
  <c r="E154" i="17" a="1"/>
  <c r="E154" i="17" s="1"/>
  <c r="C156" i="17" a="1"/>
  <c r="C156" i="17" s="1"/>
  <c r="J157" i="24" s="1"/>
  <c r="B158" i="17" a="1"/>
  <c r="B158" i="17" s="1"/>
  <c r="E159" i="17" a="1"/>
  <c r="E159" i="17" s="1"/>
  <c r="D161" i="17" a="1"/>
  <c r="D161" i="17" s="1"/>
  <c r="K162" i="24" s="1"/>
  <c r="B163" i="17" a="1"/>
  <c r="B163" i="17" s="1"/>
  <c r="E164" i="17" a="1"/>
  <c r="E164" i="17" s="1"/>
  <c r="D166" i="17" a="1"/>
  <c r="D166" i="17" s="1"/>
  <c r="K167" i="24" s="1"/>
  <c r="C168" i="17" a="1"/>
  <c r="C168" i="17" s="1"/>
  <c r="J169" i="24" s="1"/>
  <c r="D171" i="17" a="1"/>
  <c r="D171" i="17" s="1"/>
  <c r="K172" i="24" s="1"/>
  <c r="B175" i="17" a="1"/>
  <c r="B175" i="17" s="1"/>
  <c r="C178" i="17" a="1"/>
  <c r="C178" i="17" s="1"/>
  <c r="J179" i="24" s="1"/>
  <c r="E179" i="17" a="1"/>
  <c r="E179" i="17" s="1"/>
  <c r="C181" i="17" a="1"/>
  <c r="C181" i="17" s="1"/>
  <c r="J182" i="24" s="1"/>
  <c r="C183" i="17" a="1"/>
  <c r="C183" i="17" s="1"/>
  <c r="J184" i="24" s="1"/>
  <c r="E184" i="17" a="1"/>
  <c r="E184" i="17" s="1"/>
  <c r="E186" i="17" a="1"/>
  <c r="E186" i="17" s="1"/>
  <c r="C188" i="17" a="1"/>
  <c r="C188" i="17" s="1"/>
  <c r="J189" i="24" s="1"/>
  <c r="D189" i="17" a="1"/>
  <c r="D189" i="17" s="1"/>
  <c r="K190" i="24" s="1"/>
  <c r="C191" i="17" a="1"/>
  <c r="C191" i="17" s="1"/>
  <c r="J192" i="24" s="1"/>
  <c r="D192" i="17" a="1"/>
  <c r="D192" i="17" s="1"/>
  <c r="K193" i="24" s="1"/>
  <c r="C194" i="17" a="1"/>
  <c r="C194" i="17" s="1"/>
  <c r="J195" i="24" s="1"/>
  <c r="E195" i="17" a="1"/>
  <c r="E195" i="17" s="1"/>
  <c r="C197" i="17" a="1"/>
  <c r="C197" i="17" s="1"/>
  <c r="J198" i="24" s="1"/>
  <c r="B199" i="17" a="1"/>
  <c r="B199" i="17" s="1"/>
  <c r="C200" i="17" a="1"/>
  <c r="C200" i="17" s="1"/>
  <c r="J201" i="24" s="1"/>
  <c r="D203" i="17" a="1"/>
  <c r="D203" i="17" s="1"/>
  <c r="K204" i="24" s="1"/>
  <c r="E206" i="17" a="1"/>
  <c r="E206" i="17" s="1"/>
  <c r="B210" i="17" a="1"/>
  <c r="B210" i="17" s="1"/>
  <c r="C211" i="17" a="1"/>
  <c r="C211" i="17" s="1"/>
  <c r="J212" i="24" s="1"/>
  <c r="B213" i="17" a="1"/>
  <c r="B213" i="17" s="1"/>
  <c r="D214" i="17" a="1"/>
  <c r="D214" i="17" s="1"/>
  <c r="K215" i="24" s="1"/>
  <c r="B216" i="17" a="1"/>
  <c r="B216" i="17" s="1"/>
  <c r="E217" i="17" a="1"/>
  <c r="E217" i="17" s="1"/>
  <c r="B219" i="17" a="1"/>
  <c r="B219" i="17" s="1"/>
  <c r="E220" i="17" a="1"/>
  <c r="E220" i="17" s="1"/>
  <c r="C222" i="17" a="1"/>
  <c r="C222" i="17" s="1"/>
  <c r="J223" i="24" s="1"/>
  <c r="D225" i="17" a="1"/>
  <c r="D225" i="17" s="1"/>
  <c r="K226" i="24" s="1"/>
  <c r="D228" i="17" a="1"/>
  <c r="D228" i="17" s="1"/>
  <c r="K229" i="24" s="1"/>
  <c r="B230" i="17" a="1"/>
  <c r="B230" i="17" s="1"/>
  <c r="E258" i="16" a="1"/>
  <c r="E258" i="16" s="1"/>
  <c r="B261" i="16" a="1"/>
  <c r="B261" i="16" s="1"/>
  <c r="B263" i="16" a="1"/>
  <c r="B263" i="16" s="1"/>
  <c r="C266" i="16" a="1"/>
  <c r="C266" i="16" s="1"/>
  <c r="F267" i="24" s="1"/>
  <c r="C269" i="16" a="1"/>
  <c r="C269" i="16" s="1"/>
  <c r="F270" i="24" s="1"/>
  <c r="E270" i="16" a="1"/>
  <c r="E270" i="16" s="1"/>
  <c r="C121" i="17" a="1"/>
  <c r="C121" i="17" s="1"/>
  <c r="J122" i="24" s="1"/>
  <c r="D125" i="17" a="1"/>
  <c r="D125" i="17" s="1"/>
  <c r="K126" i="24" s="1"/>
  <c r="D128" i="17" a="1"/>
  <c r="D128" i="17" s="1"/>
  <c r="K129" i="24" s="1"/>
  <c r="E129" i="17" a="1"/>
  <c r="E129" i="17" s="1"/>
  <c r="C131" i="17" a="1"/>
  <c r="C131" i="17" s="1"/>
  <c r="J132" i="24" s="1"/>
  <c r="E132" i="17" a="1"/>
  <c r="E132" i="17" s="1"/>
  <c r="D134" i="17" a="1"/>
  <c r="D134" i="17" s="1"/>
  <c r="K135" i="24" s="1"/>
  <c r="C136" i="17" a="1"/>
  <c r="C136" i="17" s="1"/>
  <c r="J137" i="24" s="1"/>
  <c r="E139" i="17" a="1"/>
  <c r="E139" i="17" s="1"/>
  <c r="C141" i="17" a="1"/>
  <c r="C141" i="17" s="1"/>
  <c r="J142" i="24" s="1"/>
  <c r="B143" i="17" a="1"/>
  <c r="B143" i="17" s="1"/>
  <c r="E144" i="17" a="1"/>
  <c r="E144" i="17" s="1"/>
  <c r="D146" i="17" a="1"/>
  <c r="D146" i="17" s="1"/>
  <c r="K147" i="24" s="1"/>
  <c r="E149" i="17" a="1"/>
  <c r="E149" i="17" s="1"/>
  <c r="C153" i="17" a="1"/>
  <c r="C153" i="17" s="1"/>
  <c r="J154" i="24" s="1"/>
  <c r="D156" i="17" a="1"/>
  <c r="D156" i="17" s="1"/>
  <c r="K157" i="24" s="1"/>
  <c r="C158" i="17" a="1"/>
  <c r="C158" i="17" s="1"/>
  <c r="J159" i="24" s="1"/>
  <c r="B160" i="17" a="1"/>
  <c r="B160" i="17" s="1"/>
  <c r="E161" i="17" a="1"/>
  <c r="E161" i="17" s="1"/>
  <c r="C163" i="17" a="1"/>
  <c r="C163" i="17" s="1"/>
  <c r="J164" i="24" s="1"/>
  <c r="B165" i="17" a="1"/>
  <c r="B165" i="17" s="1"/>
  <c r="E166" i="17" a="1"/>
  <c r="E166" i="17" s="1"/>
  <c r="D168" i="17" a="1"/>
  <c r="D168" i="17" s="1"/>
  <c r="K169" i="24" s="1"/>
  <c r="B170" i="17" a="1"/>
  <c r="B170" i="17" s="1"/>
  <c r="E171" i="17" a="1"/>
  <c r="E171" i="17" s="1"/>
  <c r="C173" i="17" a="1"/>
  <c r="C173" i="17" s="1"/>
  <c r="J174" i="24" s="1"/>
  <c r="C175" i="17" a="1"/>
  <c r="C175" i="17" s="1"/>
  <c r="J176" i="24" s="1"/>
  <c r="E176" i="17" a="1"/>
  <c r="E176" i="17" s="1"/>
  <c r="D178" i="17" a="1"/>
  <c r="D178" i="17" s="1"/>
  <c r="K179" i="24" s="1"/>
  <c r="B180" i="17" a="1"/>
  <c r="B180" i="17" s="1"/>
  <c r="D181" i="17" a="1"/>
  <c r="D181" i="17" s="1"/>
  <c r="K182" i="24" s="1"/>
  <c r="D183" i="17" a="1"/>
  <c r="D183" i="17" s="1"/>
  <c r="K184" i="24" s="1"/>
  <c r="B185" i="17" a="1"/>
  <c r="B185" i="17" s="1"/>
  <c r="E189" i="17" a="1"/>
  <c r="E189" i="17" s="1"/>
  <c r="E192" i="17" a="1"/>
  <c r="E192" i="17" s="1"/>
  <c r="B196" i="17" a="1"/>
  <c r="B196" i="17" s="1"/>
  <c r="D197" i="17" a="1"/>
  <c r="D197" i="17" s="1"/>
  <c r="K198" i="24" s="1"/>
  <c r="C199" i="17" a="1"/>
  <c r="C199" i="17" s="1"/>
  <c r="J200" i="24" s="1"/>
  <c r="D200" i="17" a="1"/>
  <c r="D200" i="17" s="1"/>
  <c r="K201" i="24" s="1"/>
  <c r="C202" i="17" a="1"/>
  <c r="C202" i="17" s="1"/>
  <c r="J203" i="24" s="1"/>
  <c r="E203" i="17" a="1"/>
  <c r="E203" i="17" s="1"/>
  <c r="C205" i="17" a="1"/>
  <c r="C205" i="17" s="1"/>
  <c r="J206" i="24" s="1"/>
  <c r="B207" i="17" a="1"/>
  <c r="B207" i="17" s="1"/>
  <c r="C208" i="17" a="1"/>
  <c r="C208" i="17" s="1"/>
  <c r="J209" i="24" s="1"/>
  <c r="D211" i="17" a="1"/>
  <c r="D211" i="17" s="1"/>
  <c r="K212" i="24" s="1"/>
  <c r="E214" i="17" a="1"/>
  <c r="E214" i="17" s="1"/>
  <c r="B218" i="17" a="1"/>
  <c r="B218" i="17" s="1"/>
  <c r="C219" i="17" a="1"/>
  <c r="C219" i="17" s="1"/>
  <c r="J220" i="24" s="1"/>
  <c r="B221" i="17" a="1"/>
  <c r="B221" i="17" s="1"/>
  <c r="D222" i="17" a="1"/>
  <c r="D222" i="17" s="1"/>
  <c r="K223" i="24" s="1"/>
  <c r="B224" i="17" a="1"/>
  <c r="B224" i="17" s="1"/>
  <c r="E225" i="17" a="1"/>
  <c r="E225" i="17" s="1"/>
  <c r="B227" i="17" a="1"/>
  <c r="B227" i="17" s="1"/>
  <c r="E228" i="17" a="1"/>
  <c r="E228" i="17" s="1"/>
  <c r="C230" i="17" a="1"/>
  <c r="C230" i="17" s="1"/>
  <c r="J231" i="24" s="1"/>
  <c r="D233" i="17" a="1"/>
  <c r="D233" i="17" s="1"/>
  <c r="K234" i="24" s="1"/>
  <c r="D236" i="17" a="1"/>
  <c r="D236" i="17" s="1"/>
  <c r="K237" i="24" s="1"/>
  <c r="B238" i="17" a="1"/>
  <c r="B238" i="17" s="1"/>
  <c r="E239" i="17" a="1"/>
  <c r="E239" i="17" s="1"/>
  <c r="B259" i="16" a="1"/>
  <c r="B259" i="16" s="1"/>
  <c r="C261" i="16" a="1"/>
  <c r="C261" i="16" s="1"/>
  <c r="F262" i="24" s="1"/>
  <c r="C263" i="16" a="1"/>
  <c r="C263" i="16" s="1"/>
  <c r="F264" i="24" s="1"/>
  <c r="D266" i="16" a="1"/>
  <c r="D266" i="16" s="1"/>
  <c r="G267" i="24" s="1"/>
  <c r="B268" i="16" a="1"/>
  <c r="B268" i="16" s="1"/>
  <c r="D269" i="16" a="1"/>
  <c r="D269" i="16" s="1"/>
  <c r="G270" i="24" s="1"/>
  <c r="D121" i="17" a="1"/>
  <c r="D121" i="17" s="1"/>
  <c r="K122" i="24" s="1"/>
  <c r="E122" i="17" a="1"/>
  <c r="E122" i="17" s="1"/>
  <c r="C124" i="17" a="1"/>
  <c r="C124" i="17" s="1"/>
  <c r="J125" i="24" s="1"/>
  <c r="C127" i="17" a="1"/>
  <c r="C127" i="17" s="1"/>
  <c r="J128" i="24" s="1"/>
  <c r="D131" i="17" a="1"/>
  <c r="D131" i="17" s="1"/>
  <c r="K132" i="24" s="1"/>
  <c r="B133" i="17" a="1"/>
  <c r="B133" i="17" s="1"/>
  <c r="D136" i="17" a="1"/>
  <c r="D136" i="17" s="1"/>
  <c r="K137" i="24" s="1"/>
  <c r="B138" i="17" a="1"/>
  <c r="B138" i="17" s="1"/>
  <c r="D141" i="17" a="1"/>
  <c r="D141" i="17" s="1"/>
  <c r="K142" i="24" s="1"/>
  <c r="C143" i="17" a="1"/>
  <c r="C143" i="17" s="1"/>
  <c r="J144" i="24" s="1"/>
  <c r="B145" i="17" a="1"/>
  <c r="B145" i="17" s="1"/>
  <c r="E146" i="17" a="1"/>
  <c r="E146" i="17" s="1"/>
  <c r="C148" i="17" a="1"/>
  <c r="C148" i="17" s="1"/>
  <c r="J149" i="24" s="1"/>
  <c r="B150" i="17" a="1"/>
  <c r="B150" i="17" s="1"/>
  <c r="E151" i="17" a="1"/>
  <c r="E151" i="17" s="1"/>
  <c r="D153" i="17" a="1"/>
  <c r="D153" i="17" s="1"/>
  <c r="K154" i="24" s="1"/>
  <c r="B155" i="17" a="1"/>
  <c r="B155" i="17" s="1"/>
  <c r="E156" i="17" a="1"/>
  <c r="E156" i="17" s="1"/>
  <c r="D158" i="17" a="1"/>
  <c r="D158" i="17" s="1"/>
  <c r="K159" i="24" s="1"/>
  <c r="C160" i="17" a="1"/>
  <c r="C160" i="17" s="1"/>
  <c r="J161" i="24" s="1"/>
  <c r="D163" i="17" a="1"/>
  <c r="D163" i="17" s="1"/>
  <c r="K164" i="24" s="1"/>
  <c r="B167" i="17" a="1"/>
  <c r="B167" i="17" s="1"/>
  <c r="C170" i="17" a="1"/>
  <c r="C170" i="17" s="1"/>
  <c r="J171" i="24" s="1"/>
  <c r="B172" i="17" a="1"/>
  <c r="B172" i="17" s="1"/>
  <c r="D173" i="17" a="1"/>
  <c r="D173" i="17" s="1"/>
  <c r="K174" i="24" s="1"/>
  <c r="D175" i="17" a="1"/>
  <c r="D175" i="17" s="1"/>
  <c r="K176" i="24" s="1"/>
  <c r="B177" i="17" a="1"/>
  <c r="B177" i="17" s="1"/>
  <c r="E178" i="17" a="1"/>
  <c r="E178" i="17" s="1"/>
  <c r="E181" i="17" a="1"/>
  <c r="E181" i="17" s="1"/>
  <c r="C185" i="17" a="1"/>
  <c r="C185" i="17" s="1"/>
  <c r="J186" i="24" s="1"/>
  <c r="B187" i="17" a="1"/>
  <c r="B187" i="17" s="1"/>
  <c r="D188" i="17" a="1"/>
  <c r="D188" i="17" s="1"/>
  <c r="K189" i="24" s="1"/>
  <c r="D191" i="17" a="1"/>
  <c r="D191" i="17" s="1"/>
  <c r="K192" i="24" s="1"/>
  <c r="B193" i="17" a="1"/>
  <c r="B193" i="17" s="1"/>
  <c r="D194" i="17" a="1"/>
  <c r="D194" i="17" s="1"/>
  <c r="K195" i="24" s="1"/>
  <c r="C196" i="17" a="1"/>
  <c r="C196" i="17" s="1"/>
  <c r="J197" i="24" s="1"/>
  <c r="E197" i="17" a="1"/>
  <c r="E197" i="17" s="1"/>
  <c r="E200" i="17" a="1"/>
  <c r="E200" i="17" s="1"/>
  <c r="B204" i="17" a="1"/>
  <c r="B204" i="17" s="1"/>
  <c r="D205" i="17" a="1"/>
  <c r="D205" i="17" s="1"/>
  <c r="K206" i="24" s="1"/>
  <c r="C207" i="17" a="1"/>
  <c r="C207" i="17" s="1"/>
  <c r="J208" i="24" s="1"/>
  <c r="D208" i="17" a="1"/>
  <c r="D208" i="17" s="1"/>
  <c r="K209" i="24" s="1"/>
  <c r="C210" i="17" a="1"/>
  <c r="C210" i="17" s="1"/>
  <c r="J211" i="24" s="1"/>
  <c r="E211" i="17" a="1"/>
  <c r="E211" i="17" s="1"/>
  <c r="C213" i="17" a="1"/>
  <c r="C213" i="17" s="1"/>
  <c r="J214" i="24" s="1"/>
  <c r="B215" i="17" a="1"/>
  <c r="B215" i="17" s="1"/>
  <c r="C216" i="17" a="1"/>
  <c r="C216" i="17" s="1"/>
  <c r="J217" i="24" s="1"/>
  <c r="D219" i="17" a="1"/>
  <c r="D219" i="17" s="1"/>
  <c r="K220" i="24" s="1"/>
  <c r="E222" i="17" a="1"/>
  <c r="E222" i="17" s="1"/>
  <c r="B226" i="17" a="1"/>
  <c r="B226" i="17" s="1"/>
  <c r="C227" i="17" a="1"/>
  <c r="C227" i="17" s="1"/>
  <c r="J228" i="24" s="1"/>
  <c r="B229" i="17" a="1"/>
  <c r="B229" i="17" s="1"/>
  <c r="D230" i="17" a="1"/>
  <c r="D230" i="17" s="1"/>
  <c r="K231" i="24" s="1"/>
  <c r="B232" i="17" a="1"/>
  <c r="B232" i="17" s="1"/>
  <c r="E233" i="17" a="1"/>
  <c r="E233" i="17" s="1"/>
  <c r="B235" i="17" a="1"/>
  <c r="B235" i="17" s="1"/>
  <c r="E236" i="17" a="1"/>
  <c r="E236" i="17" s="1"/>
  <c r="C238" i="17" a="1"/>
  <c r="C238" i="17" s="1"/>
  <c r="J239" i="24" s="1"/>
  <c r="D241" i="17" a="1"/>
  <c r="D241" i="17" s="1"/>
  <c r="K242" i="24" s="1"/>
  <c r="E255" i="16" a="1"/>
  <c r="E255" i="16" s="1"/>
  <c r="D259" i="16" a="1"/>
  <c r="D259" i="16" s="1"/>
  <c r="G260" i="24" s="1"/>
  <c r="E261" i="16" a="1"/>
  <c r="E261" i="16" s="1"/>
  <c r="C265" i="16" a="1"/>
  <c r="C265" i="16" s="1"/>
  <c r="F266" i="24" s="1"/>
  <c r="E266" i="16" a="1"/>
  <c r="E266" i="16" s="1"/>
  <c r="E269" i="16" a="1"/>
  <c r="E269" i="16" s="1"/>
  <c r="B271" i="16" a="1"/>
  <c r="B271" i="16" s="1"/>
  <c r="E121" i="17" a="1"/>
  <c r="E121" i="17" s="1"/>
  <c r="D124" i="17" a="1"/>
  <c r="D124" i="17" s="1"/>
  <c r="K125" i="24" s="1"/>
  <c r="E125" i="17" a="1"/>
  <c r="E125" i="17" s="1"/>
  <c r="D127" i="17" a="1"/>
  <c r="D127" i="17" s="1"/>
  <c r="K128" i="24" s="1"/>
  <c r="E128" i="17" a="1"/>
  <c r="E128" i="17" s="1"/>
  <c r="B130" i="17" a="1"/>
  <c r="B130" i="17" s="1"/>
  <c r="E131" i="17" a="1"/>
  <c r="E131" i="17" s="1"/>
  <c r="C133" i="17" a="1"/>
  <c r="C133" i="17" s="1"/>
  <c r="J134" i="24" s="1"/>
  <c r="E134" i="17" a="1"/>
  <c r="E134" i="17" s="1"/>
  <c r="E136" i="17" a="1"/>
  <c r="E136" i="17" s="1"/>
  <c r="C138" i="17" a="1"/>
  <c r="C138" i="17" s="1"/>
  <c r="J139" i="24" s="1"/>
  <c r="B140" i="17" a="1"/>
  <c r="B140" i="17" s="1"/>
  <c r="E141" i="17" a="1"/>
  <c r="E141" i="17" s="1"/>
  <c r="D143" i="17" a="1"/>
  <c r="D143" i="17" s="1"/>
  <c r="K144" i="24" s="1"/>
  <c r="C145" i="17" a="1"/>
  <c r="C145" i="17" s="1"/>
  <c r="J146" i="24" s="1"/>
  <c r="D148" i="17" a="1"/>
  <c r="D148" i="17" s="1"/>
  <c r="K149" i="24" s="1"/>
  <c r="C150" i="17" a="1"/>
  <c r="C150" i="17" s="1"/>
  <c r="J151" i="24" s="1"/>
  <c r="B152" i="17" a="1"/>
  <c r="B152" i="17" s="1"/>
  <c r="E153" i="17" a="1"/>
  <c r="E153" i="17" s="1"/>
  <c r="C155" i="17" a="1"/>
  <c r="C155" i="17" s="1"/>
  <c r="J156" i="24" s="1"/>
  <c r="B157" i="17" a="1"/>
  <c r="B157" i="17" s="1"/>
  <c r="E158" i="17" a="1"/>
  <c r="E158" i="17" s="1"/>
  <c r="D160" i="17" a="1"/>
  <c r="D160" i="17" s="1"/>
  <c r="K161" i="24" s="1"/>
  <c r="B162" i="17" a="1"/>
  <c r="B162" i="17" s="1"/>
  <c r="E163" i="17" a="1"/>
  <c r="E163" i="17" s="1"/>
  <c r="C165" i="17" a="1"/>
  <c r="C165" i="17" s="1"/>
  <c r="J166" i="24" s="1"/>
  <c r="C167" i="17" a="1"/>
  <c r="C167" i="17" s="1"/>
  <c r="J168" i="24" s="1"/>
  <c r="E168" i="17" a="1"/>
  <c r="E168" i="17" s="1"/>
  <c r="D170" i="17" a="1"/>
  <c r="D170" i="17" s="1"/>
  <c r="K171" i="24" s="1"/>
  <c r="E173" i="17" a="1"/>
  <c r="E173" i="17" s="1"/>
  <c r="C177" i="17" a="1"/>
  <c r="C177" i="17" s="1"/>
  <c r="J178" i="24" s="1"/>
  <c r="C180" i="17" a="1"/>
  <c r="C180" i="17" s="1"/>
  <c r="J181" i="24" s="1"/>
  <c r="B182" i="17" a="1"/>
  <c r="B182" i="17" s="1"/>
  <c r="E183" i="17" a="1"/>
  <c r="E183" i="17" s="1"/>
  <c r="D185" i="17" a="1"/>
  <c r="D185" i="17" s="1"/>
  <c r="K186" i="24" s="1"/>
  <c r="C187" i="17" a="1"/>
  <c r="C187" i="17" s="1"/>
  <c r="J188" i="24" s="1"/>
  <c r="E188" i="17" a="1"/>
  <c r="E188" i="17" s="1"/>
  <c r="B190" i="17" a="1"/>
  <c r="B190" i="17" s="1"/>
  <c r="E191" i="17" a="1"/>
  <c r="E191" i="17" s="1"/>
  <c r="C193" i="17" a="1"/>
  <c r="C193" i="17" s="1"/>
  <c r="J194" i="24" s="1"/>
  <c r="E194" i="17" a="1"/>
  <c r="E194" i="17" s="1"/>
  <c r="D199" i="17" a="1"/>
  <c r="D199" i="17" s="1"/>
  <c r="K200" i="24" s="1"/>
  <c r="B201" i="17" a="1"/>
  <c r="B201" i="17" s="1"/>
  <c r="D202" i="17" a="1"/>
  <c r="D202" i="17" s="1"/>
  <c r="K203" i="24" s="1"/>
  <c r="C204" i="17" a="1"/>
  <c r="C204" i="17" s="1"/>
  <c r="J205" i="24" s="1"/>
  <c r="E205" i="17" a="1"/>
  <c r="E205" i="17" s="1"/>
  <c r="E208" i="17" a="1"/>
  <c r="E208" i="17" s="1"/>
  <c r="B212" i="17" a="1"/>
  <c r="B212" i="17" s="1"/>
  <c r="D213" i="17" a="1"/>
  <c r="D213" i="17" s="1"/>
  <c r="K214" i="24" s="1"/>
  <c r="C215" i="17" a="1"/>
  <c r="C215" i="17" s="1"/>
  <c r="J216" i="24" s="1"/>
  <c r="D216" i="17" a="1"/>
  <c r="D216" i="17" s="1"/>
  <c r="K217" i="24" s="1"/>
  <c r="C218" i="17" a="1"/>
  <c r="C218" i="17" s="1"/>
  <c r="J219" i="24" s="1"/>
  <c r="E219" i="17" a="1"/>
  <c r="E219" i="17" s="1"/>
  <c r="C221" i="17" a="1"/>
  <c r="C221" i="17" s="1"/>
  <c r="J222" i="24" s="1"/>
  <c r="B223" i="17" a="1"/>
  <c r="B223" i="17" s="1"/>
  <c r="C224" i="17" a="1"/>
  <c r="C224" i="17" s="1"/>
  <c r="J225" i="24" s="1"/>
  <c r="D227" i="17" a="1"/>
  <c r="D227" i="17" s="1"/>
  <c r="K228" i="24" s="1"/>
  <c r="E230" i="17" a="1"/>
  <c r="E230" i="17" s="1"/>
  <c r="E256" i="16" a="1"/>
  <c r="E256" i="16" s="1"/>
  <c r="E259" i="16" a="1"/>
  <c r="E259" i="16" s="1"/>
  <c r="B262" i="16" a="1"/>
  <c r="B262" i="16" s="1"/>
  <c r="E263" i="16" a="1"/>
  <c r="E263" i="16" s="1"/>
  <c r="D265" i="16" a="1"/>
  <c r="D265" i="16" s="1"/>
  <c r="G266" i="24" s="1"/>
  <c r="B267" i="16" a="1"/>
  <c r="B267" i="16" s="1"/>
  <c r="C268" i="16" a="1"/>
  <c r="C268" i="16" s="1"/>
  <c r="F269" i="24" s="1"/>
  <c r="B270" i="16" a="1"/>
  <c r="B270" i="16" s="1"/>
  <c r="C271" i="16" a="1"/>
  <c r="C271" i="16" s="1"/>
  <c r="F272" i="24" s="1"/>
  <c r="B123" i="17" a="1"/>
  <c r="B123" i="17" s="1"/>
  <c r="E124" i="17" a="1"/>
  <c r="E124" i="17" s="1"/>
  <c r="B126" i="17" a="1"/>
  <c r="B126" i="17" s="1"/>
  <c r="C130" i="17" a="1"/>
  <c r="C130" i="17" s="1"/>
  <c r="J131" i="24" s="1"/>
  <c r="D133" i="17" a="1"/>
  <c r="D133" i="17" s="1"/>
  <c r="K134" i="24" s="1"/>
  <c r="B135" i="17" a="1"/>
  <c r="B135" i="17" s="1"/>
  <c r="B137" i="17" a="1"/>
  <c r="B137" i="17" s="1"/>
  <c r="D138" i="17" a="1"/>
  <c r="D138" i="17" s="1"/>
  <c r="K139" i="24" s="1"/>
  <c r="B142" i="17" a="1"/>
  <c r="B142" i="17" s="1"/>
  <c r="D145" i="17" a="1"/>
  <c r="D145" i="17" s="1"/>
  <c r="K146" i="24" s="1"/>
  <c r="B147" i="17" a="1"/>
  <c r="B147" i="17" s="1"/>
  <c r="E148" i="17" a="1"/>
  <c r="E148" i="17" s="1"/>
  <c r="D150" i="17" a="1"/>
  <c r="D150" i="17" s="1"/>
  <c r="K151" i="24" s="1"/>
  <c r="C152" i="17" a="1"/>
  <c r="C152" i="17" s="1"/>
  <c r="J153" i="24" s="1"/>
  <c r="D155" i="17" a="1"/>
  <c r="D155" i="17" s="1"/>
  <c r="K156" i="24" s="1"/>
  <c r="B159" i="17" a="1"/>
  <c r="B159" i="17" s="1"/>
  <c r="C162" i="17" a="1"/>
  <c r="C162" i="17" s="1"/>
  <c r="J163" i="24" s="1"/>
  <c r="B164" i="17" a="1"/>
  <c r="B164" i="17" s="1"/>
  <c r="D165" i="17" a="1"/>
  <c r="D165" i="17" s="1"/>
  <c r="K166" i="24" s="1"/>
  <c r="D167" i="17" a="1"/>
  <c r="D167" i="17" s="1"/>
  <c r="K168" i="24" s="1"/>
  <c r="B169" i="17" a="1"/>
  <c r="B169" i="17" s="1"/>
  <c r="E170" i="17" a="1"/>
  <c r="E170" i="17" s="1"/>
  <c r="C172" i="17" a="1"/>
  <c r="C172" i="17" s="1"/>
  <c r="J173" i="24" s="1"/>
  <c r="B174" i="17" a="1"/>
  <c r="B174" i="17" s="1"/>
  <c r="E175" i="17" a="1"/>
  <c r="E175" i="17" s="1"/>
  <c r="D177" i="17" a="1"/>
  <c r="D177" i="17" s="1"/>
  <c r="K178" i="24" s="1"/>
  <c r="B179" i="17" a="1"/>
  <c r="B179" i="17" s="1"/>
  <c r="D180" i="17" a="1"/>
  <c r="D180" i="17" s="1"/>
  <c r="K181" i="24" s="1"/>
  <c r="C182" i="17" a="1"/>
  <c r="C182" i="17" s="1"/>
  <c r="J183" i="24" s="1"/>
  <c r="B184" i="17" a="1"/>
  <c r="B184" i="17" s="1"/>
  <c r="E185" i="17" a="1"/>
  <c r="E185" i="17" s="1"/>
  <c r="D187" i="17" a="1"/>
  <c r="D187" i="17" s="1"/>
  <c r="K188" i="24" s="1"/>
  <c r="C190" i="17" a="1"/>
  <c r="C190" i="17" s="1"/>
  <c r="J191" i="24" s="1"/>
  <c r="D193" i="17" a="1"/>
  <c r="D193" i="17" s="1"/>
  <c r="K194" i="24" s="1"/>
  <c r="D196" i="17" a="1"/>
  <c r="D196" i="17" s="1"/>
  <c r="K197" i="24" s="1"/>
  <c r="B198" i="17" a="1"/>
  <c r="B198" i="17" s="1"/>
  <c r="E199" i="17" a="1"/>
  <c r="E199" i="17" s="1"/>
  <c r="C201" i="17" a="1"/>
  <c r="C201" i="17" s="1"/>
  <c r="J202" i="24" s="1"/>
  <c r="E202" i="17" a="1"/>
  <c r="E202" i="17" s="1"/>
  <c r="D207" i="17" a="1"/>
  <c r="D207" i="17" s="1"/>
  <c r="K208" i="24" s="1"/>
  <c r="B209" i="17" a="1"/>
  <c r="B209" i="17" s="1"/>
  <c r="D210" i="17" a="1"/>
  <c r="D210" i="17" s="1"/>
  <c r="K211" i="24" s="1"/>
  <c r="C212" i="17" a="1"/>
  <c r="C212" i="17" s="1"/>
  <c r="J213" i="24" s="1"/>
  <c r="E213" i="17" a="1"/>
  <c r="E213" i="17" s="1"/>
  <c r="E216" i="17" a="1"/>
  <c r="E216" i="17" s="1"/>
  <c r="B220" i="17" a="1"/>
  <c r="B220" i="17" s="1"/>
  <c r="D221" i="17" a="1"/>
  <c r="D221" i="17" s="1"/>
  <c r="K222" i="24" s="1"/>
  <c r="C223" i="17" a="1"/>
  <c r="C223" i="17" s="1"/>
  <c r="J224" i="24" s="1"/>
  <c r="D224" i="17" a="1"/>
  <c r="D224" i="17" s="1"/>
  <c r="K225" i="24" s="1"/>
  <c r="C226" i="17" a="1"/>
  <c r="C226" i="17" s="1"/>
  <c r="J227" i="24" s="1"/>
  <c r="E227" i="17" a="1"/>
  <c r="E227" i="17" s="1"/>
  <c r="C229" i="17" a="1"/>
  <c r="C229" i="17" s="1"/>
  <c r="J230" i="24" s="1"/>
  <c r="B231" i="17" a="1"/>
  <c r="B231" i="17" s="1"/>
  <c r="C232" i="17" a="1"/>
  <c r="C232" i="17" s="1"/>
  <c r="J233" i="24" s="1"/>
  <c r="D235" i="17" a="1"/>
  <c r="D235" i="17" s="1"/>
  <c r="K236" i="24" s="1"/>
  <c r="E238" i="17" a="1"/>
  <c r="E238" i="17" s="1"/>
  <c r="D262" i="16" a="1"/>
  <c r="D262" i="16" s="1"/>
  <c r="G263" i="24" s="1"/>
  <c r="B264" i="16" a="1"/>
  <c r="B264" i="16" s="1"/>
  <c r="D268" i="16" a="1"/>
  <c r="D268" i="16" s="1"/>
  <c r="G269" i="24" s="1"/>
  <c r="D271" i="16" a="1"/>
  <c r="D271" i="16" s="1"/>
  <c r="G272" i="24" s="1"/>
  <c r="B122" i="17" a="1"/>
  <c r="B122" i="17" s="1"/>
  <c r="C123" i="17" a="1"/>
  <c r="C123" i="17" s="1"/>
  <c r="J124" i="24" s="1"/>
  <c r="C126" i="17" a="1"/>
  <c r="C126" i="17" s="1"/>
  <c r="J127" i="24" s="1"/>
  <c r="E127" i="17" a="1"/>
  <c r="E127" i="17" s="1"/>
  <c r="B129" i="17" a="1"/>
  <c r="B129" i="17" s="1"/>
  <c r="D130" i="17" a="1"/>
  <c r="D130" i="17" s="1"/>
  <c r="K131" i="24" s="1"/>
  <c r="B132" i="17" a="1"/>
  <c r="B132" i="17" s="1"/>
  <c r="E133" i="17" a="1"/>
  <c r="E133" i="17" s="1"/>
  <c r="C135" i="17" a="1"/>
  <c r="C135" i="17" s="1"/>
  <c r="J136" i="24" s="1"/>
  <c r="C137" i="17" a="1"/>
  <c r="C137" i="17" s="1"/>
  <c r="J138" i="24" s="1"/>
  <c r="E138" i="17" a="1"/>
  <c r="E138" i="17" s="1"/>
  <c r="C140" i="17" a="1"/>
  <c r="C140" i="17" s="1"/>
  <c r="J141" i="24" s="1"/>
  <c r="E143" i="17" a="1"/>
  <c r="E143" i="17" s="1"/>
  <c r="E145" i="17" a="1"/>
  <c r="E145" i="17" s="1"/>
  <c r="C147" i="17" a="1"/>
  <c r="C147" i="17" s="1"/>
  <c r="J148" i="24" s="1"/>
  <c r="B149" i="17" a="1"/>
  <c r="B149" i="17" s="1"/>
  <c r="E150" i="17" a="1"/>
  <c r="E150" i="17" s="1"/>
  <c r="D152" i="17" a="1"/>
  <c r="D152" i="17" s="1"/>
  <c r="K153" i="24" s="1"/>
  <c r="B154" i="17" a="1"/>
  <c r="B154" i="17" s="1"/>
  <c r="E155" i="17" a="1"/>
  <c r="E155" i="17" s="1"/>
  <c r="C157" i="17" a="1"/>
  <c r="C157" i="17" s="1"/>
  <c r="J158" i="24" s="1"/>
  <c r="C159" i="17" a="1"/>
  <c r="C159" i="17" s="1"/>
  <c r="J160" i="24" s="1"/>
  <c r="E160" i="17" a="1"/>
  <c r="E160" i="17" s="1"/>
  <c r="D162" i="17" a="1"/>
  <c r="D162" i="17" s="1"/>
  <c r="K163" i="24" s="1"/>
  <c r="E165" i="17" a="1"/>
  <c r="E165" i="17" s="1"/>
  <c r="C169" i="17" a="1"/>
  <c r="C169" i="17" s="1"/>
  <c r="J170" i="24" s="1"/>
  <c r="D172" i="17" a="1"/>
  <c r="D172" i="17" s="1"/>
  <c r="K173" i="24" s="1"/>
  <c r="C174" i="17" a="1"/>
  <c r="C174" i="17" s="1"/>
  <c r="J175" i="24" s="1"/>
  <c r="B176" i="17" a="1"/>
  <c r="B176" i="17" s="1"/>
  <c r="E177" i="17" a="1"/>
  <c r="E177" i="17" s="1"/>
  <c r="E180" i="17" a="1"/>
  <c r="E180" i="17" s="1"/>
  <c r="D182" i="17" a="1"/>
  <c r="D182" i="17" s="1"/>
  <c r="K183" i="24" s="1"/>
  <c r="C184" i="17" a="1"/>
  <c r="C184" i="17" s="1"/>
  <c r="J185" i="24" s="1"/>
  <c r="B186" i="17" a="1"/>
  <c r="B186" i="17" s="1"/>
  <c r="E187" i="17" a="1"/>
  <c r="E187" i="17" s="1"/>
  <c r="B189" i="17" a="1"/>
  <c r="B189" i="17" s="1"/>
  <c r="D190" i="17" a="1"/>
  <c r="D190" i="17" s="1"/>
  <c r="K191" i="24" s="1"/>
  <c r="B192" i="17" a="1"/>
  <c r="B192" i="17" s="1"/>
  <c r="E193" i="17" a="1"/>
  <c r="E193" i="17" s="1"/>
  <c r="B195" i="17" a="1"/>
  <c r="B195" i="17" s="1"/>
  <c r="E196" i="17" a="1"/>
  <c r="E196" i="17" s="1"/>
  <c r="C198" i="17" a="1"/>
  <c r="C198" i="17" s="1"/>
  <c r="J199" i="24" s="1"/>
  <c r="D201" i="17" a="1"/>
  <c r="D201" i="17" s="1"/>
  <c r="K202" i="24" s="1"/>
  <c r="D204" i="17" a="1"/>
  <c r="D204" i="17" s="1"/>
  <c r="K205" i="24" s="1"/>
  <c r="B206" i="17" a="1"/>
  <c r="B206" i="17" s="1"/>
  <c r="E207" i="17" a="1"/>
  <c r="E207" i="17" s="1"/>
  <c r="C209" i="17" a="1"/>
  <c r="C209" i="17" s="1"/>
  <c r="J210" i="24" s="1"/>
  <c r="E210" i="17" a="1"/>
  <c r="E210" i="17" s="1"/>
  <c r="D215" i="17" a="1"/>
  <c r="D215" i="17" s="1"/>
  <c r="K216" i="24" s="1"/>
  <c r="B217" i="17" a="1"/>
  <c r="B217" i="17" s="1"/>
  <c r="D218" i="17" a="1"/>
  <c r="D218" i="17" s="1"/>
  <c r="K219" i="24" s="1"/>
  <c r="C220" i="17" a="1"/>
  <c r="C220" i="17" s="1"/>
  <c r="J221" i="24" s="1"/>
  <c r="E221" i="17" a="1"/>
  <c r="E221" i="17" s="1"/>
  <c r="E224" i="17" a="1"/>
  <c r="E224" i="17" s="1"/>
  <c r="B228" i="17" a="1"/>
  <c r="B228" i="17" s="1"/>
  <c r="D229" i="17" a="1"/>
  <c r="D229" i="17" s="1"/>
  <c r="K230" i="24" s="1"/>
  <c r="C231" i="17" a="1"/>
  <c r="C231" i="17" s="1"/>
  <c r="J232" i="24" s="1"/>
  <c r="D232" i="17" a="1"/>
  <c r="D232" i="17" s="1"/>
  <c r="K233" i="24" s="1"/>
  <c r="C234" i="17" a="1"/>
  <c r="C234" i="17" s="1"/>
  <c r="J235" i="24" s="1"/>
  <c r="E235" i="17" a="1"/>
  <c r="E235" i="17" s="1"/>
  <c r="C237" i="17" a="1"/>
  <c r="C237" i="17" s="1"/>
  <c r="J238" i="24" s="1"/>
  <c r="C257" i="16" a="1"/>
  <c r="C257" i="16" s="1"/>
  <c r="F258" i="24" s="1"/>
  <c r="C264" i="16" a="1"/>
  <c r="C264" i="16" s="1"/>
  <c r="F265" i="24" s="1"/>
  <c r="E265" i="16" a="1"/>
  <c r="E265" i="16" s="1"/>
  <c r="C267" i="16" a="1"/>
  <c r="C267" i="16" s="1"/>
  <c r="F268" i="24" s="1"/>
  <c r="C270" i="16" a="1"/>
  <c r="C270" i="16" s="1"/>
  <c r="F271" i="24" s="1"/>
  <c r="D123" i="17" a="1"/>
  <c r="D123" i="17" s="1"/>
  <c r="K124" i="24" s="1"/>
  <c r="B125" i="17" a="1"/>
  <c r="B125" i="17" s="1"/>
  <c r="D126" i="17" a="1"/>
  <c r="D126" i="17" s="1"/>
  <c r="K127" i="24" s="1"/>
  <c r="C129" i="17" a="1"/>
  <c r="C129" i="17" s="1"/>
  <c r="J130" i="24" s="1"/>
  <c r="E130" i="17" a="1"/>
  <c r="E130" i="17" s="1"/>
  <c r="B134" i="17" a="1"/>
  <c r="B134" i="17" s="1"/>
  <c r="D135" i="17" a="1"/>
  <c r="D135" i="17" s="1"/>
  <c r="K136" i="24" s="1"/>
  <c r="D137" i="17" a="1"/>
  <c r="D137" i="17" s="1"/>
  <c r="K138" i="24" s="1"/>
  <c r="B139" i="17" a="1"/>
  <c r="B139" i="17" s="1"/>
  <c r="D140" i="17" a="1"/>
  <c r="D140" i="17" s="1"/>
  <c r="K141" i="24" s="1"/>
  <c r="C142" i="17" a="1"/>
  <c r="C142" i="17" s="1"/>
  <c r="J143" i="24" s="1"/>
  <c r="B144" i="17" a="1"/>
  <c r="B144" i="17" s="1"/>
  <c r="D147" i="17" a="1"/>
  <c r="D147" i="17" s="1"/>
  <c r="K148" i="24" s="1"/>
  <c r="B151" i="17" a="1"/>
  <c r="B151" i="17" s="1"/>
  <c r="C154" i="17" a="1"/>
  <c r="C154" i="17" s="1"/>
  <c r="J155" i="24" s="1"/>
  <c r="B156" i="17" a="1"/>
  <c r="B156" i="17" s="1"/>
  <c r="D157" i="17" a="1"/>
  <c r="D157" i="17" s="1"/>
  <c r="K158" i="24" s="1"/>
  <c r="D159" i="17" a="1"/>
  <c r="D159" i="17" s="1"/>
  <c r="K160" i="24" s="1"/>
  <c r="B161" i="17" a="1"/>
  <c r="B161" i="17" s="1"/>
  <c r="E162" i="17" a="1"/>
  <c r="E162" i="17" s="1"/>
  <c r="C164" i="17" a="1"/>
  <c r="C164" i="17" s="1"/>
  <c r="J165" i="24" s="1"/>
  <c r="B166" i="17" a="1"/>
  <c r="B166" i="17" s="1"/>
  <c r="E167" i="17" a="1"/>
  <c r="E167" i="17" s="1"/>
  <c r="D169" i="17" a="1"/>
  <c r="D169" i="17" s="1"/>
  <c r="K170" i="24" s="1"/>
  <c r="B171" i="17" a="1"/>
  <c r="B171" i="17" s="1"/>
  <c r="E172" i="17" a="1"/>
  <c r="E172" i="17" s="1"/>
  <c r="D174" i="17" a="1"/>
  <c r="D174" i="17" s="1"/>
  <c r="K175" i="24" s="1"/>
  <c r="C176" i="17" a="1"/>
  <c r="C176" i="17" s="1"/>
  <c r="J177" i="24" s="1"/>
  <c r="C179" i="17" a="1"/>
  <c r="C179" i="17" s="1"/>
  <c r="J180" i="24" s="1"/>
  <c r="B181" i="17" a="1"/>
  <c r="B181" i="17" s="1"/>
  <c r="E182" i="17" a="1"/>
  <c r="E182" i="17" s="1"/>
  <c r="D184" i="17" a="1"/>
  <c r="D184" i="17" s="1"/>
  <c r="K185" i="24" s="1"/>
  <c r="C186" i="17" a="1"/>
  <c r="C186" i="17" s="1"/>
  <c r="J187" i="24" s="1"/>
  <c r="E190" i="17" a="1"/>
  <c r="E190" i="17" s="1"/>
  <c r="B194" i="17" a="1"/>
  <c r="B194" i="17" s="1"/>
  <c r="C195" i="17" a="1"/>
  <c r="C195" i="17" s="1"/>
  <c r="J196" i="24" s="1"/>
  <c r="B197" i="17" a="1"/>
  <c r="B197" i="17" s="1"/>
  <c r="D198" i="17" a="1"/>
  <c r="D198" i="17" s="1"/>
  <c r="K199" i="24" s="1"/>
  <c r="B200" i="17" a="1"/>
  <c r="B200" i="17" s="1"/>
  <c r="E201" i="17" a="1"/>
  <c r="E201" i="17" s="1"/>
  <c r="B203" i="17" a="1"/>
  <c r="B203" i="17" s="1"/>
  <c r="E204" i="17" a="1"/>
  <c r="E204" i="17" s="1"/>
  <c r="C206" i="17" a="1"/>
  <c r="C206" i="17" s="1"/>
  <c r="J207" i="24" s="1"/>
  <c r="D209" i="17" a="1"/>
  <c r="D209" i="17" s="1"/>
  <c r="K210" i="24" s="1"/>
  <c r="D212" i="17" a="1"/>
  <c r="D212" i="17" s="1"/>
  <c r="K213" i="24" s="1"/>
  <c r="B214" i="17" a="1"/>
  <c r="B214" i="17" s="1"/>
  <c r="E215" i="17" a="1"/>
  <c r="E215" i="17" s="1"/>
  <c r="C217" i="17" a="1"/>
  <c r="C217" i="17" s="1"/>
  <c r="J218" i="24" s="1"/>
  <c r="E218" i="17" a="1"/>
  <c r="E218" i="17" s="1"/>
  <c r="D223" i="17" a="1"/>
  <c r="D223" i="17" s="1"/>
  <c r="K224" i="24" s="1"/>
  <c r="B225" i="17" a="1"/>
  <c r="B225" i="17" s="1"/>
  <c r="D226" i="17" a="1"/>
  <c r="D226" i="17" s="1"/>
  <c r="K227" i="24" s="1"/>
  <c r="C228" i="17" a="1"/>
  <c r="C228" i="17" s="1"/>
  <c r="J229" i="24" s="1"/>
  <c r="E229" i="17" a="1"/>
  <c r="E229" i="17" s="1"/>
  <c r="E232" i="17" a="1"/>
  <c r="E232" i="17" s="1"/>
  <c r="B236" i="17" a="1"/>
  <c r="B236" i="17" s="1"/>
  <c r="D237" i="17" a="1"/>
  <c r="D237" i="17" s="1"/>
  <c r="K238" i="24" s="1"/>
  <c r="C239" i="17" a="1"/>
  <c r="C239" i="17" s="1"/>
  <c r="J240" i="24" s="1"/>
  <c r="D240" i="17" a="1"/>
  <c r="D240" i="17" s="1"/>
  <c r="K241" i="24" s="1"/>
  <c r="D267" i="16" a="1"/>
  <c r="D267" i="16" s="1"/>
  <c r="G268" i="24" s="1"/>
  <c r="B128" i="17" a="1"/>
  <c r="B128" i="17" s="1"/>
  <c r="E140" i="17" a="1"/>
  <c r="E140" i="17" s="1"/>
  <c r="D154" i="17" a="1"/>
  <c r="D154" i="17" s="1"/>
  <c r="K155" i="24" s="1"/>
  <c r="B168" i="17" a="1"/>
  <c r="B168" i="17" s="1"/>
  <c r="D206" i="17" a="1"/>
  <c r="D206" i="17" s="1"/>
  <c r="K207" i="24" s="1"/>
  <c r="D231" i="17" a="1"/>
  <c r="D231" i="17" s="1"/>
  <c r="K232" i="24" s="1"/>
  <c r="C235" i="17" a="1"/>
  <c r="C235" i="17" s="1"/>
  <c r="J236" i="24" s="1"/>
  <c r="E241" i="17" a="1"/>
  <c r="E241" i="17" s="1"/>
  <c r="C243" i="17" a="1"/>
  <c r="C243" i="17" s="1"/>
  <c r="J244" i="24" s="1"/>
  <c r="B245" i="17" a="1"/>
  <c r="B245" i="17" s="1"/>
  <c r="D246" i="17" a="1"/>
  <c r="D246" i="17" s="1"/>
  <c r="K247" i="24" s="1"/>
  <c r="B248" i="17" a="1"/>
  <c r="B248" i="17" s="1"/>
  <c r="E249" i="17" a="1"/>
  <c r="E249" i="17" s="1"/>
  <c r="B251" i="17" a="1"/>
  <c r="B251" i="17" s="1"/>
  <c r="C252" i="17" a="1"/>
  <c r="C252" i="17" s="1"/>
  <c r="J253" i="24" s="1"/>
  <c r="B255" i="17" a="1"/>
  <c r="B255" i="17" s="1"/>
  <c r="C259" i="17" a="1"/>
  <c r="C259" i="17" s="1"/>
  <c r="J260" i="24" s="1"/>
  <c r="D260" i="17" a="1"/>
  <c r="D260" i="17" s="1"/>
  <c r="K261" i="24" s="1"/>
  <c r="E263" i="17" a="1"/>
  <c r="E263" i="17" s="1"/>
  <c r="B265" i="17" a="1"/>
  <c r="B265" i="17" s="1"/>
  <c r="D266" i="17" a="1"/>
  <c r="D266" i="17" s="1"/>
  <c r="K267" i="24" s="1"/>
  <c r="C268" i="17" a="1"/>
  <c r="C268" i="17" s="1"/>
  <c r="J269" i="24" s="1"/>
  <c r="D271" i="17" a="1"/>
  <c r="D271" i="17" s="1"/>
  <c r="B122" i="18" a="1"/>
  <c r="B122" i="18" s="1"/>
  <c r="E123" i="18" a="1"/>
  <c r="E123" i="18" s="1"/>
  <c r="D130" i="18" a="1"/>
  <c r="D130" i="18" s="1"/>
  <c r="N131" i="24" s="1"/>
  <c r="C132" i="18" a="1"/>
  <c r="C132" i="18" s="1"/>
  <c r="M133" i="24" s="1"/>
  <c r="E133" i="18" a="1"/>
  <c r="E133" i="18" s="1"/>
  <c r="D135" i="18" a="1"/>
  <c r="D135" i="18" s="1"/>
  <c r="N136" i="24" s="1"/>
  <c r="B137" i="18" a="1"/>
  <c r="B137" i="18" s="1"/>
  <c r="D138" i="18" a="1"/>
  <c r="D138" i="18" s="1"/>
  <c r="N139" i="24" s="1"/>
  <c r="C140" i="18" a="1"/>
  <c r="C140" i="18" s="1"/>
  <c r="M141" i="24" s="1"/>
  <c r="D141" i="18" a="1"/>
  <c r="D141" i="18" s="1"/>
  <c r="N142" i="24" s="1"/>
  <c r="C143" i="18" a="1"/>
  <c r="C143" i="18" s="1"/>
  <c r="M144" i="24" s="1"/>
  <c r="C146" i="18" a="1"/>
  <c r="C146" i="18" s="1"/>
  <c r="M147" i="24" s="1"/>
  <c r="B148" i="18" a="1"/>
  <c r="B148" i="18" s="1"/>
  <c r="E152" i="18" a="1"/>
  <c r="E152" i="18" s="1"/>
  <c r="E155" i="18" a="1"/>
  <c r="E155" i="18" s="1"/>
  <c r="C157" i="18" a="1"/>
  <c r="C157" i="18" s="1"/>
  <c r="M158" i="24" s="1"/>
  <c r="B159" i="18" a="1"/>
  <c r="B159" i="18" s="1"/>
  <c r="D160" i="18" a="1"/>
  <c r="D160" i="18" s="1"/>
  <c r="N161" i="24" s="1"/>
  <c r="B162" i="18" a="1"/>
  <c r="B162" i="18" s="1"/>
  <c r="D163" i="18" a="1"/>
  <c r="D163" i="18" s="1"/>
  <c r="N164" i="24" s="1"/>
  <c r="B165" i="18" a="1"/>
  <c r="B165" i="18" s="1"/>
  <c r="E166" i="18" a="1"/>
  <c r="E166" i="18" s="1"/>
  <c r="C168" i="18" a="1"/>
  <c r="C168" i="18" s="1"/>
  <c r="M169" i="24" s="1"/>
  <c r="E169" i="18" a="1"/>
  <c r="E169" i="18" s="1"/>
  <c r="C171" i="18" a="1"/>
  <c r="C171" i="18" s="1"/>
  <c r="M172" i="24" s="1"/>
  <c r="D174" i="18" a="1"/>
  <c r="D174" i="18" s="1"/>
  <c r="N175" i="24" s="1"/>
  <c r="B176" i="18" a="1"/>
  <c r="B176" i="18" s="1"/>
  <c r="D177" i="18" a="1"/>
  <c r="D177" i="18" s="1"/>
  <c r="N178" i="24" s="1"/>
  <c r="E180" i="18" a="1"/>
  <c r="E180" i="18" s="1"/>
  <c r="C182" i="18" a="1"/>
  <c r="C182" i="18" s="1"/>
  <c r="M183" i="24" s="1"/>
  <c r="B187" i="18" a="1"/>
  <c r="B187" i="18" s="1"/>
  <c r="D188" i="18" a="1"/>
  <c r="D188" i="18" s="1"/>
  <c r="N189" i="24" s="1"/>
  <c r="B190" i="18" a="1"/>
  <c r="B190" i="18" s="1"/>
  <c r="E191" i="18" a="1"/>
  <c r="E191" i="18" s="1"/>
  <c r="C193" i="18" a="1"/>
  <c r="C193" i="18" s="1"/>
  <c r="M194" i="24" s="1"/>
  <c r="E194" i="18" a="1"/>
  <c r="E194" i="18" s="1"/>
  <c r="E197" i="18" a="1"/>
  <c r="E197" i="18" s="1"/>
  <c r="D199" i="18" a="1"/>
  <c r="D199" i="18" s="1"/>
  <c r="N200" i="24" s="1"/>
  <c r="B201" i="18" a="1"/>
  <c r="B201" i="18" s="1"/>
  <c r="D202" i="18" a="1"/>
  <c r="D202" i="18" s="1"/>
  <c r="N203" i="24" s="1"/>
  <c r="E268" i="16" a="1"/>
  <c r="E268" i="16" s="1"/>
  <c r="D129" i="17" a="1"/>
  <c r="D129" i="17" s="1"/>
  <c r="K130" i="24" s="1"/>
  <c r="D142" i="17" a="1"/>
  <c r="D142" i="17" s="1"/>
  <c r="K143" i="24" s="1"/>
  <c r="E169" i="17" a="1"/>
  <c r="E169" i="17" s="1"/>
  <c r="B183" i="17" a="1"/>
  <c r="B183" i="17" s="1"/>
  <c r="D195" i="17" a="1"/>
  <c r="D195" i="17" s="1"/>
  <c r="K196" i="24" s="1"/>
  <c r="B208" i="17" a="1"/>
  <c r="B208" i="17" s="1"/>
  <c r="D220" i="17" a="1"/>
  <c r="D220" i="17" s="1"/>
  <c r="K221" i="24" s="1"/>
  <c r="E231" i="17" a="1"/>
  <c r="E231" i="17" s="1"/>
  <c r="C236" i="17" a="1"/>
  <c r="C236" i="17" s="1"/>
  <c r="J237" i="24" s="1"/>
  <c r="D239" i="17" a="1"/>
  <c r="D239" i="17" s="1"/>
  <c r="K240" i="24" s="1"/>
  <c r="B242" i="17" a="1"/>
  <c r="B242" i="17" s="1"/>
  <c r="D243" i="17" a="1"/>
  <c r="D243" i="17" s="1"/>
  <c r="K244" i="24" s="1"/>
  <c r="E246" i="17" a="1"/>
  <c r="E246" i="17" s="1"/>
  <c r="B254" i="17" a="1"/>
  <c r="B254" i="17" s="1"/>
  <c r="C255" i="17" a="1"/>
  <c r="C255" i="17" s="1"/>
  <c r="J256" i="24" s="1"/>
  <c r="D256" i="17" a="1"/>
  <c r="D256" i="17" s="1"/>
  <c r="K257" i="24" s="1"/>
  <c r="B258" i="17" a="1"/>
  <c r="B258" i="17" s="1"/>
  <c r="D259" i="17" a="1"/>
  <c r="D259" i="17" s="1"/>
  <c r="K260" i="24" s="1"/>
  <c r="E260" i="17" a="1"/>
  <c r="E260" i="17" s="1"/>
  <c r="C262" i="17" a="1"/>
  <c r="C262" i="17" s="1"/>
  <c r="J263" i="24" s="1"/>
  <c r="C265" i="17" a="1"/>
  <c r="C265" i="17" s="1"/>
  <c r="J266" i="24" s="1"/>
  <c r="E266" i="17" a="1"/>
  <c r="E266" i="17" s="1"/>
  <c r="B270" i="17" a="1"/>
  <c r="B270" i="17" s="1"/>
  <c r="E271" i="17" a="1"/>
  <c r="E271" i="17" s="1"/>
  <c r="C122" i="18" a="1"/>
  <c r="C122" i="18" s="1"/>
  <c r="M123" i="24" s="1"/>
  <c r="B124" i="18" a="1"/>
  <c r="B124" i="18" s="1"/>
  <c r="D125" i="18" a="1"/>
  <c r="D125" i="18" s="1"/>
  <c r="N126" i="24" s="1"/>
  <c r="C127" i="18" a="1"/>
  <c r="C127" i="18" s="1"/>
  <c r="M128" i="24" s="1"/>
  <c r="B129" i="18" a="1"/>
  <c r="B129" i="18" s="1"/>
  <c r="E130" i="18" a="1"/>
  <c r="E130" i="18" s="1"/>
  <c r="D132" i="18" a="1"/>
  <c r="D132" i="18" s="1"/>
  <c r="N133" i="24" s="1"/>
  <c r="B134" i="18" a="1"/>
  <c r="B134" i="18" s="1"/>
  <c r="E135" i="18" a="1"/>
  <c r="E135" i="18" s="1"/>
  <c r="C137" i="18" a="1"/>
  <c r="C137" i="18" s="1"/>
  <c r="M138" i="24" s="1"/>
  <c r="E138" i="18" a="1"/>
  <c r="E138" i="18" s="1"/>
  <c r="E141" i="18" a="1"/>
  <c r="E141" i="18" s="1"/>
  <c r="D143" i="18" a="1"/>
  <c r="D143" i="18" s="1"/>
  <c r="N144" i="24" s="1"/>
  <c r="B145" i="18" a="1"/>
  <c r="B145" i="18" s="1"/>
  <c r="D146" i="18" a="1"/>
  <c r="D146" i="18" s="1"/>
  <c r="N147" i="24" s="1"/>
  <c r="C148" i="18" a="1"/>
  <c r="C148" i="18" s="1"/>
  <c r="M149" i="24" s="1"/>
  <c r="D149" i="18" a="1"/>
  <c r="D149" i="18" s="1"/>
  <c r="N150" i="24" s="1"/>
  <c r="C151" i="18" a="1"/>
  <c r="C151" i="18" s="1"/>
  <c r="M152" i="24" s="1"/>
  <c r="C154" i="18" a="1"/>
  <c r="C154" i="18" s="1"/>
  <c r="M155" i="24" s="1"/>
  <c r="B156" i="18" a="1"/>
  <c r="B156" i="18" s="1"/>
  <c r="E160" i="18" a="1"/>
  <c r="E160" i="18" s="1"/>
  <c r="E163" i="18" a="1"/>
  <c r="E163" i="18" s="1"/>
  <c r="C165" i="18" a="1"/>
  <c r="C165" i="18" s="1"/>
  <c r="M166" i="24" s="1"/>
  <c r="B167" i="18" a="1"/>
  <c r="B167" i="18" s="1"/>
  <c r="D168" i="18" a="1"/>
  <c r="D168" i="18" s="1"/>
  <c r="N169" i="24" s="1"/>
  <c r="B170" i="18" a="1"/>
  <c r="B170" i="18" s="1"/>
  <c r="D171" i="18" a="1"/>
  <c r="D171" i="18" s="1"/>
  <c r="N172" i="24" s="1"/>
  <c r="B173" i="18" a="1"/>
  <c r="B173" i="18" s="1"/>
  <c r="E174" i="18" a="1"/>
  <c r="E174" i="18" s="1"/>
  <c r="C176" i="18" a="1"/>
  <c r="C176" i="18" s="1"/>
  <c r="M177" i="24" s="1"/>
  <c r="E177" i="18" a="1"/>
  <c r="E177" i="18" s="1"/>
  <c r="C179" i="18" a="1"/>
  <c r="C179" i="18" s="1"/>
  <c r="M180" i="24" s="1"/>
  <c r="D182" i="18" a="1"/>
  <c r="D182" i="18" s="1"/>
  <c r="N183" i="24" s="1"/>
  <c r="B184" i="18" a="1"/>
  <c r="B184" i="18" s="1"/>
  <c r="D185" i="18" a="1"/>
  <c r="D185" i="18" s="1"/>
  <c r="N186" i="24" s="1"/>
  <c r="E188" i="18" a="1"/>
  <c r="E188" i="18" s="1"/>
  <c r="C190" i="18" a="1"/>
  <c r="C190" i="18" s="1"/>
  <c r="M191" i="24" s="1"/>
  <c r="B195" i="18" a="1"/>
  <c r="B195" i="18" s="1"/>
  <c r="D196" i="18" a="1"/>
  <c r="D196" i="18" s="1"/>
  <c r="N197" i="24" s="1"/>
  <c r="B198" i="18" a="1"/>
  <c r="B198" i="18" s="1"/>
  <c r="E199" i="18" a="1"/>
  <c r="E199" i="18" s="1"/>
  <c r="D270" i="16" a="1"/>
  <c r="D270" i="16" s="1"/>
  <c r="G271" i="24" s="1"/>
  <c r="B131" i="17" a="1"/>
  <c r="B131" i="17" s="1"/>
  <c r="C144" i="17" a="1"/>
  <c r="C144" i="17" s="1"/>
  <c r="J145" i="24" s="1"/>
  <c r="E157" i="17" a="1"/>
  <c r="E157" i="17" s="1"/>
  <c r="C171" i="17" a="1"/>
  <c r="C171" i="17" s="1"/>
  <c r="J172" i="24" s="1"/>
  <c r="E209" i="17" a="1"/>
  <c r="E209" i="17" s="1"/>
  <c r="B222" i="17" a="1"/>
  <c r="B222" i="17" s="1"/>
  <c r="B240" i="17" a="1"/>
  <c r="B240" i="17" s="1"/>
  <c r="E243" i="17" a="1"/>
  <c r="E243" i="17" s="1"/>
  <c r="C245" i="17" a="1"/>
  <c r="C245" i="17" s="1"/>
  <c r="J246" i="24" s="1"/>
  <c r="B247" i="17" a="1"/>
  <c r="B247" i="17" s="1"/>
  <c r="C248" i="17" a="1"/>
  <c r="C248" i="17" s="1"/>
  <c r="J249" i="24" s="1"/>
  <c r="B250" i="17" a="1"/>
  <c r="B250" i="17" s="1"/>
  <c r="C251" i="17" a="1"/>
  <c r="C251" i="17" s="1"/>
  <c r="J252" i="24" s="1"/>
  <c r="D252" i="17" a="1"/>
  <c r="D252" i="17" s="1"/>
  <c r="K253" i="24" s="1"/>
  <c r="D255" i="17" a="1"/>
  <c r="D255" i="17" s="1"/>
  <c r="K256" i="24" s="1"/>
  <c r="E256" i="17" a="1"/>
  <c r="E256" i="17" s="1"/>
  <c r="E259" i="17" a="1"/>
  <c r="E259" i="17" s="1"/>
  <c r="B261" i="17" a="1"/>
  <c r="B261" i="17" s="1"/>
  <c r="B264" i="17" a="1"/>
  <c r="B264" i="17" s="1"/>
  <c r="D265" i="17" a="1"/>
  <c r="D265" i="17" s="1"/>
  <c r="K266" i="24" s="1"/>
  <c r="B267" i="17" a="1"/>
  <c r="B267" i="17" s="1"/>
  <c r="D268" i="17" a="1"/>
  <c r="D268" i="17" s="1"/>
  <c r="K269" i="24" s="1"/>
  <c r="D122" i="18" a="1"/>
  <c r="D122" i="18" s="1"/>
  <c r="N123" i="24" s="1"/>
  <c r="C124" i="18" a="1"/>
  <c r="C124" i="18" s="1"/>
  <c r="M125" i="24" s="1"/>
  <c r="E125" i="18" a="1"/>
  <c r="E125" i="18" s="1"/>
  <c r="D127" i="18" a="1"/>
  <c r="D127" i="18" s="1"/>
  <c r="N128" i="24" s="1"/>
  <c r="C129" i="18" a="1"/>
  <c r="C129" i="18" s="1"/>
  <c r="M130" i="24" s="1"/>
  <c r="B131" i="18" a="1"/>
  <c r="B131" i="18" s="1"/>
  <c r="E132" i="18" a="1"/>
  <c r="E132" i="18" s="1"/>
  <c r="C134" i="18" a="1"/>
  <c r="C134" i="18" s="1"/>
  <c r="M135" i="24" s="1"/>
  <c r="B139" i="18" a="1"/>
  <c r="B139" i="18" s="1"/>
  <c r="D140" i="18" a="1"/>
  <c r="D140" i="18" s="1"/>
  <c r="N141" i="24" s="1"/>
  <c r="B142" i="18" a="1"/>
  <c r="B142" i="18" s="1"/>
  <c r="E143" i="18" a="1"/>
  <c r="E143" i="18" s="1"/>
  <c r="C145" i="18" a="1"/>
  <c r="C145" i="18" s="1"/>
  <c r="M146" i="24" s="1"/>
  <c r="E146" i="18" a="1"/>
  <c r="E146" i="18" s="1"/>
  <c r="E149" i="18" a="1"/>
  <c r="E149" i="18" s="1"/>
  <c r="D151" i="18" a="1"/>
  <c r="D151" i="18" s="1"/>
  <c r="N152" i="24" s="1"/>
  <c r="B153" i="18" a="1"/>
  <c r="B153" i="18" s="1"/>
  <c r="D154" i="18" a="1"/>
  <c r="D154" i="18" s="1"/>
  <c r="N155" i="24" s="1"/>
  <c r="C156" i="18" a="1"/>
  <c r="C156" i="18" s="1"/>
  <c r="M157" i="24" s="1"/>
  <c r="D157" i="18" a="1"/>
  <c r="D157" i="18" s="1"/>
  <c r="N158" i="24" s="1"/>
  <c r="C159" i="18" a="1"/>
  <c r="C159" i="18" s="1"/>
  <c r="M160" i="24" s="1"/>
  <c r="C162" i="18" a="1"/>
  <c r="C162" i="18" s="1"/>
  <c r="M163" i="24" s="1"/>
  <c r="B164" i="18" a="1"/>
  <c r="B164" i="18" s="1"/>
  <c r="E168" i="18" a="1"/>
  <c r="E168" i="18" s="1"/>
  <c r="E171" i="18" a="1"/>
  <c r="E171" i="18" s="1"/>
  <c r="C173" i="18" a="1"/>
  <c r="C173" i="18" s="1"/>
  <c r="M174" i="24" s="1"/>
  <c r="B175" i="18" a="1"/>
  <c r="B175" i="18" s="1"/>
  <c r="D176" i="18" a="1"/>
  <c r="D176" i="18" s="1"/>
  <c r="N177" i="24" s="1"/>
  <c r="B178" i="18" a="1"/>
  <c r="B178" i="18" s="1"/>
  <c r="D179" i="18" a="1"/>
  <c r="D179" i="18" s="1"/>
  <c r="N180" i="24" s="1"/>
  <c r="B181" i="18" a="1"/>
  <c r="B181" i="18" s="1"/>
  <c r="E182" i="18" a="1"/>
  <c r="E182" i="18" s="1"/>
  <c r="C184" i="18" a="1"/>
  <c r="C184" i="18" s="1"/>
  <c r="M185" i="24" s="1"/>
  <c r="E185" i="18" a="1"/>
  <c r="E185" i="18" s="1"/>
  <c r="C187" i="18" a="1"/>
  <c r="C187" i="18" s="1"/>
  <c r="M188" i="24" s="1"/>
  <c r="D190" i="18" a="1"/>
  <c r="D190" i="18" s="1"/>
  <c r="N191" i="24" s="1"/>
  <c r="B192" i="18" a="1"/>
  <c r="B192" i="18" s="1"/>
  <c r="D193" i="18" a="1"/>
  <c r="D193" i="18" s="1"/>
  <c r="N194" i="24" s="1"/>
  <c r="E196" i="18" a="1"/>
  <c r="E196" i="18" s="1"/>
  <c r="C198" i="18" a="1"/>
  <c r="C198" i="18" s="1"/>
  <c r="M199" i="24" s="1"/>
  <c r="B203" i="18" a="1"/>
  <c r="B203" i="18" s="1"/>
  <c r="D204" i="18" a="1"/>
  <c r="D204" i="18" s="1"/>
  <c r="N205" i="24" s="1"/>
  <c r="B206" i="18" a="1"/>
  <c r="B206" i="18" s="1"/>
  <c r="E271" i="16" a="1"/>
  <c r="E271" i="16" s="1"/>
  <c r="C132" i="17" a="1"/>
  <c r="C132" i="17" s="1"/>
  <c r="J133" i="24" s="1"/>
  <c r="B146" i="17" a="1"/>
  <c r="B146" i="17" s="1"/>
  <c r="B173" i="17" a="1"/>
  <c r="B173" i="17" s="1"/>
  <c r="D186" i="17" a="1"/>
  <c r="D186" i="17" s="1"/>
  <c r="K187" i="24" s="1"/>
  <c r="E198" i="17" a="1"/>
  <c r="E198" i="17" s="1"/>
  <c r="B211" i="17" a="1"/>
  <c r="B211" i="17" s="1"/>
  <c r="E223" i="17" a="1"/>
  <c r="E223" i="17" s="1"/>
  <c r="B233" i="17" a="1"/>
  <c r="B233" i="17" s="1"/>
  <c r="B237" i="17" a="1"/>
  <c r="B237" i="17" s="1"/>
  <c r="C242" i="17" a="1"/>
  <c r="C242" i="17" s="1"/>
  <c r="J243" i="24" s="1"/>
  <c r="B244" i="17" a="1"/>
  <c r="B244" i="17" s="1"/>
  <c r="D245" i="17" a="1"/>
  <c r="D245" i="17" s="1"/>
  <c r="K246" i="24" s="1"/>
  <c r="C247" i="17" a="1"/>
  <c r="C247" i="17" s="1"/>
  <c r="J248" i="24" s="1"/>
  <c r="D248" i="17" a="1"/>
  <c r="D248" i="17" s="1"/>
  <c r="K249" i="24" s="1"/>
  <c r="D251" i="17" a="1"/>
  <c r="D251" i="17" s="1"/>
  <c r="K252" i="24" s="1"/>
  <c r="E252" i="17" a="1"/>
  <c r="E252" i="17" s="1"/>
  <c r="C254" i="17" a="1"/>
  <c r="C254" i="17" s="1"/>
  <c r="J255" i="24" s="1"/>
  <c r="E255" i="17" a="1"/>
  <c r="E255" i="17" s="1"/>
  <c r="B257" i="17" a="1"/>
  <c r="B257" i="17" s="1"/>
  <c r="C258" i="17" a="1"/>
  <c r="C258" i="17" s="1"/>
  <c r="J259" i="24" s="1"/>
  <c r="C261" i="17" a="1"/>
  <c r="C261" i="17" s="1"/>
  <c r="J262" i="24" s="1"/>
  <c r="D262" i="17" a="1"/>
  <c r="D262" i="17" s="1"/>
  <c r="K263" i="24" s="1"/>
  <c r="E265" i="17" a="1"/>
  <c r="E265" i="17" s="1"/>
  <c r="C267" i="17" a="1"/>
  <c r="C267" i="17" s="1"/>
  <c r="J268" i="24" s="1"/>
  <c r="E268" i="17" a="1"/>
  <c r="E268" i="17" s="1"/>
  <c r="C270" i="17" a="1"/>
  <c r="C270" i="17" s="1"/>
  <c r="J271" i="24" s="1"/>
  <c r="B121" i="18" a="1"/>
  <c r="B121" i="18" s="1"/>
  <c r="E122" i="18" a="1"/>
  <c r="E122" i="18" s="1"/>
  <c r="D124" i="18" a="1"/>
  <c r="D124" i="18" s="1"/>
  <c r="N125" i="24" s="1"/>
  <c r="B126" i="18" a="1"/>
  <c r="B126" i="18" s="1"/>
  <c r="E127" i="18" a="1"/>
  <c r="E127" i="18" s="1"/>
  <c r="D134" i="18" a="1"/>
  <c r="D134" i="18" s="1"/>
  <c r="N135" i="24" s="1"/>
  <c r="B136" i="18" a="1"/>
  <c r="B136" i="18" s="1"/>
  <c r="D137" i="18" a="1"/>
  <c r="D137" i="18" s="1"/>
  <c r="N138" i="24" s="1"/>
  <c r="E140" i="18" a="1"/>
  <c r="E140" i="18" s="1"/>
  <c r="C142" i="18" a="1"/>
  <c r="C142" i="18" s="1"/>
  <c r="M143" i="24" s="1"/>
  <c r="B147" i="18" a="1"/>
  <c r="B147" i="18" s="1"/>
  <c r="D148" i="18" a="1"/>
  <c r="D148" i="18" s="1"/>
  <c r="N149" i="24" s="1"/>
  <c r="B150" i="18" a="1"/>
  <c r="B150" i="18" s="1"/>
  <c r="E151" i="18" a="1"/>
  <c r="E151" i="18" s="1"/>
  <c r="C153" i="18" a="1"/>
  <c r="C153" i="18" s="1"/>
  <c r="M154" i="24" s="1"/>
  <c r="E154" i="18" a="1"/>
  <c r="E154" i="18" s="1"/>
  <c r="E157" i="18" a="1"/>
  <c r="E157" i="18" s="1"/>
  <c r="D159" i="18" a="1"/>
  <c r="D159" i="18" s="1"/>
  <c r="N160" i="24" s="1"/>
  <c r="B161" i="18" a="1"/>
  <c r="B161" i="18" s="1"/>
  <c r="D162" i="18" a="1"/>
  <c r="D162" i="18" s="1"/>
  <c r="N163" i="24" s="1"/>
  <c r="C164" i="18" a="1"/>
  <c r="C164" i="18" s="1"/>
  <c r="M165" i="24" s="1"/>
  <c r="D165" i="18" a="1"/>
  <c r="D165" i="18" s="1"/>
  <c r="N166" i="24" s="1"/>
  <c r="C167" i="18" a="1"/>
  <c r="C167" i="18" s="1"/>
  <c r="M168" i="24" s="1"/>
  <c r="C170" i="18" a="1"/>
  <c r="C170" i="18" s="1"/>
  <c r="M171" i="24" s="1"/>
  <c r="B172" i="18" a="1"/>
  <c r="B172" i="18" s="1"/>
  <c r="E176" i="18" a="1"/>
  <c r="E176" i="18" s="1"/>
  <c r="E179" i="18" a="1"/>
  <c r="E179" i="18" s="1"/>
  <c r="C181" i="18" a="1"/>
  <c r="C181" i="18" s="1"/>
  <c r="M182" i="24" s="1"/>
  <c r="B183" i="18" a="1"/>
  <c r="B183" i="18" s="1"/>
  <c r="D184" i="18" a="1"/>
  <c r="D184" i="18" s="1"/>
  <c r="N185" i="24" s="1"/>
  <c r="B186" i="18" a="1"/>
  <c r="B186" i="18" s="1"/>
  <c r="D187" i="18" a="1"/>
  <c r="D187" i="18" s="1"/>
  <c r="N188" i="24" s="1"/>
  <c r="B189" i="18" a="1"/>
  <c r="B189" i="18" s="1"/>
  <c r="E190" i="18" a="1"/>
  <c r="E190" i="18" s="1"/>
  <c r="C192" i="18" a="1"/>
  <c r="C192" i="18" s="1"/>
  <c r="M193" i="24" s="1"/>
  <c r="E193" i="18" a="1"/>
  <c r="E193" i="18" s="1"/>
  <c r="C195" i="18" a="1"/>
  <c r="C195" i="18" s="1"/>
  <c r="M196" i="24" s="1"/>
  <c r="D198" i="18" a="1"/>
  <c r="D198" i="18" s="1"/>
  <c r="N199" i="24" s="1"/>
  <c r="B200" i="18" a="1"/>
  <c r="B200" i="18" s="1"/>
  <c r="C260" i="16" a="1"/>
  <c r="C260" i="16" s="1"/>
  <c r="F261" i="24" s="1"/>
  <c r="C122" i="17" a="1"/>
  <c r="C122" i="17" s="1"/>
  <c r="J123" i="24" s="1"/>
  <c r="E147" i="17" a="1"/>
  <c r="E147" i="17" s="1"/>
  <c r="C161" i="17" a="1"/>
  <c r="C161" i="17" s="1"/>
  <c r="J162" i="24" s="1"/>
  <c r="E174" i="17" a="1"/>
  <c r="E174" i="17" s="1"/>
  <c r="B188" i="17" a="1"/>
  <c r="B188" i="17" s="1"/>
  <c r="E212" i="17" a="1"/>
  <c r="E212" i="17" s="1"/>
  <c r="C225" i="17" a="1"/>
  <c r="C225" i="17" s="1"/>
  <c r="J226" i="24" s="1"/>
  <c r="C233" i="17" a="1"/>
  <c r="C233" i="17" s="1"/>
  <c r="J234" i="24" s="1"/>
  <c r="E237" i="17" a="1"/>
  <c r="E237" i="17" s="1"/>
  <c r="C240" i="17" a="1"/>
  <c r="C240" i="17" s="1"/>
  <c r="J241" i="24" s="1"/>
  <c r="C244" i="17" a="1"/>
  <c r="C244" i="17" s="1"/>
  <c r="J245" i="24" s="1"/>
  <c r="E245" i="17" a="1"/>
  <c r="E245" i="17" s="1"/>
  <c r="E248" i="17" a="1"/>
  <c r="E248" i="17" s="1"/>
  <c r="C250" i="17" a="1"/>
  <c r="C250" i="17" s="1"/>
  <c r="J251" i="24" s="1"/>
  <c r="E251" i="17" a="1"/>
  <c r="E251" i="17" s="1"/>
  <c r="B253" i="17" a="1"/>
  <c r="B253" i="17" s="1"/>
  <c r="B260" i="17" a="1"/>
  <c r="B260" i="17" s="1"/>
  <c r="D261" i="17" a="1"/>
  <c r="D261" i="17" s="1"/>
  <c r="K262" i="24" s="1"/>
  <c r="E262" i="17" a="1"/>
  <c r="E262" i="17" s="1"/>
  <c r="C264" i="17" a="1"/>
  <c r="C264" i="17" s="1"/>
  <c r="J265" i="24" s="1"/>
  <c r="B266" i="17" a="1"/>
  <c r="B266" i="17" s="1"/>
  <c r="D267" i="17" a="1"/>
  <c r="D267" i="17" s="1"/>
  <c r="K268" i="24" s="1"/>
  <c r="B269" i="17" a="1"/>
  <c r="B269" i="17" s="1"/>
  <c r="D270" i="17" a="1"/>
  <c r="D270" i="17" s="1"/>
  <c r="K271" i="24" s="1"/>
  <c r="C121" i="18" a="1"/>
  <c r="C121" i="18" s="1"/>
  <c r="M122" i="24" s="1"/>
  <c r="B123" i="18" a="1"/>
  <c r="B123" i="18" s="1"/>
  <c r="E124" i="18" a="1"/>
  <c r="E124" i="18" s="1"/>
  <c r="C126" i="18" a="1"/>
  <c r="C126" i="18" s="1"/>
  <c r="M127" i="24" s="1"/>
  <c r="B128" i="18" a="1"/>
  <c r="B128" i="18" s="1"/>
  <c r="D129" i="18" a="1"/>
  <c r="D129" i="18" s="1"/>
  <c r="N130" i="24" s="1"/>
  <c r="C131" i="18" a="1"/>
  <c r="C131" i="18" s="1"/>
  <c r="M132" i="24" s="1"/>
  <c r="B133" i="18" a="1"/>
  <c r="B133" i="18" s="1"/>
  <c r="E134" i="18" a="1"/>
  <c r="E134" i="18" s="1"/>
  <c r="C136" i="18" a="1"/>
  <c r="C136" i="18" s="1"/>
  <c r="M137" i="24" s="1"/>
  <c r="E137" i="18" a="1"/>
  <c r="E137" i="18" s="1"/>
  <c r="C139" i="18" a="1"/>
  <c r="C139" i="18" s="1"/>
  <c r="M140" i="24" s="1"/>
  <c r="D142" i="18" a="1"/>
  <c r="D142" i="18" s="1"/>
  <c r="N143" i="24" s="1"/>
  <c r="B144" i="18" a="1"/>
  <c r="B144" i="18" s="1"/>
  <c r="D145" i="18" a="1"/>
  <c r="D145" i="18" s="1"/>
  <c r="N146" i="24" s="1"/>
  <c r="E148" i="18" a="1"/>
  <c r="E148" i="18" s="1"/>
  <c r="C150" i="18" a="1"/>
  <c r="C150" i="18" s="1"/>
  <c r="M151" i="24" s="1"/>
  <c r="B155" i="18" a="1"/>
  <c r="B155" i="18" s="1"/>
  <c r="D156" i="18" a="1"/>
  <c r="D156" i="18" s="1"/>
  <c r="N157" i="24" s="1"/>
  <c r="B158" i="18" a="1"/>
  <c r="B158" i="18" s="1"/>
  <c r="E159" i="18" a="1"/>
  <c r="E159" i="18" s="1"/>
  <c r="C161" i="18" a="1"/>
  <c r="C161" i="18" s="1"/>
  <c r="M162" i="24" s="1"/>
  <c r="E162" i="18" a="1"/>
  <c r="E162" i="18" s="1"/>
  <c r="E165" i="18" a="1"/>
  <c r="E165" i="18" s="1"/>
  <c r="D167" i="18" a="1"/>
  <c r="D167" i="18" s="1"/>
  <c r="N168" i="24" s="1"/>
  <c r="B169" i="18" a="1"/>
  <c r="B169" i="18" s="1"/>
  <c r="D170" i="18" a="1"/>
  <c r="D170" i="18" s="1"/>
  <c r="N171" i="24" s="1"/>
  <c r="C172" i="18" a="1"/>
  <c r="C172" i="18" s="1"/>
  <c r="M173" i="24" s="1"/>
  <c r="D173" i="18" a="1"/>
  <c r="D173" i="18" s="1"/>
  <c r="N174" i="24" s="1"/>
  <c r="C175" i="18" a="1"/>
  <c r="C175" i="18" s="1"/>
  <c r="M176" i="24" s="1"/>
  <c r="C178" i="18" a="1"/>
  <c r="C178" i="18" s="1"/>
  <c r="M179" i="24" s="1"/>
  <c r="B180" i="18" a="1"/>
  <c r="B180" i="18" s="1"/>
  <c r="E184" i="18" a="1"/>
  <c r="E184" i="18" s="1"/>
  <c r="E187" i="18" a="1"/>
  <c r="E187" i="18" s="1"/>
  <c r="C189" i="18" a="1"/>
  <c r="C189" i="18" s="1"/>
  <c r="M190" i="24" s="1"/>
  <c r="B191" i="18" a="1"/>
  <c r="B191" i="18" s="1"/>
  <c r="D192" i="18" a="1"/>
  <c r="D192" i="18" s="1"/>
  <c r="N193" i="24" s="1"/>
  <c r="B194" i="18" a="1"/>
  <c r="B194" i="18" s="1"/>
  <c r="D195" i="18" a="1"/>
  <c r="D195" i="18" s="1"/>
  <c r="N196" i="24" s="1"/>
  <c r="B197" i="18" a="1"/>
  <c r="B197" i="18" s="1"/>
  <c r="E198" i="18" a="1"/>
  <c r="E198" i="18" s="1"/>
  <c r="C200" i="18" a="1"/>
  <c r="C200" i="18" s="1"/>
  <c r="M201" i="24" s="1"/>
  <c r="E262" i="16" a="1"/>
  <c r="E262" i="16" s="1"/>
  <c r="E123" i="17" a="1"/>
  <c r="E123" i="17" s="1"/>
  <c r="E135" i="17" a="1"/>
  <c r="E135" i="17" s="1"/>
  <c r="C149" i="17" a="1"/>
  <c r="C149" i="17" s="1"/>
  <c r="J150" i="24" s="1"/>
  <c r="D176" i="17" a="1"/>
  <c r="D176" i="17" s="1"/>
  <c r="K177" i="24" s="1"/>
  <c r="C189" i="17" a="1"/>
  <c r="C189" i="17" s="1"/>
  <c r="J190" i="24" s="1"/>
  <c r="B202" i="17" a="1"/>
  <c r="B202" i="17" s="1"/>
  <c r="C214" i="17" a="1"/>
  <c r="C214" i="17" s="1"/>
  <c r="J215" i="24" s="1"/>
  <c r="E226" i="17" a="1"/>
  <c r="E226" i="17" s="1"/>
  <c r="B234" i="17" a="1"/>
  <c r="B234" i="17" s="1"/>
  <c r="E240" i="17" a="1"/>
  <c r="E240" i="17" s="1"/>
  <c r="D242" i="17" a="1"/>
  <c r="D242" i="17" s="1"/>
  <c r="K243" i="24" s="1"/>
  <c r="D247" i="17" a="1"/>
  <c r="D247" i="17" s="1"/>
  <c r="K248" i="24" s="1"/>
  <c r="B249" i="17" a="1"/>
  <c r="B249" i="17" s="1"/>
  <c r="C253" i="17" a="1"/>
  <c r="C253" i="17" s="1"/>
  <c r="J254" i="24" s="1"/>
  <c r="D254" i="17" a="1"/>
  <c r="D254" i="17" s="1"/>
  <c r="K255" i="24" s="1"/>
  <c r="B256" i="17" a="1"/>
  <c r="B256" i="17" s="1"/>
  <c r="C257" i="17" a="1"/>
  <c r="C257" i="17" s="1"/>
  <c r="J258" i="24" s="1"/>
  <c r="D258" i="17" a="1"/>
  <c r="D258" i="17" s="1"/>
  <c r="K259" i="24" s="1"/>
  <c r="E261" i="17" a="1"/>
  <c r="E261" i="17" s="1"/>
  <c r="B263" i="17" a="1"/>
  <c r="B263" i="17" s="1"/>
  <c r="E267" i="17" a="1"/>
  <c r="E267" i="17" s="1"/>
  <c r="C269" i="17" a="1"/>
  <c r="C269" i="17" s="1"/>
  <c r="J270" i="24" s="1"/>
  <c r="E270" i="17" a="1"/>
  <c r="E270" i="17" s="1"/>
  <c r="D126" i="18" a="1"/>
  <c r="D126" i="18" s="1"/>
  <c r="N127" i="24" s="1"/>
  <c r="C128" i="18" a="1"/>
  <c r="C128" i="18" s="1"/>
  <c r="M129" i="24" s="1"/>
  <c r="E129" i="18" a="1"/>
  <c r="E129" i="18" s="1"/>
  <c r="D131" i="18" a="1"/>
  <c r="D131" i="18" s="1"/>
  <c r="N132" i="24" s="1"/>
  <c r="C133" i="18" a="1"/>
  <c r="C133" i="18" s="1"/>
  <c r="M134" i="24" s="1"/>
  <c r="B135" i="18" a="1"/>
  <c r="B135" i="18" s="1"/>
  <c r="D136" i="18" a="1"/>
  <c r="D136" i="18" s="1"/>
  <c r="N137" i="24" s="1"/>
  <c r="B138" i="18" a="1"/>
  <c r="B138" i="18" s="1"/>
  <c r="D139" i="18" a="1"/>
  <c r="D139" i="18" s="1"/>
  <c r="N140" i="24" s="1"/>
  <c r="B141" i="18" a="1"/>
  <c r="B141" i="18" s="1"/>
  <c r="E142" i="18" a="1"/>
  <c r="E142" i="18" s="1"/>
  <c r="C144" i="18" a="1"/>
  <c r="C144" i="18" s="1"/>
  <c r="M145" i="24" s="1"/>
  <c r="E145" i="18" a="1"/>
  <c r="E145" i="18" s="1"/>
  <c r="C147" i="18" a="1"/>
  <c r="C147" i="18" s="1"/>
  <c r="M148" i="24" s="1"/>
  <c r="D150" i="18" a="1"/>
  <c r="D150" i="18" s="1"/>
  <c r="N151" i="24" s="1"/>
  <c r="B152" i="18" a="1"/>
  <c r="B152" i="18" s="1"/>
  <c r="D153" i="18" a="1"/>
  <c r="D153" i="18" s="1"/>
  <c r="N154" i="24" s="1"/>
  <c r="E156" i="18" a="1"/>
  <c r="E156" i="18" s="1"/>
  <c r="C158" i="18" a="1"/>
  <c r="C158" i="18" s="1"/>
  <c r="M159" i="24" s="1"/>
  <c r="B163" i="18" a="1"/>
  <c r="B163" i="18" s="1"/>
  <c r="D164" i="18" a="1"/>
  <c r="D164" i="18" s="1"/>
  <c r="N165" i="24" s="1"/>
  <c r="B166" i="18" a="1"/>
  <c r="B166" i="18" s="1"/>
  <c r="E167" i="18" a="1"/>
  <c r="E167" i="18" s="1"/>
  <c r="C169" i="18" a="1"/>
  <c r="C169" i="18" s="1"/>
  <c r="M170" i="24" s="1"/>
  <c r="E170" i="18" a="1"/>
  <c r="E170" i="18" s="1"/>
  <c r="E173" i="18" a="1"/>
  <c r="E173" i="18" s="1"/>
  <c r="D175" i="18" a="1"/>
  <c r="D175" i="18" s="1"/>
  <c r="N176" i="24" s="1"/>
  <c r="B177" i="18" a="1"/>
  <c r="B177" i="18" s="1"/>
  <c r="D178" i="18" a="1"/>
  <c r="D178" i="18" s="1"/>
  <c r="N179" i="24" s="1"/>
  <c r="C180" i="18" a="1"/>
  <c r="C180" i="18" s="1"/>
  <c r="M181" i="24" s="1"/>
  <c r="D181" i="18" a="1"/>
  <c r="D181" i="18" s="1"/>
  <c r="N182" i="24" s="1"/>
  <c r="C183" i="18" a="1"/>
  <c r="C183" i="18" s="1"/>
  <c r="M184" i="24" s="1"/>
  <c r="C186" i="18" a="1"/>
  <c r="C186" i="18" s="1"/>
  <c r="M187" i="24" s="1"/>
  <c r="B188" i="18" a="1"/>
  <c r="B188" i="18" s="1"/>
  <c r="E192" i="18" a="1"/>
  <c r="E192" i="18" s="1"/>
  <c r="E195" i="18" a="1"/>
  <c r="E195" i="18" s="1"/>
  <c r="C197" i="18" a="1"/>
  <c r="C197" i="18" s="1"/>
  <c r="M198" i="24" s="1"/>
  <c r="B199" i="18" a="1"/>
  <c r="B199" i="18" s="1"/>
  <c r="D200" i="18" a="1"/>
  <c r="D200" i="18" s="1"/>
  <c r="N201" i="24" s="1"/>
  <c r="B202" i="18" a="1"/>
  <c r="B202" i="18" s="1"/>
  <c r="D264" i="16" a="1"/>
  <c r="D264" i="16" s="1"/>
  <c r="G265" i="24" s="1"/>
  <c r="C151" i="17" a="1"/>
  <c r="C151" i="17" s="1"/>
  <c r="J152" i="24" s="1"/>
  <c r="D164" i="17" a="1"/>
  <c r="D164" i="17" s="1"/>
  <c r="K165" i="24" s="1"/>
  <c r="B178" i="17" a="1"/>
  <c r="B178" i="17" s="1"/>
  <c r="B191" i="17" a="1"/>
  <c r="B191" i="17" s="1"/>
  <c r="C203" i="17" a="1"/>
  <c r="C203" i="17" s="1"/>
  <c r="J204" i="24" s="1"/>
  <c r="D234" i="17" a="1"/>
  <c r="D234" i="17" s="1"/>
  <c r="K235" i="24" s="1"/>
  <c r="D238" i="17" a="1"/>
  <c r="D238" i="17" s="1"/>
  <c r="K239" i="24" s="1"/>
  <c r="B241" i="17" a="1"/>
  <c r="B241" i="17" s="1"/>
  <c r="E242" i="17" a="1"/>
  <c r="E242" i="17" s="1"/>
  <c r="D244" i="17" a="1"/>
  <c r="D244" i="17" s="1"/>
  <c r="K245" i="24" s="1"/>
  <c r="B246" i="17" a="1"/>
  <c r="B246" i="17" s="1"/>
  <c r="E247" i="17" a="1"/>
  <c r="E247" i="17" s="1"/>
  <c r="C249" i="17" a="1"/>
  <c r="C249" i="17" s="1"/>
  <c r="J250" i="24" s="1"/>
  <c r="D250" i="17" a="1"/>
  <c r="D250" i="17" s="1"/>
  <c r="K251" i="24" s="1"/>
  <c r="B252" i="17" a="1"/>
  <c r="B252" i="17" s="1"/>
  <c r="D253" i="17" a="1"/>
  <c r="D253" i="17" s="1"/>
  <c r="K254" i="24" s="1"/>
  <c r="E254" i="17" a="1"/>
  <c r="E254" i="17" s="1"/>
  <c r="D257" i="17" a="1"/>
  <c r="D257" i="17" s="1"/>
  <c r="K258" i="24" s="1"/>
  <c r="E258" i="17" a="1"/>
  <c r="E258" i="17" s="1"/>
  <c r="C260" i="17" a="1"/>
  <c r="C260" i="17" s="1"/>
  <c r="J261" i="24" s="1"/>
  <c r="C263" i="17" a="1"/>
  <c r="C263" i="17" s="1"/>
  <c r="J264" i="24" s="1"/>
  <c r="D264" i="17" a="1"/>
  <c r="D264" i="17" s="1"/>
  <c r="K265" i="24" s="1"/>
  <c r="C266" i="17" a="1"/>
  <c r="C266" i="17" s="1"/>
  <c r="J267" i="24" s="1"/>
  <c r="D269" i="17" a="1"/>
  <c r="D269" i="17" s="1"/>
  <c r="K270" i="24" s="1"/>
  <c r="B271" i="17" a="1"/>
  <c r="B271" i="17" s="1"/>
  <c r="D121" i="18" a="1"/>
  <c r="D121" i="18" s="1"/>
  <c r="N122" i="24" s="1"/>
  <c r="C123" i="18" a="1"/>
  <c r="C123" i="18" s="1"/>
  <c r="M124" i="24" s="1"/>
  <c r="B125" i="18" a="1"/>
  <c r="B125" i="18" s="1"/>
  <c r="E126" i="18" a="1"/>
  <c r="E126" i="18" s="1"/>
  <c r="D128" i="18" a="1"/>
  <c r="D128" i="18" s="1"/>
  <c r="N129" i="24" s="1"/>
  <c r="B130" i="18" a="1"/>
  <c r="B130" i="18" s="1"/>
  <c r="E131" i="18" a="1"/>
  <c r="E131" i="18" s="1"/>
  <c r="E136" i="18" a="1"/>
  <c r="E136" i="18" s="1"/>
  <c r="E139" i="18" a="1"/>
  <c r="E139" i="18" s="1"/>
  <c r="C141" i="18" a="1"/>
  <c r="C141" i="18" s="1"/>
  <c r="M142" i="24" s="1"/>
  <c r="B143" i="18" a="1"/>
  <c r="B143" i="18" s="1"/>
  <c r="D144" i="18" a="1"/>
  <c r="D144" i="18" s="1"/>
  <c r="N145" i="24" s="1"/>
  <c r="B146" i="18" a="1"/>
  <c r="B146" i="18" s="1"/>
  <c r="D147" i="18" a="1"/>
  <c r="D147" i="18" s="1"/>
  <c r="N148" i="24" s="1"/>
  <c r="B149" i="18" a="1"/>
  <c r="B149" i="18" s="1"/>
  <c r="E150" i="18" a="1"/>
  <c r="E150" i="18" s="1"/>
  <c r="C152" i="18" a="1"/>
  <c r="C152" i="18" s="1"/>
  <c r="M153" i="24" s="1"/>
  <c r="E153" i="18" a="1"/>
  <c r="E153" i="18" s="1"/>
  <c r="C155" i="18" a="1"/>
  <c r="C155" i="18" s="1"/>
  <c r="M156" i="24" s="1"/>
  <c r="D158" i="18" a="1"/>
  <c r="D158" i="18" s="1"/>
  <c r="N159" i="24" s="1"/>
  <c r="B160" i="18" a="1"/>
  <c r="B160" i="18" s="1"/>
  <c r="D161" i="18" a="1"/>
  <c r="D161" i="18" s="1"/>
  <c r="N162" i="24" s="1"/>
  <c r="E164" i="18" a="1"/>
  <c r="E164" i="18" s="1"/>
  <c r="C166" i="18" a="1"/>
  <c r="C166" i="18" s="1"/>
  <c r="M167" i="24" s="1"/>
  <c r="B171" i="18" a="1"/>
  <c r="B171" i="18" s="1"/>
  <c r="D172" i="18" a="1"/>
  <c r="D172" i="18" s="1"/>
  <c r="N173" i="24" s="1"/>
  <c r="B174" i="18" a="1"/>
  <c r="B174" i="18" s="1"/>
  <c r="E175" i="18" a="1"/>
  <c r="E175" i="18" s="1"/>
  <c r="C177" i="18" a="1"/>
  <c r="C177" i="18" s="1"/>
  <c r="M178" i="24" s="1"/>
  <c r="E178" i="18" a="1"/>
  <c r="E178" i="18" s="1"/>
  <c r="E181" i="18" a="1"/>
  <c r="E181" i="18" s="1"/>
  <c r="D183" i="18" a="1"/>
  <c r="D183" i="18" s="1"/>
  <c r="N184" i="24" s="1"/>
  <c r="B185" i="18" a="1"/>
  <c r="B185" i="18" s="1"/>
  <c r="D186" i="18" a="1"/>
  <c r="D186" i="18" s="1"/>
  <c r="N187" i="24" s="1"/>
  <c r="C188" i="18" a="1"/>
  <c r="C188" i="18" s="1"/>
  <c r="M189" i="24" s="1"/>
  <c r="D189" i="18" a="1"/>
  <c r="D189" i="18" s="1"/>
  <c r="N190" i="24" s="1"/>
  <c r="C191" i="18" a="1"/>
  <c r="C191" i="18" s="1"/>
  <c r="M192" i="24" s="1"/>
  <c r="C194" i="18" a="1"/>
  <c r="C194" i="18" s="1"/>
  <c r="M195" i="24" s="1"/>
  <c r="B196" i="18" a="1"/>
  <c r="B196" i="18" s="1"/>
  <c r="E200" i="18" a="1"/>
  <c r="E200" i="18" s="1"/>
  <c r="D179" i="17" a="1"/>
  <c r="D179" i="17" s="1"/>
  <c r="K180" i="24" s="1"/>
  <c r="B243" i="17" a="1"/>
  <c r="B243" i="17" s="1"/>
  <c r="E128" i="18" a="1"/>
  <c r="E128" i="18" s="1"/>
  <c r="B154" i="18" a="1"/>
  <c r="B154" i="18" s="1"/>
  <c r="D166" i="18" a="1"/>
  <c r="D166" i="18" s="1"/>
  <c r="N167" i="24" s="1"/>
  <c r="B179" i="18" a="1"/>
  <c r="B179" i="18" s="1"/>
  <c r="D191" i="18" a="1"/>
  <c r="D191" i="18" s="1"/>
  <c r="N192" i="24" s="1"/>
  <c r="D201" i="18" a="1"/>
  <c r="D201" i="18" s="1"/>
  <c r="N202" i="24" s="1"/>
  <c r="E203" i="18" a="1"/>
  <c r="E203" i="18" s="1"/>
  <c r="C207" i="18" a="1"/>
  <c r="C207" i="18" s="1"/>
  <c r="M208" i="24" s="1"/>
  <c r="C210" i="18" a="1"/>
  <c r="C210" i="18" s="1"/>
  <c r="M211" i="24" s="1"/>
  <c r="B212" i="18" a="1"/>
  <c r="B212" i="18" s="1"/>
  <c r="E216" i="18" a="1"/>
  <c r="E216" i="18" s="1"/>
  <c r="E219" i="18" a="1"/>
  <c r="E219" i="18" s="1"/>
  <c r="C221" i="18" a="1"/>
  <c r="C221" i="18" s="1"/>
  <c r="M222" i="24" s="1"/>
  <c r="B223" i="18" a="1"/>
  <c r="B223" i="18" s="1"/>
  <c r="D224" i="18" a="1"/>
  <c r="D224" i="18" s="1"/>
  <c r="N225" i="24" s="1"/>
  <c r="B226" i="18" a="1"/>
  <c r="B226" i="18" s="1"/>
  <c r="D227" i="18" a="1"/>
  <c r="D227" i="18" s="1"/>
  <c r="N228" i="24" s="1"/>
  <c r="B229" i="18" a="1"/>
  <c r="B229" i="18" s="1"/>
  <c r="E230" i="18" a="1"/>
  <c r="E230" i="18" s="1"/>
  <c r="C232" i="18" a="1"/>
  <c r="C232" i="18" s="1"/>
  <c r="M233" i="24" s="1"/>
  <c r="E233" i="18" a="1"/>
  <c r="E233" i="18" s="1"/>
  <c r="C235" i="18" a="1"/>
  <c r="C235" i="18" s="1"/>
  <c r="M236" i="24" s="1"/>
  <c r="D238" i="18" a="1"/>
  <c r="D238" i="18" s="1"/>
  <c r="N239" i="24" s="1"/>
  <c r="B240" i="18" a="1"/>
  <c r="B240" i="18" s="1"/>
  <c r="D241" i="18" a="1"/>
  <c r="D241" i="18" s="1"/>
  <c r="N242" i="24" s="1"/>
  <c r="D244" i="18" a="1"/>
  <c r="D244" i="18" s="1"/>
  <c r="N245" i="24" s="1"/>
  <c r="E245" i="18" a="1"/>
  <c r="E245" i="18" s="1"/>
  <c r="C247" i="18" a="1"/>
  <c r="C247" i="18" s="1"/>
  <c r="M248" i="24" s="1"/>
  <c r="D250" i="18" a="1"/>
  <c r="D250" i="18" s="1"/>
  <c r="N251" i="24" s="1"/>
  <c r="C252" i="18" a="1"/>
  <c r="C252" i="18" s="1"/>
  <c r="M253" i="24" s="1"/>
  <c r="B254" i="18" a="1"/>
  <c r="B254" i="18" s="1"/>
  <c r="D255" i="18" a="1"/>
  <c r="D255" i="18" s="1"/>
  <c r="N256" i="24" s="1"/>
  <c r="C257" i="18" a="1"/>
  <c r="C257" i="18" s="1"/>
  <c r="M258" i="24" s="1"/>
  <c r="B259" i="18" a="1"/>
  <c r="B259" i="18" s="1"/>
  <c r="E260" i="18" a="1"/>
  <c r="E260" i="18" s="1"/>
  <c r="D262" i="18" a="1"/>
  <c r="D262" i="18" s="1"/>
  <c r="N263" i="24" s="1"/>
  <c r="D265" i="18" a="1"/>
  <c r="D265" i="18" s="1"/>
  <c r="N266" i="24" s="1"/>
  <c r="B267" i="18" a="1"/>
  <c r="B267" i="18" s="1"/>
  <c r="E268" i="18" a="1"/>
  <c r="E268" i="18" s="1"/>
  <c r="C270" i="18" a="1"/>
  <c r="C270" i="18" s="1"/>
  <c r="M271" i="24" s="1"/>
  <c r="E271" i="18" a="1"/>
  <c r="E271" i="18" s="1"/>
  <c r="C122" i="19" a="1"/>
  <c r="C122" i="19" s="1"/>
  <c r="P123" i="24" s="1"/>
  <c r="B124" i="19" a="1"/>
  <c r="B124" i="19" s="1"/>
  <c r="E125" i="19" a="1"/>
  <c r="E125" i="19" s="1"/>
  <c r="D127" i="19" a="1"/>
  <c r="D127" i="19" s="1"/>
  <c r="Q128" i="24" s="1"/>
  <c r="B129" i="19" a="1"/>
  <c r="B129" i="19" s="1"/>
  <c r="E130" i="19" a="1"/>
  <c r="E130" i="19" s="1"/>
  <c r="E133" i="19" a="1"/>
  <c r="E133" i="19" s="1"/>
  <c r="D135" i="19" a="1"/>
  <c r="D135" i="19" s="1"/>
  <c r="Q136" i="24" s="1"/>
  <c r="E136" i="19" a="1"/>
  <c r="E136" i="19" s="1"/>
  <c r="D138" i="19" a="1"/>
  <c r="D138" i="19" s="1"/>
  <c r="Q139" i="24" s="1"/>
  <c r="B140" i="19" a="1"/>
  <c r="B140" i="19" s="1"/>
  <c r="D141" i="19" a="1"/>
  <c r="D141" i="19" s="1"/>
  <c r="Q142" i="24" s="1"/>
  <c r="C143" i="19" a="1"/>
  <c r="C143" i="19" s="1"/>
  <c r="P144" i="24" s="1"/>
  <c r="C146" i="19" a="1"/>
  <c r="C146" i="19" s="1"/>
  <c r="P147" i="24" s="1"/>
  <c r="E147" i="19" a="1"/>
  <c r="E147" i="19" s="1"/>
  <c r="C149" i="19" a="1"/>
  <c r="C149" i="19" s="1"/>
  <c r="P150" i="24" s="1"/>
  <c r="B151" i="19" a="1"/>
  <c r="B151" i="19" s="1"/>
  <c r="D152" i="19" a="1"/>
  <c r="D152" i="19" s="1"/>
  <c r="Q153" i="24" s="1"/>
  <c r="B154" i="19" a="1"/>
  <c r="B154" i="19" s="1"/>
  <c r="E158" i="19" a="1"/>
  <c r="E158" i="19" s="1"/>
  <c r="D160" i="19" a="1"/>
  <c r="D160" i="19" s="1"/>
  <c r="Q161" i="24" s="1"/>
  <c r="C162" i="19" a="1"/>
  <c r="C162" i="19" s="1"/>
  <c r="P163" i="24" s="1"/>
  <c r="C192" i="17" a="1"/>
  <c r="C192" i="17" s="1"/>
  <c r="J193" i="24" s="1"/>
  <c r="E244" i="17" a="1"/>
  <c r="E244" i="17" s="1"/>
  <c r="C256" i="17" a="1"/>
  <c r="C256" i="17" s="1"/>
  <c r="J257" i="24" s="1"/>
  <c r="B268" i="17" a="1"/>
  <c r="B268" i="17" s="1"/>
  <c r="C130" i="18" a="1"/>
  <c r="C130" i="18" s="1"/>
  <c r="M131" i="24" s="1"/>
  <c r="D155" i="18" a="1"/>
  <c r="D155" i="18" s="1"/>
  <c r="N156" i="24" s="1"/>
  <c r="B168" i="18" a="1"/>
  <c r="B168" i="18" s="1"/>
  <c r="D180" i="18" a="1"/>
  <c r="D180" i="18" s="1"/>
  <c r="N181" i="24" s="1"/>
  <c r="B193" i="18" a="1"/>
  <c r="B193" i="18" s="1"/>
  <c r="E201" i="18" a="1"/>
  <c r="E201" i="18" s="1"/>
  <c r="B204" i="18" a="1"/>
  <c r="B204" i="18" s="1"/>
  <c r="D205" i="18" a="1"/>
  <c r="D205" i="18" s="1"/>
  <c r="N206" i="24" s="1"/>
  <c r="D207" i="18" a="1"/>
  <c r="D207" i="18" s="1"/>
  <c r="N208" i="24" s="1"/>
  <c r="B209" i="18" a="1"/>
  <c r="B209" i="18" s="1"/>
  <c r="D210" i="18" a="1"/>
  <c r="D210" i="18" s="1"/>
  <c r="N211" i="24" s="1"/>
  <c r="C212" i="18" a="1"/>
  <c r="C212" i="18" s="1"/>
  <c r="M213" i="24" s="1"/>
  <c r="D213" i="18" a="1"/>
  <c r="D213" i="18" s="1"/>
  <c r="N214" i="24" s="1"/>
  <c r="C215" i="18" a="1"/>
  <c r="C215" i="18" s="1"/>
  <c r="M216" i="24" s="1"/>
  <c r="C218" i="18" a="1"/>
  <c r="C218" i="18" s="1"/>
  <c r="M219" i="24" s="1"/>
  <c r="B220" i="18" a="1"/>
  <c r="B220" i="18" s="1"/>
  <c r="E224" i="18" a="1"/>
  <c r="E224" i="18" s="1"/>
  <c r="E227" i="18" a="1"/>
  <c r="E227" i="18" s="1"/>
  <c r="C229" i="18" a="1"/>
  <c r="C229" i="18" s="1"/>
  <c r="M230" i="24" s="1"/>
  <c r="B231" i="18" a="1"/>
  <c r="B231" i="18" s="1"/>
  <c r="D232" i="18" a="1"/>
  <c r="D232" i="18" s="1"/>
  <c r="N233" i="24" s="1"/>
  <c r="B234" i="18" a="1"/>
  <c r="B234" i="18" s="1"/>
  <c r="D235" i="18" a="1"/>
  <c r="D235" i="18" s="1"/>
  <c r="N236" i="24" s="1"/>
  <c r="B237" i="18" a="1"/>
  <c r="B237" i="18" s="1"/>
  <c r="E238" i="18" a="1"/>
  <c r="E238" i="18" s="1"/>
  <c r="C240" i="18" a="1"/>
  <c r="C240" i="18" s="1"/>
  <c r="M241" i="24" s="1"/>
  <c r="E241" i="18" a="1"/>
  <c r="E241" i="18" s="1"/>
  <c r="C243" i="18" a="1"/>
  <c r="C243" i="18" s="1"/>
  <c r="M244" i="24" s="1"/>
  <c r="E244" i="18" a="1"/>
  <c r="E244" i="18" s="1"/>
  <c r="B246" i="18" a="1"/>
  <c r="B246" i="18" s="1"/>
  <c r="D247" i="18" a="1"/>
  <c r="D247" i="18" s="1"/>
  <c r="N248" i="24" s="1"/>
  <c r="B249" i="18" a="1"/>
  <c r="B249" i="18" s="1"/>
  <c r="D252" i="18" a="1"/>
  <c r="D252" i="18" s="1"/>
  <c r="N253" i="24" s="1"/>
  <c r="C254" i="18" a="1"/>
  <c r="C254" i="18" s="1"/>
  <c r="M255" i="24" s="1"/>
  <c r="E255" i="18" a="1"/>
  <c r="E255" i="18" s="1"/>
  <c r="D257" i="18" a="1"/>
  <c r="D257" i="18" s="1"/>
  <c r="N258" i="24" s="1"/>
  <c r="B264" i="18" a="1"/>
  <c r="B264" i="18" s="1"/>
  <c r="E265" i="18" a="1"/>
  <c r="E265" i="18" s="1"/>
  <c r="D270" i="18" a="1"/>
  <c r="D270" i="18" s="1"/>
  <c r="N271" i="24" s="1"/>
  <c r="D122" i="19" a="1"/>
  <c r="D122" i="19" s="1"/>
  <c r="Q123" i="24" s="1"/>
  <c r="C129" i="19" a="1"/>
  <c r="C129" i="19" s="1"/>
  <c r="P130" i="24" s="1"/>
  <c r="C132" i="19" a="1"/>
  <c r="C132" i="19" s="1"/>
  <c r="P133" i="24" s="1"/>
  <c r="B137" i="19" a="1"/>
  <c r="B137" i="19" s="1"/>
  <c r="E138" i="19" a="1"/>
  <c r="E138" i="19" s="1"/>
  <c r="E141" i="19" a="1"/>
  <c r="E141" i="19" s="1"/>
  <c r="D143" i="19" a="1"/>
  <c r="D143" i="19" s="1"/>
  <c r="Q144" i="24" s="1"/>
  <c r="E144" i="19" a="1"/>
  <c r="E144" i="19" s="1"/>
  <c r="D146" i="19" a="1"/>
  <c r="D146" i="19" s="1"/>
  <c r="Q147" i="24" s="1"/>
  <c r="B148" i="19" a="1"/>
  <c r="B148" i="19" s="1"/>
  <c r="D149" i="19" a="1"/>
  <c r="D149" i="19" s="1"/>
  <c r="Q150" i="24" s="1"/>
  <c r="C151" i="19" a="1"/>
  <c r="C151" i="19" s="1"/>
  <c r="P152" i="24" s="1"/>
  <c r="C154" i="19" a="1"/>
  <c r="C154" i="19" s="1"/>
  <c r="P155" i="24" s="1"/>
  <c r="E155" i="19" a="1"/>
  <c r="E155" i="19" s="1"/>
  <c r="C157" i="19" a="1"/>
  <c r="C157" i="19" s="1"/>
  <c r="P158" i="24" s="1"/>
  <c r="B159" i="19" a="1"/>
  <c r="B159" i="19" s="1"/>
  <c r="D162" i="19" a="1"/>
  <c r="D162" i="19" s="1"/>
  <c r="Q163" i="24" s="1"/>
  <c r="B164" i="19" a="1"/>
  <c r="B164" i="19" s="1"/>
  <c r="E165" i="19" a="1"/>
  <c r="E165" i="19" s="1"/>
  <c r="D167" i="19" a="1"/>
  <c r="D167" i="19" s="1"/>
  <c r="Q168" i="24" s="1"/>
  <c r="B169" i="19" a="1"/>
  <c r="B169" i="19" s="1"/>
  <c r="B205" i="17" a="1"/>
  <c r="B205" i="17" s="1"/>
  <c r="C246" i="17" a="1"/>
  <c r="C246" i="17" s="1"/>
  <c r="J247" i="24" s="1"/>
  <c r="E257" i="17" a="1"/>
  <c r="E257" i="17" s="1"/>
  <c r="E269" i="17" a="1"/>
  <c r="E269" i="17" s="1"/>
  <c r="B132" i="18" a="1"/>
  <c r="B132" i="18" s="1"/>
  <c r="E144" i="18" a="1"/>
  <c r="E144" i="18" s="1"/>
  <c r="B157" i="18" a="1"/>
  <c r="B157" i="18" s="1"/>
  <c r="D169" i="18" a="1"/>
  <c r="D169" i="18" s="1"/>
  <c r="N170" i="24" s="1"/>
  <c r="B182" i="18" a="1"/>
  <c r="B182" i="18" s="1"/>
  <c r="D194" i="18" a="1"/>
  <c r="D194" i="18" s="1"/>
  <c r="N195" i="24" s="1"/>
  <c r="C204" i="18" a="1"/>
  <c r="C204" i="18" s="1"/>
  <c r="M205" i="24" s="1"/>
  <c r="E205" i="18" a="1"/>
  <c r="E205" i="18" s="1"/>
  <c r="E207" i="18" a="1"/>
  <c r="E207" i="18" s="1"/>
  <c r="C209" i="18" a="1"/>
  <c r="C209" i="18" s="1"/>
  <c r="M210" i="24" s="1"/>
  <c r="E210" i="18" a="1"/>
  <c r="E210" i="18" s="1"/>
  <c r="E213" i="18" a="1"/>
  <c r="E213" i="18" s="1"/>
  <c r="D215" i="18" a="1"/>
  <c r="D215" i="18" s="1"/>
  <c r="N216" i="24" s="1"/>
  <c r="B217" i="18" a="1"/>
  <c r="B217" i="18" s="1"/>
  <c r="D218" i="18" a="1"/>
  <c r="D218" i="18" s="1"/>
  <c r="N219" i="24" s="1"/>
  <c r="C220" i="18" a="1"/>
  <c r="C220" i="18" s="1"/>
  <c r="M221" i="24" s="1"/>
  <c r="D221" i="18" a="1"/>
  <c r="D221" i="18" s="1"/>
  <c r="N222" i="24" s="1"/>
  <c r="C223" i="18" a="1"/>
  <c r="C223" i="18" s="1"/>
  <c r="M224" i="24" s="1"/>
  <c r="C226" i="18" a="1"/>
  <c r="C226" i="18" s="1"/>
  <c r="M227" i="24" s="1"/>
  <c r="B228" i="18" a="1"/>
  <c r="B228" i="18" s="1"/>
  <c r="E232" i="18" a="1"/>
  <c r="E232" i="18" s="1"/>
  <c r="E235" i="18" a="1"/>
  <c r="E235" i="18" s="1"/>
  <c r="C237" i="18" a="1"/>
  <c r="C237" i="18" s="1"/>
  <c r="M238" i="24" s="1"/>
  <c r="B239" i="18" a="1"/>
  <c r="B239" i="18" s="1"/>
  <c r="D240" i="18" a="1"/>
  <c r="D240" i="18" s="1"/>
  <c r="N241" i="24" s="1"/>
  <c r="B242" i="18" a="1"/>
  <c r="B242" i="18" s="1"/>
  <c r="C246" i="18" a="1"/>
  <c r="C246" i="18" s="1"/>
  <c r="M247" i="24" s="1"/>
  <c r="E247" i="18" a="1"/>
  <c r="E247" i="18" s="1"/>
  <c r="C249" i="18" a="1"/>
  <c r="C249" i="18" s="1"/>
  <c r="M250" i="24" s="1"/>
  <c r="E250" i="18" a="1"/>
  <c r="E250" i="18" s="1"/>
  <c r="E252" i="18" a="1"/>
  <c r="E252" i="18" s="1"/>
  <c r="D254" i="18" a="1"/>
  <c r="D254" i="18" s="1"/>
  <c r="N255" i="24" s="1"/>
  <c r="B256" i="18" a="1"/>
  <c r="B256" i="18" s="1"/>
  <c r="E257" i="18" a="1"/>
  <c r="E257" i="18" s="1"/>
  <c r="C259" i="18" a="1"/>
  <c r="C259" i="18" s="1"/>
  <c r="M260" i="24" s="1"/>
  <c r="B261" i="18" a="1"/>
  <c r="B261" i="18" s="1"/>
  <c r="E262" i="18" a="1"/>
  <c r="E262" i="18" s="1"/>
  <c r="C264" i="18" a="1"/>
  <c r="C264" i="18" s="1"/>
  <c r="M265" i="24" s="1"/>
  <c r="B266" i="18" a="1"/>
  <c r="B266" i="18" s="1"/>
  <c r="C267" i="18" a="1"/>
  <c r="C267" i="18" s="1"/>
  <c r="M268" i="24" s="1"/>
  <c r="B269" i="18" a="1"/>
  <c r="B269" i="18" s="1"/>
  <c r="B121" i="19" a="1"/>
  <c r="B121" i="19" s="1"/>
  <c r="E122" i="19" a="1"/>
  <c r="E122" i="19" s="1"/>
  <c r="C124" i="19" a="1"/>
  <c r="C124" i="19" s="1"/>
  <c r="P125" i="24" s="1"/>
  <c r="B126" i="19" a="1"/>
  <c r="B126" i="19" s="1"/>
  <c r="E127" i="19" a="1"/>
  <c r="E127" i="19" s="1"/>
  <c r="D129" i="19" a="1"/>
  <c r="D129" i="19" s="1"/>
  <c r="Q130" i="24" s="1"/>
  <c r="B131" i="19" a="1"/>
  <c r="B131" i="19" s="1"/>
  <c r="D132" i="19" a="1"/>
  <c r="D132" i="19" s="1"/>
  <c r="Q133" i="24" s="1"/>
  <c r="B134" i="19" a="1"/>
  <c r="B134" i="19" s="1"/>
  <c r="E135" i="19" a="1"/>
  <c r="E135" i="19" s="1"/>
  <c r="C137" i="19" a="1"/>
  <c r="C137" i="19" s="1"/>
  <c r="P138" i="24" s="1"/>
  <c r="C140" i="19" a="1"/>
  <c r="C140" i="19" s="1"/>
  <c r="P141" i="24" s="1"/>
  <c r="B145" i="19" a="1"/>
  <c r="B145" i="19" s="1"/>
  <c r="E146" i="19" a="1"/>
  <c r="E146" i="19" s="1"/>
  <c r="E149" i="19" a="1"/>
  <c r="E149" i="19" s="1"/>
  <c r="D151" i="19" a="1"/>
  <c r="D151" i="19" s="1"/>
  <c r="Q152" i="24" s="1"/>
  <c r="E152" i="19" a="1"/>
  <c r="E152" i="19" s="1"/>
  <c r="D154" i="19" a="1"/>
  <c r="D154" i="19" s="1"/>
  <c r="Q155" i="24" s="1"/>
  <c r="D217" i="17" a="1"/>
  <c r="D217" i="17" s="1"/>
  <c r="K218" i="24" s="1"/>
  <c r="B259" i="17" a="1"/>
  <c r="B259" i="17" s="1"/>
  <c r="C271" i="17" a="1"/>
  <c r="C271" i="17" s="1"/>
  <c r="D133" i="18" a="1"/>
  <c r="D133" i="18" s="1"/>
  <c r="N134" i="24" s="1"/>
  <c r="E158" i="18" a="1"/>
  <c r="E158" i="18" s="1"/>
  <c r="E183" i="18" a="1"/>
  <c r="E183" i="18" s="1"/>
  <c r="C196" i="18" a="1"/>
  <c r="C196" i="18" s="1"/>
  <c r="M197" i="24" s="1"/>
  <c r="C202" i="18" a="1"/>
  <c r="C202" i="18" s="1"/>
  <c r="M203" i="24" s="1"/>
  <c r="C206" i="18" a="1"/>
  <c r="C206" i="18" s="1"/>
  <c r="M207" i="24" s="1"/>
  <c r="B211" i="18" a="1"/>
  <c r="B211" i="18" s="1"/>
  <c r="D212" i="18" a="1"/>
  <c r="D212" i="18" s="1"/>
  <c r="N213" i="24" s="1"/>
  <c r="B214" i="18" a="1"/>
  <c r="B214" i="18" s="1"/>
  <c r="E215" i="18" a="1"/>
  <c r="E215" i="18" s="1"/>
  <c r="C217" i="18" a="1"/>
  <c r="C217" i="18" s="1"/>
  <c r="M218" i="24" s="1"/>
  <c r="E218" i="18" a="1"/>
  <c r="E218" i="18" s="1"/>
  <c r="E221" i="18" a="1"/>
  <c r="E221" i="18" s="1"/>
  <c r="D223" i="18" a="1"/>
  <c r="D223" i="18" s="1"/>
  <c r="N224" i="24" s="1"/>
  <c r="B225" i="18" a="1"/>
  <c r="B225" i="18" s="1"/>
  <c r="D226" i="18" a="1"/>
  <c r="D226" i="18" s="1"/>
  <c r="N227" i="24" s="1"/>
  <c r="C228" i="18" a="1"/>
  <c r="C228" i="18" s="1"/>
  <c r="M229" i="24" s="1"/>
  <c r="D229" i="18" a="1"/>
  <c r="D229" i="18" s="1"/>
  <c r="N230" i="24" s="1"/>
  <c r="C231" i="18" a="1"/>
  <c r="C231" i="18" s="1"/>
  <c r="M232" i="24" s="1"/>
  <c r="C234" i="18" a="1"/>
  <c r="C234" i="18" s="1"/>
  <c r="M235" i="24" s="1"/>
  <c r="B236" i="18" a="1"/>
  <c r="B236" i="18" s="1"/>
  <c r="E240" i="18" a="1"/>
  <c r="E240" i="18" s="1"/>
  <c r="D243" i="18" a="1"/>
  <c r="D243" i="18" s="1"/>
  <c r="N244" i="24" s="1"/>
  <c r="B245" i="18" a="1"/>
  <c r="B245" i="18" s="1"/>
  <c r="D246" i="18" a="1"/>
  <c r="D246" i="18" s="1"/>
  <c r="N247" i="24" s="1"/>
  <c r="D249" i="18" a="1"/>
  <c r="D249" i="18" s="1"/>
  <c r="N250" i="24" s="1"/>
  <c r="B251" i="18" a="1"/>
  <c r="B251" i="18" s="1"/>
  <c r="C256" i="18" a="1"/>
  <c r="C256" i="18" s="1"/>
  <c r="M257" i="24" s="1"/>
  <c r="B258" i="18" a="1"/>
  <c r="B258" i="18" s="1"/>
  <c r="D259" i="18" a="1"/>
  <c r="D259" i="18" s="1"/>
  <c r="N260" i="24" s="1"/>
  <c r="C261" i="18" a="1"/>
  <c r="C261" i="18" s="1"/>
  <c r="M262" i="24" s="1"/>
  <c r="B263" i="18" a="1"/>
  <c r="B263" i="18" s="1"/>
  <c r="D264" i="18" a="1"/>
  <c r="D264" i="18" s="1"/>
  <c r="N265" i="24" s="1"/>
  <c r="D267" i="18" a="1"/>
  <c r="D267" i="18" s="1"/>
  <c r="N268" i="24" s="1"/>
  <c r="C269" i="18" a="1"/>
  <c r="C269" i="18" s="1"/>
  <c r="M270" i="24" s="1"/>
  <c r="E270" i="18" a="1"/>
  <c r="E270" i="18" s="1"/>
  <c r="C121" i="19" a="1"/>
  <c r="C121" i="19" s="1"/>
  <c r="P122" i="24" s="1"/>
  <c r="B123" i="19" a="1"/>
  <c r="B123" i="19" s="1"/>
  <c r="D124" i="19" a="1"/>
  <c r="D124" i="19" s="1"/>
  <c r="Q125" i="24" s="1"/>
  <c r="C126" i="19" a="1"/>
  <c r="C126" i="19" s="1"/>
  <c r="P127" i="24" s="1"/>
  <c r="B128" i="19" a="1"/>
  <c r="B128" i="19" s="1"/>
  <c r="E129" i="19" a="1"/>
  <c r="E129" i="19" s="1"/>
  <c r="C131" i="19" a="1"/>
  <c r="C131" i="19" s="1"/>
  <c r="P132" i="24" s="1"/>
  <c r="E132" i="19" a="1"/>
  <c r="E132" i="19" s="1"/>
  <c r="C134" i="19" a="1"/>
  <c r="C134" i="19" s="1"/>
  <c r="P135" i="24" s="1"/>
  <c r="B136" i="19" a="1"/>
  <c r="B136" i="19" s="1"/>
  <c r="D137" i="19" a="1"/>
  <c r="D137" i="19" s="1"/>
  <c r="Q138" i="24" s="1"/>
  <c r="B139" i="19" a="1"/>
  <c r="B139" i="19" s="1"/>
  <c r="D140" i="19" a="1"/>
  <c r="D140" i="19" s="1"/>
  <c r="Q141" i="24" s="1"/>
  <c r="B142" i="19" a="1"/>
  <c r="B142" i="19" s="1"/>
  <c r="E143" i="19" a="1"/>
  <c r="E143" i="19" s="1"/>
  <c r="C145" i="19" a="1"/>
  <c r="C145" i="19" s="1"/>
  <c r="P146" i="24" s="1"/>
  <c r="C148" i="19" a="1"/>
  <c r="C148" i="19" s="1"/>
  <c r="P149" i="24" s="1"/>
  <c r="B153" i="19" a="1"/>
  <c r="B153" i="19" s="1"/>
  <c r="E154" i="19" a="1"/>
  <c r="E154" i="19" s="1"/>
  <c r="E157" i="19" a="1"/>
  <c r="E157" i="19" s="1"/>
  <c r="D159" i="19" a="1"/>
  <c r="D159" i="19" s="1"/>
  <c r="Q160" i="24" s="1"/>
  <c r="B161" i="19" a="1"/>
  <c r="B161" i="19" s="1"/>
  <c r="D164" i="19" a="1"/>
  <c r="D164" i="19" s="1"/>
  <c r="Q165" i="24" s="1"/>
  <c r="B166" i="19" a="1"/>
  <c r="B166" i="19" s="1"/>
  <c r="B168" i="19" a="1"/>
  <c r="B168" i="19" s="1"/>
  <c r="E126" i="17" a="1"/>
  <c r="E126" i="17" s="1"/>
  <c r="D249" i="17" a="1"/>
  <c r="D249" i="17" s="1"/>
  <c r="K250" i="24" s="1"/>
  <c r="E121" i="18" a="1"/>
  <c r="E121" i="18" s="1"/>
  <c r="C135" i="18" a="1"/>
  <c r="C135" i="18" s="1"/>
  <c r="M136" i="24" s="1"/>
  <c r="E147" i="18" a="1"/>
  <c r="E147" i="18" s="1"/>
  <c r="C160" i="18" a="1"/>
  <c r="C160" i="18" s="1"/>
  <c r="M161" i="24" s="1"/>
  <c r="E172" i="18" a="1"/>
  <c r="E172" i="18" s="1"/>
  <c r="C185" i="18" a="1"/>
  <c r="C185" i="18" s="1"/>
  <c r="M186" i="24" s="1"/>
  <c r="D197" i="18" a="1"/>
  <c r="D197" i="18" s="1"/>
  <c r="N198" i="24" s="1"/>
  <c r="E202" i="18" a="1"/>
  <c r="E202" i="18" s="1"/>
  <c r="E204" i="18" a="1"/>
  <c r="E204" i="18" s="1"/>
  <c r="D206" i="18" a="1"/>
  <c r="D206" i="18" s="1"/>
  <c r="N207" i="24" s="1"/>
  <c r="B208" i="18" a="1"/>
  <c r="B208" i="18" s="1"/>
  <c r="D209" i="18" a="1"/>
  <c r="D209" i="18" s="1"/>
  <c r="N210" i="24" s="1"/>
  <c r="E212" i="18" a="1"/>
  <c r="E212" i="18" s="1"/>
  <c r="C214" i="18" a="1"/>
  <c r="C214" i="18" s="1"/>
  <c r="M215" i="24" s="1"/>
  <c r="B219" i="18" a="1"/>
  <c r="B219" i="18" s="1"/>
  <c r="D220" i="18" a="1"/>
  <c r="D220" i="18" s="1"/>
  <c r="N221" i="24" s="1"/>
  <c r="B222" i="18" a="1"/>
  <c r="B222" i="18" s="1"/>
  <c r="E223" i="18" a="1"/>
  <c r="E223" i="18" s="1"/>
  <c r="C225" i="18" a="1"/>
  <c r="C225" i="18" s="1"/>
  <c r="M226" i="24" s="1"/>
  <c r="E226" i="18" a="1"/>
  <c r="E226" i="18" s="1"/>
  <c r="E229" i="18" a="1"/>
  <c r="E229" i="18" s="1"/>
  <c r="D231" i="18" a="1"/>
  <c r="D231" i="18" s="1"/>
  <c r="N232" i="24" s="1"/>
  <c r="B233" i="18" a="1"/>
  <c r="B233" i="18" s="1"/>
  <c r="D234" i="18" a="1"/>
  <c r="D234" i="18" s="1"/>
  <c r="N235" i="24" s="1"/>
  <c r="C236" i="18" a="1"/>
  <c r="C236" i="18" s="1"/>
  <c r="M237" i="24" s="1"/>
  <c r="D237" i="18" a="1"/>
  <c r="D237" i="18" s="1"/>
  <c r="N238" i="24" s="1"/>
  <c r="C239" i="18" a="1"/>
  <c r="C239" i="18" s="1"/>
  <c r="M240" i="24" s="1"/>
  <c r="C242" i="18" a="1"/>
  <c r="C242" i="18" s="1"/>
  <c r="M243" i="24" s="1"/>
  <c r="E243" i="18" a="1"/>
  <c r="E243" i="18" s="1"/>
  <c r="C245" i="18" a="1"/>
  <c r="C245" i="18" s="1"/>
  <c r="M246" i="24" s="1"/>
  <c r="B248" i="18" a="1"/>
  <c r="B248" i="18" s="1"/>
  <c r="E249" i="18" a="1"/>
  <c r="E249" i="18" s="1"/>
  <c r="C251" i="18" a="1"/>
  <c r="C251" i="18" s="1"/>
  <c r="M252" i="24" s="1"/>
  <c r="B253" i="18" a="1"/>
  <c r="B253" i="18" s="1"/>
  <c r="E254" i="18" a="1"/>
  <c r="E254" i="18" s="1"/>
  <c r="D256" i="18" a="1"/>
  <c r="D256" i="18" s="1"/>
  <c r="N257" i="24" s="1"/>
  <c r="C258" i="18" a="1"/>
  <c r="C258" i="18" s="1"/>
  <c r="M259" i="24" s="1"/>
  <c r="E259" i="18" a="1"/>
  <c r="E259" i="18" s="1"/>
  <c r="D261" i="18" a="1"/>
  <c r="D261" i="18" s="1"/>
  <c r="N262" i="24" s="1"/>
  <c r="E264" i="18" a="1"/>
  <c r="E264" i="18" s="1"/>
  <c r="C266" i="18" a="1"/>
  <c r="C266" i="18" s="1"/>
  <c r="M267" i="24" s="1"/>
  <c r="E267" i="18" a="1"/>
  <c r="E267" i="18" s="1"/>
  <c r="D269" i="18" a="1"/>
  <c r="D269" i="18" s="1"/>
  <c r="N270" i="24" s="1"/>
  <c r="B271" i="18" a="1"/>
  <c r="B271" i="18" s="1"/>
  <c r="D121" i="19" a="1"/>
  <c r="D121" i="19" s="1"/>
  <c r="Q122" i="24" s="1"/>
  <c r="C123" i="19" a="1"/>
  <c r="C123" i="19" s="1"/>
  <c r="P124" i="24" s="1"/>
  <c r="E124" i="19" a="1"/>
  <c r="E124" i="19" s="1"/>
  <c r="D126" i="19" a="1"/>
  <c r="D126" i="19" s="1"/>
  <c r="Q127" i="24" s="1"/>
  <c r="D131" i="19" a="1"/>
  <c r="D131" i="19" s="1"/>
  <c r="Q132" i="24" s="1"/>
  <c r="B133" i="19" a="1"/>
  <c r="B133" i="19" s="1"/>
  <c r="D134" i="19" a="1"/>
  <c r="D134" i="19" s="1"/>
  <c r="Q135" i="24" s="1"/>
  <c r="E137" i="19" a="1"/>
  <c r="E137" i="19" s="1"/>
  <c r="C139" i="19" a="1"/>
  <c r="C139" i="19" s="1"/>
  <c r="P140" i="24" s="1"/>
  <c r="E140" i="19" a="1"/>
  <c r="E140" i="19" s="1"/>
  <c r="C142" i="19" a="1"/>
  <c r="C142" i="19" s="1"/>
  <c r="P143" i="24" s="1"/>
  <c r="B144" i="19" a="1"/>
  <c r="B144" i="19" s="1"/>
  <c r="D145" i="19" a="1"/>
  <c r="D145" i="19" s="1"/>
  <c r="Q146" i="24" s="1"/>
  <c r="B147" i="19" a="1"/>
  <c r="B147" i="19" s="1"/>
  <c r="D148" i="19" a="1"/>
  <c r="D148" i="19" s="1"/>
  <c r="Q149" i="24" s="1"/>
  <c r="B150" i="19" a="1"/>
  <c r="B150" i="19" s="1"/>
  <c r="E151" i="19" a="1"/>
  <c r="E151" i="19" s="1"/>
  <c r="C153" i="19" a="1"/>
  <c r="C153" i="19" s="1"/>
  <c r="P154" i="24" s="1"/>
  <c r="C156" i="19" a="1"/>
  <c r="C156" i="19" s="1"/>
  <c r="P157" i="24" s="1"/>
  <c r="C139" i="17" a="1"/>
  <c r="C139" i="17" s="1"/>
  <c r="J140" i="24" s="1"/>
  <c r="E234" i="17" a="1"/>
  <c r="E234" i="17" s="1"/>
  <c r="E250" i="17" a="1"/>
  <c r="E250" i="17" s="1"/>
  <c r="B262" i="17" a="1"/>
  <c r="B262" i="17" s="1"/>
  <c r="D123" i="18" a="1"/>
  <c r="D123" i="18" s="1"/>
  <c r="N124" i="24" s="1"/>
  <c r="C149" i="18" a="1"/>
  <c r="C149" i="18" s="1"/>
  <c r="M150" i="24" s="1"/>
  <c r="E161" i="18" a="1"/>
  <c r="E161" i="18" s="1"/>
  <c r="C174" i="18" a="1"/>
  <c r="C174" i="18" s="1"/>
  <c r="M175" i="24" s="1"/>
  <c r="E186" i="18" a="1"/>
  <c r="E186" i="18" s="1"/>
  <c r="C199" i="18" a="1"/>
  <c r="C199" i="18" s="1"/>
  <c r="M200" i="24" s="1"/>
  <c r="E206" i="18" a="1"/>
  <c r="E206" i="18" s="1"/>
  <c r="C208" i="18" a="1"/>
  <c r="C208" i="18" s="1"/>
  <c r="M209" i="24" s="1"/>
  <c r="E209" i="18" a="1"/>
  <c r="E209" i="18" s="1"/>
  <c r="C211" i="18" a="1"/>
  <c r="C211" i="18" s="1"/>
  <c r="M212" i="24" s="1"/>
  <c r="D214" i="18" a="1"/>
  <c r="D214" i="18" s="1"/>
  <c r="N215" i="24" s="1"/>
  <c r="B216" i="18" a="1"/>
  <c r="B216" i="18" s="1"/>
  <c r="D217" i="18" a="1"/>
  <c r="D217" i="18" s="1"/>
  <c r="N218" i="24" s="1"/>
  <c r="E220" i="18" a="1"/>
  <c r="E220" i="18" s="1"/>
  <c r="C222" i="18" a="1"/>
  <c r="C222" i="18" s="1"/>
  <c r="M223" i="24" s="1"/>
  <c r="B227" i="18" a="1"/>
  <c r="B227" i="18" s="1"/>
  <c r="D228" i="18" a="1"/>
  <c r="D228" i="18" s="1"/>
  <c r="N229" i="24" s="1"/>
  <c r="B230" i="18" a="1"/>
  <c r="B230" i="18" s="1"/>
  <c r="E231" i="18" a="1"/>
  <c r="E231" i="18" s="1"/>
  <c r="C233" i="18" a="1"/>
  <c r="C233" i="18" s="1"/>
  <c r="M234" i="24" s="1"/>
  <c r="E234" i="18" a="1"/>
  <c r="E234" i="18" s="1"/>
  <c r="E237" i="18" a="1"/>
  <c r="E237" i="18" s="1"/>
  <c r="D239" i="18" a="1"/>
  <c r="D239" i="18" s="1"/>
  <c r="N240" i="24" s="1"/>
  <c r="B241" i="18" a="1"/>
  <c r="B241" i="18" s="1"/>
  <c r="D242" i="18" a="1"/>
  <c r="D242" i="18" s="1"/>
  <c r="N243" i="24" s="1"/>
  <c r="B244" i="18" a="1"/>
  <c r="B244" i="18" s="1"/>
  <c r="E246" i="18" a="1"/>
  <c r="E246" i="18" s="1"/>
  <c r="C248" i="18" a="1"/>
  <c r="C248" i="18" s="1"/>
  <c r="M249" i="24" s="1"/>
  <c r="B250" i="18" a="1"/>
  <c r="B250" i="18" s="1"/>
  <c r="D251" i="18" a="1"/>
  <c r="D251" i="18" s="1"/>
  <c r="N252" i="24" s="1"/>
  <c r="C253" i="18" a="1"/>
  <c r="C253" i="18" s="1"/>
  <c r="M254" i="24" s="1"/>
  <c r="B255" i="18" a="1"/>
  <c r="B255" i="18" s="1"/>
  <c r="E256" i="18" a="1"/>
  <c r="E256" i="18" s="1"/>
  <c r="D258" i="18" a="1"/>
  <c r="D258" i="18" s="1"/>
  <c r="N259" i="24" s="1"/>
  <c r="B260" i="18" a="1"/>
  <c r="B260" i="18" s="1"/>
  <c r="E261" i="18" a="1"/>
  <c r="E261" i="18" s="1"/>
  <c r="C263" i="18" a="1"/>
  <c r="C263" i="18" s="1"/>
  <c r="M264" i="24" s="1"/>
  <c r="D266" i="18" a="1"/>
  <c r="D266" i="18" s="1"/>
  <c r="N267" i="24" s="1"/>
  <c r="B268" i="18" a="1"/>
  <c r="B268" i="18" s="1"/>
  <c r="E121" i="19" a="1"/>
  <c r="E121" i="19" s="1"/>
  <c r="D123" i="19" a="1"/>
  <c r="D123" i="19" s="1"/>
  <c r="Q124" i="24" s="1"/>
  <c r="B125" i="19" a="1"/>
  <c r="B125" i="19" s="1"/>
  <c r="E126" i="19" a="1"/>
  <c r="E126" i="19" s="1"/>
  <c r="C128" i="19" a="1"/>
  <c r="C128" i="19" s="1"/>
  <c r="P129" i="24" s="1"/>
  <c r="B130" i="19" a="1"/>
  <c r="B130" i="19" s="1"/>
  <c r="E134" i="19" a="1"/>
  <c r="E134" i="19" s="1"/>
  <c r="C136" i="19" a="1"/>
  <c r="C136" i="19" s="1"/>
  <c r="P137" i="24" s="1"/>
  <c r="D139" i="19" a="1"/>
  <c r="D139" i="19" s="1"/>
  <c r="Q140" i="24" s="1"/>
  <c r="B141" i="19" a="1"/>
  <c r="B141" i="19" s="1"/>
  <c r="D142" i="19" a="1"/>
  <c r="D142" i="19" s="1"/>
  <c r="Q143" i="24" s="1"/>
  <c r="E145" i="19" a="1"/>
  <c r="E145" i="19" s="1"/>
  <c r="C147" i="19" a="1"/>
  <c r="C147" i="19" s="1"/>
  <c r="P148" i="24" s="1"/>
  <c r="E148" i="19" a="1"/>
  <c r="E148" i="19" s="1"/>
  <c r="C150" i="19" a="1"/>
  <c r="C150" i="19" s="1"/>
  <c r="P151" i="24" s="1"/>
  <c r="B152" i="19" a="1"/>
  <c r="B152" i="19" s="1"/>
  <c r="D153" i="19" a="1"/>
  <c r="D153" i="19" s="1"/>
  <c r="Q154" i="24" s="1"/>
  <c r="B155" i="19" a="1"/>
  <c r="B155" i="19" s="1"/>
  <c r="D156" i="19" a="1"/>
  <c r="D156" i="19" s="1"/>
  <c r="Q157" i="24" s="1"/>
  <c r="B158" i="19" a="1"/>
  <c r="B158" i="19" s="1"/>
  <c r="B160" i="19" a="1"/>
  <c r="B160" i="19" s="1"/>
  <c r="D161" i="19" a="1"/>
  <c r="D161" i="19" s="1"/>
  <c r="Q162" i="24" s="1"/>
  <c r="E152" i="17" a="1"/>
  <c r="E152" i="17" s="1"/>
  <c r="B239" i="17" a="1"/>
  <c r="B239" i="17" s="1"/>
  <c r="D263" i="17" a="1"/>
  <c r="D263" i="17" s="1"/>
  <c r="K264" i="24" s="1"/>
  <c r="C125" i="18" a="1"/>
  <c r="C125" i="18" s="1"/>
  <c r="M126" i="24" s="1"/>
  <c r="C138" i="18" a="1"/>
  <c r="C138" i="18" s="1"/>
  <c r="M139" i="24" s="1"/>
  <c r="B151" i="18" a="1"/>
  <c r="B151" i="18" s="1"/>
  <c r="C163" i="18" a="1"/>
  <c r="C163" i="18" s="1"/>
  <c r="M164" i="24" s="1"/>
  <c r="C203" i="18" a="1"/>
  <c r="C203" i="18" s="1"/>
  <c r="M204" i="24" s="1"/>
  <c r="B205" i="18" a="1"/>
  <c r="B205" i="18" s="1"/>
  <c r="B207" i="18" a="1"/>
  <c r="B207" i="18" s="1"/>
  <c r="D208" i="18" a="1"/>
  <c r="D208" i="18" s="1"/>
  <c r="N209" i="24" s="1"/>
  <c r="B210" i="18" a="1"/>
  <c r="B210" i="18" s="1"/>
  <c r="D211" i="18" a="1"/>
  <c r="D211" i="18" s="1"/>
  <c r="N212" i="24" s="1"/>
  <c r="B213" i="18" a="1"/>
  <c r="B213" i="18" s="1"/>
  <c r="E214" i="18" a="1"/>
  <c r="E214" i="18" s="1"/>
  <c r="C216" i="18" a="1"/>
  <c r="C216" i="18" s="1"/>
  <c r="M217" i="24" s="1"/>
  <c r="E217" i="18" a="1"/>
  <c r="E217" i="18" s="1"/>
  <c r="C219" i="18" a="1"/>
  <c r="C219" i="18" s="1"/>
  <c r="M220" i="24" s="1"/>
  <c r="D222" i="18" a="1"/>
  <c r="D222" i="18" s="1"/>
  <c r="N223" i="24" s="1"/>
  <c r="B224" i="18" a="1"/>
  <c r="B224" i="18" s="1"/>
  <c r="D225" i="18" a="1"/>
  <c r="D225" i="18" s="1"/>
  <c r="N226" i="24" s="1"/>
  <c r="E228" i="18" a="1"/>
  <c r="E228" i="18" s="1"/>
  <c r="C230" i="18" a="1"/>
  <c r="C230" i="18" s="1"/>
  <c r="M231" i="24" s="1"/>
  <c r="B235" i="18" a="1"/>
  <c r="B235" i="18" s="1"/>
  <c r="D236" i="18" a="1"/>
  <c r="D236" i="18" s="1"/>
  <c r="N237" i="24" s="1"/>
  <c r="B238" i="18" a="1"/>
  <c r="B238" i="18" s="1"/>
  <c r="E239" i="18" a="1"/>
  <c r="E239" i="18" s="1"/>
  <c r="C241" i="18" a="1"/>
  <c r="C241" i="18" s="1"/>
  <c r="M242" i="24" s="1"/>
  <c r="E242" i="18" a="1"/>
  <c r="E242" i="18" s="1"/>
  <c r="C244" i="18" a="1"/>
  <c r="C244" i="18" s="1"/>
  <c r="M245" i="24" s="1"/>
  <c r="D245" i="18" a="1"/>
  <c r="D245" i="18" s="1"/>
  <c r="N246" i="24" s="1"/>
  <c r="B247" i="18" a="1"/>
  <c r="B247" i="18" s="1"/>
  <c r="D248" i="18" a="1"/>
  <c r="D248" i="18" s="1"/>
  <c r="N249" i="24" s="1"/>
  <c r="E251" i="18" a="1"/>
  <c r="E251" i="18" s="1"/>
  <c r="D253" i="18" a="1"/>
  <c r="D253" i="18" s="1"/>
  <c r="N254" i="24" s="1"/>
  <c r="C260" i="18" a="1"/>
  <c r="C260" i="18" s="1"/>
  <c r="M261" i="24" s="1"/>
  <c r="B262" i="18" a="1"/>
  <c r="B262" i="18" s="1"/>
  <c r="D263" i="18" a="1"/>
  <c r="D263" i="18" s="1"/>
  <c r="N264" i="24" s="1"/>
  <c r="B265" i="18" a="1"/>
  <c r="B265" i="18" s="1"/>
  <c r="C268" i="18" a="1"/>
  <c r="C268" i="18" s="1"/>
  <c r="M269" i="24" s="1"/>
  <c r="E269" i="18" a="1"/>
  <c r="E269" i="18" s="1"/>
  <c r="C271" i="18" a="1"/>
  <c r="C271" i="18" s="1"/>
  <c r="M272" i="24" s="1"/>
  <c r="C125" i="19" a="1"/>
  <c r="C125" i="19" s="1"/>
  <c r="P126" i="24" s="1"/>
  <c r="B127" i="19" a="1"/>
  <c r="B127" i="19" s="1"/>
  <c r="D128" i="19" a="1"/>
  <c r="D128" i="19" s="1"/>
  <c r="Q129" i="24" s="1"/>
  <c r="C130" i="19" a="1"/>
  <c r="C130" i="19" s="1"/>
  <c r="P131" i="24" s="1"/>
  <c r="E131" i="19" a="1"/>
  <c r="E131" i="19" s="1"/>
  <c r="C133" i="19" a="1"/>
  <c r="C133" i="19" s="1"/>
  <c r="P134" i="24" s="1"/>
  <c r="B135" i="19" a="1"/>
  <c r="B135" i="19" s="1"/>
  <c r="D136" i="19" a="1"/>
  <c r="D136" i="19" s="1"/>
  <c r="Q137" i="24" s="1"/>
  <c r="B138" i="19" a="1"/>
  <c r="B138" i="19" s="1"/>
  <c r="E142" i="19" a="1"/>
  <c r="E142" i="19" s="1"/>
  <c r="C144" i="19" a="1"/>
  <c r="C144" i="19" s="1"/>
  <c r="P145" i="24" s="1"/>
  <c r="D147" i="19" a="1"/>
  <c r="D147" i="19" s="1"/>
  <c r="Q148" i="24" s="1"/>
  <c r="B149" i="19" a="1"/>
  <c r="B149" i="19" s="1"/>
  <c r="D150" i="19" a="1"/>
  <c r="D150" i="19" s="1"/>
  <c r="Q151" i="24" s="1"/>
  <c r="E153" i="19" a="1"/>
  <c r="E153" i="19" s="1"/>
  <c r="C155" i="19" a="1"/>
  <c r="C155" i="19" s="1"/>
  <c r="P156" i="24" s="1"/>
  <c r="E156" i="19" a="1"/>
  <c r="E156" i="19" s="1"/>
  <c r="C158" i="19" a="1"/>
  <c r="C158" i="19" s="1"/>
  <c r="P159" i="24" s="1"/>
  <c r="E161" i="19" a="1"/>
  <c r="E161" i="19" s="1"/>
  <c r="D163" i="19" a="1"/>
  <c r="D163" i="19" s="1"/>
  <c r="Q164" i="24" s="1"/>
  <c r="E166" i="19" a="1"/>
  <c r="E166" i="19" s="1"/>
  <c r="D168" i="19" a="1"/>
  <c r="D168" i="19" s="1"/>
  <c r="Q169" i="24" s="1"/>
  <c r="B140" i="18" a="1"/>
  <c r="B140" i="18" s="1"/>
  <c r="D219" i="18" a="1"/>
  <c r="D219" i="18" s="1"/>
  <c r="N220" i="24" s="1"/>
  <c r="B232" i="18" a="1"/>
  <c r="B232" i="18" s="1"/>
  <c r="B257" i="18" a="1"/>
  <c r="B257" i="18" s="1"/>
  <c r="B270" i="18" a="1"/>
  <c r="B270" i="18" s="1"/>
  <c r="B132" i="19" a="1"/>
  <c r="B132" i="19" s="1"/>
  <c r="D144" i="19" a="1"/>
  <c r="D144" i="19" s="1"/>
  <c r="Q145" i="24" s="1"/>
  <c r="B156" i="19" a="1"/>
  <c r="B156" i="19" s="1"/>
  <c r="E160" i="19" a="1"/>
  <c r="E160" i="19" s="1"/>
  <c r="C164" i="19" a="1"/>
  <c r="C164" i="19" s="1"/>
  <c r="P165" i="24" s="1"/>
  <c r="B167" i="19" a="1"/>
  <c r="B167" i="19" s="1"/>
  <c r="D169" i="19" a="1"/>
  <c r="D169" i="19" s="1"/>
  <c r="Q170" i="24" s="1"/>
  <c r="C171" i="19" a="1"/>
  <c r="C171" i="19" s="1"/>
  <c r="P172" i="24" s="1"/>
  <c r="E172" i="19" a="1"/>
  <c r="E172" i="19" s="1"/>
  <c r="D174" i="19" a="1"/>
  <c r="D174" i="19" s="1"/>
  <c r="Q175" i="24" s="1"/>
  <c r="D179" i="19" a="1"/>
  <c r="D179" i="19" s="1"/>
  <c r="Q180" i="24" s="1"/>
  <c r="C181" i="19" a="1"/>
  <c r="C181" i="19" s="1"/>
  <c r="P182" i="24" s="1"/>
  <c r="D182" i="19" a="1"/>
  <c r="D182" i="19" s="1"/>
  <c r="Q183" i="24" s="1"/>
  <c r="C184" i="19" a="1"/>
  <c r="C184" i="19" s="1"/>
  <c r="P185" i="24" s="1"/>
  <c r="E185" i="19" a="1"/>
  <c r="E185" i="19" s="1"/>
  <c r="C189" i="19" a="1"/>
  <c r="C189" i="19" s="1"/>
  <c r="P190" i="24" s="1"/>
  <c r="B191" i="19" a="1"/>
  <c r="B191" i="19" s="1"/>
  <c r="E192" i="19" a="1"/>
  <c r="E192" i="19" s="1"/>
  <c r="D194" i="19" a="1"/>
  <c r="D194" i="19" s="1"/>
  <c r="Q195" i="24" s="1"/>
  <c r="B196" i="19" a="1"/>
  <c r="B196" i="19" s="1"/>
  <c r="E197" i="19" a="1"/>
  <c r="E197" i="19" s="1"/>
  <c r="D201" i="19" a="1"/>
  <c r="D201" i="19" s="1"/>
  <c r="Q202" i="24" s="1"/>
  <c r="C203" i="19" a="1"/>
  <c r="C203" i="19" s="1"/>
  <c r="P204" i="24" s="1"/>
  <c r="C205" i="19" a="1"/>
  <c r="C205" i="19" s="1"/>
  <c r="P206" i="24" s="1"/>
  <c r="B207" i="19" a="1"/>
  <c r="B207" i="19" s="1"/>
  <c r="E208" i="19" a="1"/>
  <c r="E208" i="19" s="1"/>
  <c r="D210" i="19" a="1"/>
  <c r="D210" i="19" s="1"/>
  <c r="Q211" i="24" s="1"/>
  <c r="C212" i="19" a="1"/>
  <c r="C212" i="19" s="1"/>
  <c r="P213" i="24" s="1"/>
  <c r="E213" i="19" a="1"/>
  <c r="E213" i="19" s="1"/>
  <c r="C217" i="19" a="1"/>
  <c r="C217" i="19" s="1"/>
  <c r="P218" i="24" s="1"/>
  <c r="B219" i="19" a="1"/>
  <c r="B219" i="19" s="1"/>
  <c r="C222" i="19" a="1"/>
  <c r="C222" i="19" s="1"/>
  <c r="P223" i="24" s="1"/>
  <c r="B224" i="19" a="1"/>
  <c r="B224" i="19" s="1"/>
  <c r="E225" i="19" a="1"/>
  <c r="E225" i="19" s="1"/>
  <c r="C227" i="19" a="1"/>
  <c r="C227" i="19" s="1"/>
  <c r="P228" i="24" s="1"/>
  <c r="B229" i="19" a="1"/>
  <c r="B229" i="19" s="1"/>
  <c r="E230" i="19" a="1"/>
  <c r="E230" i="19" s="1"/>
  <c r="C232" i="19" a="1"/>
  <c r="C232" i="19" s="1"/>
  <c r="P233" i="24" s="1"/>
  <c r="C234" i="19" a="1"/>
  <c r="C234" i="19" s="1"/>
  <c r="P235" i="24" s="1"/>
  <c r="D235" i="19" a="1"/>
  <c r="D235" i="19" s="1"/>
  <c r="Q236" i="24" s="1"/>
  <c r="C237" i="19" a="1"/>
  <c r="C237" i="19" s="1"/>
  <c r="P238" i="24" s="1"/>
  <c r="E238" i="19" a="1"/>
  <c r="E238" i="19" s="1"/>
  <c r="C240" i="19" a="1"/>
  <c r="C240" i="19" s="1"/>
  <c r="P241" i="24" s="1"/>
  <c r="B242" i="19" a="1"/>
  <c r="B242" i="19" s="1"/>
  <c r="D152" i="18" a="1"/>
  <c r="D152" i="18" s="1"/>
  <c r="N153" i="24" s="1"/>
  <c r="E208" i="18" a="1"/>
  <c r="E208" i="18" s="1"/>
  <c r="B221" i="18" a="1"/>
  <c r="B221" i="18" s="1"/>
  <c r="D233" i="18" a="1"/>
  <c r="D233" i="18" s="1"/>
  <c r="N234" i="24" s="1"/>
  <c r="E258" i="18" a="1"/>
  <c r="E258" i="18" s="1"/>
  <c r="D271" i="18" a="1"/>
  <c r="D271" i="18" s="1"/>
  <c r="N272" i="24" s="1"/>
  <c r="D133" i="19" a="1"/>
  <c r="D133" i="19" s="1"/>
  <c r="Q134" i="24" s="1"/>
  <c r="B146" i="19" a="1"/>
  <c r="B146" i="19" s="1"/>
  <c r="B157" i="19" a="1"/>
  <c r="B157" i="19" s="1"/>
  <c r="C161" i="19" a="1"/>
  <c r="C161" i="19" s="1"/>
  <c r="P162" i="24" s="1"/>
  <c r="E164" i="19" a="1"/>
  <c r="E164" i="19" s="1"/>
  <c r="C167" i="19" a="1"/>
  <c r="C167" i="19" s="1"/>
  <c r="P168" i="24" s="1"/>
  <c r="E169" i="19" a="1"/>
  <c r="E169" i="19" s="1"/>
  <c r="D171" i="19" a="1"/>
  <c r="D171" i="19" s="1"/>
  <c r="Q172" i="24" s="1"/>
  <c r="B173" i="19" a="1"/>
  <c r="B173" i="19" s="1"/>
  <c r="E174" i="19" a="1"/>
  <c r="E174" i="19" s="1"/>
  <c r="C176" i="19" a="1"/>
  <c r="C176" i="19" s="1"/>
  <c r="P177" i="24" s="1"/>
  <c r="B178" i="19" a="1"/>
  <c r="B178" i="19" s="1"/>
  <c r="E179" i="19" a="1"/>
  <c r="E179" i="19" s="1"/>
  <c r="E182" i="19" a="1"/>
  <c r="E182" i="19" s="1"/>
  <c r="B186" i="19" a="1"/>
  <c r="B186" i="19" s="1"/>
  <c r="D187" i="19" a="1"/>
  <c r="D187" i="19" s="1"/>
  <c r="Q188" i="24" s="1"/>
  <c r="C191" i="19" a="1"/>
  <c r="C191" i="19" s="1"/>
  <c r="P192" i="24" s="1"/>
  <c r="B193" i="19" a="1"/>
  <c r="B193" i="19" s="1"/>
  <c r="E194" i="19" a="1"/>
  <c r="E194" i="19" s="1"/>
  <c r="C196" i="19" a="1"/>
  <c r="C196" i="19" s="1"/>
  <c r="P197" i="24" s="1"/>
  <c r="B198" i="19" a="1"/>
  <c r="B198" i="19" s="1"/>
  <c r="E199" i="19" a="1"/>
  <c r="E199" i="19" s="1"/>
  <c r="E201" i="19" a="1"/>
  <c r="E201" i="19" s="1"/>
  <c r="D203" i="19" a="1"/>
  <c r="D203" i="19" s="1"/>
  <c r="Q204" i="24" s="1"/>
  <c r="C207" i="19" a="1"/>
  <c r="C207" i="19" s="1"/>
  <c r="P208" i="24" s="1"/>
  <c r="B209" i="19" a="1"/>
  <c r="B209" i="19" s="1"/>
  <c r="E210" i="19" a="1"/>
  <c r="E210" i="19" s="1"/>
  <c r="D212" i="19" a="1"/>
  <c r="D212" i="19" s="1"/>
  <c r="Q213" i="24" s="1"/>
  <c r="B214" i="19" a="1"/>
  <c r="B214" i="19" s="1"/>
  <c r="E215" i="19" a="1"/>
  <c r="E215" i="19" s="1"/>
  <c r="D217" i="19" a="1"/>
  <c r="D217" i="19" s="1"/>
  <c r="Q218" i="24" s="1"/>
  <c r="E220" i="19" a="1"/>
  <c r="E220" i="19" s="1"/>
  <c r="D222" i="19" a="1"/>
  <c r="D222" i="19" s="1"/>
  <c r="Q223" i="24" s="1"/>
  <c r="B226" i="19" a="1"/>
  <c r="B226" i="19" s="1"/>
  <c r="D227" i="19" a="1"/>
  <c r="D227" i="19" s="1"/>
  <c r="Q228" i="24" s="1"/>
  <c r="C229" i="19" a="1"/>
  <c r="C229" i="19" s="1"/>
  <c r="P230" i="24" s="1"/>
  <c r="B231" i="19" a="1"/>
  <c r="B231" i="19" s="1"/>
  <c r="D232" i="19" a="1"/>
  <c r="D232" i="19" s="1"/>
  <c r="Q233" i="24" s="1"/>
  <c r="E235" i="19" a="1"/>
  <c r="E235" i="19" s="1"/>
  <c r="B239" i="19" a="1"/>
  <c r="B239" i="19" s="1"/>
  <c r="C242" i="19" a="1"/>
  <c r="C242" i="19" s="1"/>
  <c r="P243" i="24" s="1"/>
  <c r="D243" i="19" a="1"/>
  <c r="D243" i="19" s="1"/>
  <c r="Q244" i="24" s="1"/>
  <c r="C245" i="19" a="1"/>
  <c r="C245" i="19" s="1"/>
  <c r="P246" i="24" s="1"/>
  <c r="E246" i="19" a="1"/>
  <c r="E246" i="19" s="1"/>
  <c r="C248" i="19" a="1"/>
  <c r="C248" i="19" s="1"/>
  <c r="P249" i="24" s="1"/>
  <c r="B250" i="19" a="1"/>
  <c r="B250" i="19" s="1"/>
  <c r="C251" i="19" a="1"/>
  <c r="C251" i="19" s="1"/>
  <c r="P252" i="24" s="1"/>
  <c r="B253" i="19" a="1"/>
  <c r="B253" i="19" s="1"/>
  <c r="D254" i="19" a="1"/>
  <c r="D254" i="19" s="1"/>
  <c r="Q255" i="24" s="1"/>
  <c r="E257" i="19" a="1"/>
  <c r="E257" i="19" s="1"/>
  <c r="E260" i="19" a="1"/>
  <c r="E260" i="19" s="1"/>
  <c r="C262" i="19" a="1"/>
  <c r="C262" i="19" s="1"/>
  <c r="P263" i="24" s="1"/>
  <c r="B264" i="19" a="1"/>
  <c r="B264" i="19" s="1"/>
  <c r="D265" i="19" a="1"/>
  <c r="D265" i="19" s="1"/>
  <c r="Q266" i="24" s="1"/>
  <c r="B267" i="19" a="1"/>
  <c r="B267" i="19" s="1"/>
  <c r="E268" i="19" a="1"/>
  <c r="E268" i="19" s="1"/>
  <c r="D270" i="19" a="1"/>
  <c r="D270" i="19" s="1"/>
  <c r="Q271" i="24" s="1"/>
  <c r="C121" i="15" a="1"/>
  <c r="C121" i="15" s="1"/>
  <c r="B122" i="24" s="1"/>
  <c r="B123" i="15" a="1"/>
  <c r="B123" i="15" s="1"/>
  <c r="D124" i="15" a="1"/>
  <c r="D124" i="15" s="1"/>
  <c r="C125" i="24" s="1"/>
  <c r="C126" i="15" a="1"/>
  <c r="C126" i="15" s="1"/>
  <c r="B127" i="24" s="1"/>
  <c r="E222" i="18" a="1"/>
  <c r="E222" i="18" s="1"/>
  <c r="D260" i="18" a="1"/>
  <c r="D260" i="18" s="1"/>
  <c r="N261" i="24" s="1"/>
  <c r="B122" i="19" a="1"/>
  <c r="B122" i="19" s="1"/>
  <c r="C135" i="19" a="1"/>
  <c r="C135" i="19" s="1"/>
  <c r="P136" i="24" s="1"/>
  <c r="D157" i="19" a="1"/>
  <c r="D157" i="19" s="1"/>
  <c r="Q158" i="24" s="1"/>
  <c r="B162" i="19" a="1"/>
  <c r="B162" i="19" s="1"/>
  <c r="B165" i="19" a="1"/>
  <c r="B165" i="19" s="1"/>
  <c r="E167" i="19" a="1"/>
  <c r="E167" i="19" s="1"/>
  <c r="C173" i="19" a="1"/>
  <c r="C173" i="19" s="1"/>
  <c r="P174" i="24" s="1"/>
  <c r="B175" i="19" a="1"/>
  <c r="B175" i="19" s="1"/>
  <c r="D176" i="19" a="1"/>
  <c r="D176" i="19" s="1"/>
  <c r="Q177" i="24" s="1"/>
  <c r="C178" i="19" a="1"/>
  <c r="C178" i="19" s="1"/>
  <c r="P179" i="24" s="1"/>
  <c r="B180" i="19" a="1"/>
  <c r="B180" i="19" s="1"/>
  <c r="D181" i="19" a="1"/>
  <c r="D181" i="19" s="1"/>
  <c r="Q182" i="24" s="1"/>
  <c r="B183" i="19" a="1"/>
  <c r="B183" i="19" s="1"/>
  <c r="D184" i="19" a="1"/>
  <c r="D184" i="19" s="1"/>
  <c r="Q185" i="24" s="1"/>
  <c r="C186" i="19" a="1"/>
  <c r="C186" i="19" s="1"/>
  <c r="P187" i="24" s="1"/>
  <c r="E187" i="19" a="1"/>
  <c r="E187" i="19" s="1"/>
  <c r="D189" i="19" a="1"/>
  <c r="D189" i="19" s="1"/>
  <c r="Q190" i="24" s="1"/>
  <c r="D191" i="19" a="1"/>
  <c r="D191" i="19" s="1"/>
  <c r="Q192" i="24" s="1"/>
  <c r="B195" i="19" a="1"/>
  <c r="B195" i="19" s="1"/>
  <c r="D196" i="19" a="1"/>
  <c r="D196" i="19" s="1"/>
  <c r="Q197" i="24" s="1"/>
  <c r="C198" i="19" a="1"/>
  <c r="C198" i="19" s="1"/>
  <c r="P199" i="24" s="1"/>
  <c r="B200" i="19" a="1"/>
  <c r="B200" i="19" s="1"/>
  <c r="B202" i="19" a="1"/>
  <c r="B202" i="19" s="1"/>
  <c r="E203" i="19" a="1"/>
  <c r="E203" i="19" s="1"/>
  <c r="D205" i="19" a="1"/>
  <c r="D205" i="19" s="1"/>
  <c r="Q206" i="24" s="1"/>
  <c r="D207" i="19" a="1"/>
  <c r="D207" i="19" s="1"/>
  <c r="Q208" i="24" s="1"/>
  <c r="C209" i="19" a="1"/>
  <c r="C209" i="19" s="1"/>
  <c r="P210" i="24" s="1"/>
  <c r="B211" i="19" a="1"/>
  <c r="B211" i="19" s="1"/>
  <c r="C214" i="19" a="1"/>
  <c r="C214" i="19" s="1"/>
  <c r="P215" i="24" s="1"/>
  <c r="B216" i="19" a="1"/>
  <c r="B216" i="19" s="1"/>
  <c r="E217" i="19" a="1"/>
  <c r="E217" i="19" s="1"/>
  <c r="C219" i="19" a="1"/>
  <c r="C219" i="19" s="1"/>
  <c r="P220" i="24" s="1"/>
  <c r="B221" i="19" a="1"/>
  <c r="B221" i="19" s="1"/>
  <c r="E222" i="19" a="1"/>
  <c r="E222" i="19" s="1"/>
  <c r="C224" i="19" a="1"/>
  <c r="C224" i="19" s="1"/>
  <c r="P225" i="24" s="1"/>
  <c r="C226" i="19" a="1"/>
  <c r="C226" i="19" s="1"/>
  <c r="P227" i="24" s="1"/>
  <c r="E227" i="19" a="1"/>
  <c r="E227" i="19" s="1"/>
  <c r="C231" i="19" a="1"/>
  <c r="C231" i="19" s="1"/>
  <c r="P232" i="24" s="1"/>
  <c r="E232" i="19" a="1"/>
  <c r="E232" i="19" s="1"/>
  <c r="D234" i="19" a="1"/>
  <c r="D234" i="19" s="1"/>
  <c r="Q235" i="24" s="1"/>
  <c r="B236" i="19" a="1"/>
  <c r="B236" i="19" s="1"/>
  <c r="D237" i="19" a="1"/>
  <c r="D237" i="19" s="1"/>
  <c r="Q238" i="24" s="1"/>
  <c r="C239" i="19" a="1"/>
  <c r="C239" i="19" s="1"/>
  <c r="P240" i="24" s="1"/>
  <c r="D240" i="19" a="1"/>
  <c r="D240" i="19" s="1"/>
  <c r="Q241" i="24" s="1"/>
  <c r="E243" i="19" a="1"/>
  <c r="E243" i="19" s="1"/>
  <c r="B247" i="19" a="1"/>
  <c r="B247" i="19" s="1"/>
  <c r="C250" i="19" a="1"/>
  <c r="C250" i="19" s="1"/>
  <c r="P251" i="24" s="1"/>
  <c r="D251" i="19" a="1"/>
  <c r="D251" i="19" s="1"/>
  <c r="Q252" i="24" s="1"/>
  <c r="C253" i="19" a="1"/>
  <c r="C253" i="19" s="1"/>
  <c r="P254" i="24" s="1"/>
  <c r="E254" i="19" a="1"/>
  <c r="E254" i="19" s="1"/>
  <c r="C256" i="19" a="1"/>
  <c r="C256" i="19" s="1"/>
  <c r="P257" i="24" s="1"/>
  <c r="B258" i="19" a="1"/>
  <c r="B258" i="19" s="1"/>
  <c r="C259" i="19" a="1"/>
  <c r="C259" i="19" s="1"/>
  <c r="P260" i="24" s="1"/>
  <c r="B261" i="19" a="1"/>
  <c r="B261" i="19" s="1"/>
  <c r="D262" i="19" a="1"/>
  <c r="D262" i="19" s="1"/>
  <c r="Q263" i="24" s="1"/>
  <c r="E265" i="19" a="1"/>
  <c r="E265" i="19" s="1"/>
  <c r="C267" i="19" a="1"/>
  <c r="C267" i="19" s="1"/>
  <c r="P268" i="24" s="1"/>
  <c r="B269" i="19" a="1"/>
  <c r="B269" i="19" s="1"/>
  <c r="E270" i="19" a="1"/>
  <c r="E270" i="19" s="1"/>
  <c r="C123" i="15" a="1"/>
  <c r="C123" i="15" s="1"/>
  <c r="B124" i="24" s="1"/>
  <c r="E124" i="15" a="1"/>
  <c r="E124" i="15" s="1"/>
  <c r="D126" i="15" a="1"/>
  <c r="D126" i="15" s="1"/>
  <c r="C127" i="24" s="1"/>
  <c r="C128" i="15" a="1"/>
  <c r="C128" i="15" s="1"/>
  <c r="B129" i="24" s="1"/>
  <c r="E129" i="15" a="1"/>
  <c r="E129" i="15" s="1"/>
  <c r="D131" i="15" a="1"/>
  <c r="D131" i="15" s="1"/>
  <c r="C132" i="24" s="1"/>
  <c r="C133" i="15" a="1"/>
  <c r="C133" i="15" s="1"/>
  <c r="B134" i="24" s="1"/>
  <c r="E134" i="15" a="1"/>
  <c r="E134" i="15" s="1"/>
  <c r="C166" i="17" a="1"/>
  <c r="C166" i="17" s="1"/>
  <c r="J167" i="24" s="1"/>
  <c r="E211" i="18" a="1"/>
  <c r="E211" i="18" s="1"/>
  <c r="C224" i="18" a="1"/>
  <c r="C224" i="18" s="1"/>
  <c r="M225" i="24" s="1"/>
  <c r="E236" i="18" a="1"/>
  <c r="E236" i="18" s="1"/>
  <c r="E248" i="18" a="1"/>
  <c r="E248" i="18" s="1"/>
  <c r="C262" i="18" a="1"/>
  <c r="C262" i="18" s="1"/>
  <c r="M263" i="24" s="1"/>
  <c r="E123" i="19" a="1"/>
  <c r="E123" i="19" s="1"/>
  <c r="E162" i="19" a="1"/>
  <c r="E162" i="19" s="1"/>
  <c r="C165" i="19" a="1"/>
  <c r="C165" i="19" s="1"/>
  <c r="P166" i="24" s="1"/>
  <c r="B170" i="19" a="1"/>
  <c r="B170" i="19" s="1"/>
  <c r="E171" i="19" a="1"/>
  <c r="E171" i="19" s="1"/>
  <c r="D173" i="19" a="1"/>
  <c r="D173" i="19" s="1"/>
  <c r="Q174" i="24" s="1"/>
  <c r="C175" i="19" a="1"/>
  <c r="C175" i="19" s="1"/>
  <c r="P176" i="24" s="1"/>
  <c r="E176" i="19" a="1"/>
  <c r="E176" i="19" s="1"/>
  <c r="D178" i="19" a="1"/>
  <c r="D178" i="19" s="1"/>
  <c r="Q179" i="24" s="1"/>
  <c r="C183" i="19" a="1"/>
  <c r="C183" i="19" s="1"/>
  <c r="P184" i="24" s="1"/>
  <c r="E184" i="19" a="1"/>
  <c r="E184" i="19" s="1"/>
  <c r="D186" i="19" a="1"/>
  <c r="D186" i="19" s="1"/>
  <c r="Q187" i="24" s="1"/>
  <c r="B188" i="19" a="1"/>
  <c r="B188" i="19" s="1"/>
  <c r="E189" i="19" a="1"/>
  <c r="E189" i="19" s="1"/>
  <c r="C193" i="19" a="1"/>
  <c r="C193" i="19" s="1"/>
  <c r="P194" i="24" s="1"/>
  <c r="E196" i="19" a="1"/>
  <c r="E196" i="19" s="1"/>
  <c r="D198" i="19" a="1"/>
  <c r="D198" i="19" s="1"/>
  <c r="Q199" i="24" s="1"/>
  <c r="C200" i="19" a="1"/>
  <c r="C200" i="19" s="1"/>
  <c r="P201" i="24" s="1"/>
  <c r="C202" i="19" a="1"/>
  <c r="C202" i="19" s="1"/>
  <c r="P203" i="24" s="1"/>
  <c r="B204" i="19" a="1"/>
  <c r="B204" i="19" s="1"/>
  <c r="E205" i="19" a="1"/>
  <c r="E205" i="19" s="1"/>
  <c r="D209" i="19" a="1"/>
  <c r="D209" i="19" s="1"/>
  <c r="Q210" i="24" s="1"/>
  <c r="E212" i="19" a="1"/>
  <c r="E212" i="19" s="1"/>
  <c r="D214" i="19" a="1"/>
  <c r="D214" i="19" s="1"/>
  <c r="Q215" i="24" s="1"/>
  <c r="B218" i="19" a="1"/>
  <c r="B218" i="19" s="1"/>
  <c r="D219" i="19" a="1"/>
  <c r="D219" i="19" s="1"/>
  <c r="Q220" i="24" s="1"/>
  <c r="C221" i="19" a="1"/>
  <c r="C221" i="19" s="1"/>
  <c r="P222" i="24" s="1"/>
  <c r="B223" i="19" a="1"/>
  <c r="B223" i="19" s="1"/>
  <c r="D224" i="19" a="1"/>
  <c r="D224" i="19" s="1"/>
  <c r="Q225" i="24" s="1"/>
  <c r="B228" i="19" a="1"/>
  <c r="B228" i="19" s="1"/>
  <c r="D229" i="19" a="1"/>
  <c r="D229" i="19" s="1"/>
  <c r="Q230" i="24" s="1"/>
  <c r="D231" i="19" a="1"/>
  <c r="D231" i="19" s="1"/>
  <c r="Q232" i="24" s="1"/>
  <c r="B233" i="19" a="1"/>
  <c r="B233" i="19" s="1"/>
  <c r="C236" i="19" a="1"/>
  <c r="C236" i="19" s="1"/>
  <c r="P237" i="24" s="1"/>
  <c r="E237" i="19" a="1"/>
  <c r="E237" i="19" s="1"/>
  <c r="D239" i="19" a="1"/>
  <c r="D239" i="19" s="1"/>
  <c r="Q240" i="24" s="1"/>
  <c r="E240" i="19" a="1"/>
  <c r="E240" i="19" s="1"/>
  <c r="D242" i="19" a="1"/>
  <c r="D242" i="19" s="1"/>
  <c r="Q243" i="24" s="1"/>
  <c r="B244" i="19" a="1"/>
  <c r="B244" i="19" s="1"/>
  <c r="D245" i="19" a="1"/>
  <c r="D245" i="19" s="1"/>
  <c r="Q246" i="24" s="1"/>
  <c r="C247" i="19" a="1"/>
  <c r="C247" i="19" s="1"/>
  <c r="P248" i="24" s="1"/>
  <c r="D248" i="19" a="1"/>
  <c r="D248" i="19" s="1"/>
  <c r="Q249" i="24" s="1"/>
  <c r="E251" i="19" a="1"/>
  <c r="E251" i="19" s="1"/>
  <c r="B255" i="19" a="1"/>
  <c r="B255" i="19" s="1"/>
  <c r="C258" i="19" a="1"/>
  <c r="C258" i="19" s="1"/>
  <c r="P259" i="24" s="1"/>
  <c r="D259" i="19" a="1"/>
  <c r="D259" i="19" s="1"/>
  <c r="Q260" i="24" s="1"/>
  <c r="C261" i="19" a="1"/>
  <c r="C261" i="19" s="1"/>
  <c r="P262" i="24" s="1"/>
  <c r="E262" i="19" a="1"/>
  <c r="E262" i="19" s="1"/>
  <c r="C264" i="19" a="1"/>
  <c r="C264" i="19" s="1"/>
  <c r="P265" i="24" s="1"/>
  <c r="B266" i="19" a="1"/>
  <c r="B266" i="19" s="1"/>
  <c r="D267" i="19" a="1"/>
  <c r="D267" i="19" s="1"/>
  <c r="Q268" i="24" s="1"/>
  <c r="C269" i="19" a="1"/>
  <c r="C269" i="19" s="1"/>
  <c r="P270" i="24" s="1"/>
  <c r="B271" i="19" a="1"/>
  <c r="B271" i="19" s="1"/>
  <c r="D121" i="15" a="1"/>
  <c r="D121" i="15" s="1"/>
  <c r="C122" i="24" s="1"/>
  <c r="B125" i="15" a="1"/>
  <c r="B125" i="15" s="1"/>
  <c r="E126" i="15" a="1"/>
  <c r="E126" i="15" s="1"/>
  <c r="D128" i="15" a="1"/>
  <c r="D128" i="15" s="1"/>
  <c r="C129" i="24" s="1"/>
  <c r="B130" i="15" a="1"/>
  <c r="B130" i="15" s="1"/>
  <c r="D133" i="15" a="1"/>
  <c r="D133" i="15" s="1"/>
  <c r="C134" i="24" s="1"/>
  <c r="B135" i="15" a="1"/>
  <c r="B135" i="15" s="1"/>
  <c r="B138" i="15" a="1"/>
  <c r="B138" i="15" s="1"/>
  <c r="C141" i="15" a="1"/>
  <c r="C141" i="15" s="1"/>
  <c r="B142" i="24" s="1"/>
  <c r="C241" i="17" a="1"/>
  <c r="C241" i="17" s="1"/>
  <c r="J242" i="24" s="1"/>
  <c r="E189" i="18" a="1"/>
  <c r="E189" i="18" s="1"/>
  <c r="C213" i="18" a="1"/>
  <c r="C213" i="18" s="1"/>
  <c r="M214" i="24" s="1"/>
  <c r="E225" i="18" a="1"/>
  <c r="E225" i="18" s="1"/>
  <c r="C238" i="18" a="1"/>
  <c r="C238" i="18" s="1"/>
  <c r="M239" i="24" s="1"/>
  <c r="C250" i="18" a="1"/>
  <c r="C250" i="18" s="1"/>
  <c r="M251" i="24" s="1"/>
  <c r="E263" i="18" a="1"/>
  <c r="E263" i="18" s="1"/>
  <c r="D125" i="19" a="1"/>
  <c r="D125" i="19" s="1"/>
  <c r="Q126" i="24" s="1"/>
  <c r="C138" i="19" a="1"/>
  <c r="C138" i="19" s="1"/>
  <c r="P139" i="24" s="1"/>
  <c r="E150" i="19" a="1"/>
  <c r="E150" i="19" s="1"/>
  <c r="D158" i="19" a="1"/>
  <c r="D158" i="19" s="1"/>
  <c r="Q159" i="24" s="1"/>
  <c r="B163" i="19" a="1"/>
  <c r="B163" i="19" s="1"/>
  <c r="D165" i="19" a="1"/>
  <c r="D165" i="19" s="1"/>
  <c r="Q166" i="24" s="1"/>
  <c r="C168" i="19" a="1"/>
  <c r="C168" i="19" s="1"/>
  <c r="P169" i="24" s="1"/>
  <c r="C170" i="19" a="1"/>
  <c r="C170" i="19" s="1"/>
  <c r="P171" i="24" s="1"/>
  <c r="B172" i="19" a="1"/>
  <c r="B172" i="19" s="1"/>
  <c r="E173" i="19" a="1"/>
  <c r="E173" i="19" s="1"/>
  <c r="D175" i="19" a="1"/>
  <c r="D175" i="19" s="1"/>
  <c r="Q176" i="24" s="1"/>
  <c r="B177" i="19" a="1"/>
  <c r="B177" i="19" s="1"/>
  <c r="E178" i="19" a="1"/>
  <c r="E178" i="19" s="1"/>
  <c r="C180" i="19" a="1"/>
  <c r="C180" i="19" s="1"/>
  <c r="P181" i="24" s="1"/>
  <c r="E181" i="19" a="1"/>
  <c r="E181" i="19" s="1"/>
  <c r="D183" i="19" a="1"/>
  <c r="D183" i="19" s="1"/>
  <c r="Q184" i="24" s="1"/>
  <c r="B185" i="19" a="1"/>
  <c r="B185" i="19" s="1"/>
  <c r="E186" i="19" a="1"/>
  <c r="E186" i="19" s="1"/>
  <c r="C188" i="19" a="1"/>
  <c r="C188" i="19" s="1"/>
  <c r="P189" i="24" s="1"/>
  <c r="B190" i="19" a="1"/>
  <c r="B190" i="19" s="1"/>
  <c r="E191" i="19" a="1"/>
  <c r="E191" i="19" s="1"/>
  <c r="D193" i="19" a="1"/>
  <c r="D193" i="19" s="1"/>
  <c r="Q194" i="24" s="1"/>
  <c r="C195" i="19" a="1"/>
  <c r="C195" i="19" s="1"/>
  <c r="P196" i="24" s="1"/>
  <c r="B197" i="19" a="1"/>
  <c r="B197" i="19" s="1"/>
  <c r="E198" i="19" a="1"/>
  <c r="E198" i="19" s="1"/>
  <c r="D200" i="19" a="1"/>
  <c r="D200" i="19" s="1"/>
  <c r="Q201" i="24" s="1"/>
  <c r="D202" i="19" a="1"/>
  <c r="D202" i="19" s="1"/>
  <c r="Q203" i="24" s="1"/>
  <c r="C204" i="19" a="1"/>
  <c r="C204" i="19" s="1"/>
  <c r="P205" i="24" s="1"/>
  <c r="B206" i="19" a="1"/>
  <c r="B206" i="19" s="1"/>
  <c r="E207" i="19" a="1"/>
  <c r="E207" i="19" s="1"/>
  <c r="E209" i="19" a="1"/>
  <c r="E209" i="19" s="1"/>
  <c r="C211" i="19" a="1"/>
  <c r="C211" i="19" s="1"/>
  <c r="P212" i="24" s="1"/>
  <c r="B213" i="19" a="1"/>
  <c r="B213" i="19" s="1"/>
  <c r="E214" i="19" a="1"/>
  <c r="E214" i="19" s="1"/>
  <c r="C216" i="19" a="1"/>
  <c r="C216" i="19" s="1"/>
  <c r="P217" i="24" s="1"/>
  <c r="C218" i="19" a="1"/>
  <c r="C218" i="19" s="1"/>
  <c r="P219" i="24" s="1"/>
  <c r="E219" i="19" a="1"/>
  <c r="E219" i="19" s="1"/>
  <c r="C223" i="19" a="1"/>
  <c r="C223" i="19" s="1"/>
  <c r="P224" i="24" s="1"/>
  <c r="E224" i="19" a="1"/>
  <c r="E224" i="19" s="1"/>
  <c r="D226" i="19" a="1"/>
  <c r="D226" i="19" s="1"/>
  <c r="Q227" i="24" s="1"/>
  <c r="C228" i="19" a="1"/>
  <c r="C228" i="19" s="1"/>
  <c r="P229" i="24" s="1"/>
  <c r="E229" i="19" a="1"/>
  <c r="E229" i="19" s="1"/>
  <c r="C233" i="19" a="1"/>
  <c r="C233" i="19" s="1"/>
  <c r="P234" i="24" s="1"/>
  <c r="E234" i="19" a="1"/>
  <c r="E234" i="19" s="1"/>
  <c r="D236" i="19" a="1"/>
  <c r="D236" i="19" s="1"/>
  <c r="Q237" i="24" s="1"/>
  <c r="B238" i="19" a="1"/>
  <c r="B238" i="19" s="1"/>
  <c r="B241" i="19" a="1"/>
  <c r="B241" i="19" s="1"/>
  <c r="C244" i="19" a="1"/>
  <c r="C244" i="19" s="1"/>
  <c r="P245" i="24" s="1"/>
  <c r="E245" i="19" a="1"/>
  <c r="E245" i="19" s="1"/>
  <c r="D247" i="19" a="1"/>
  <c r="D247" i="19" s="1"/>
  <c r="Q248" i="24" s="1"/>
  <c r="E248" i="19" a="1"/>
  <c r="E248" i="19" s="1"/>
  <c r="D250" i="19" a="1"/>
  <c r="D250" i="19" s="1"/>
  <c r="Q251" i="24" s="1"/>
  <c r="B252" i="19" a="1"/>
  <c r="B252" i="19" s="1"/>
  <c r="D253" i="19" a="1"/>
  <c r="D253" i="19" s="1"/>
  <c r="Q254" i="24" s="1"/>
  <c r="C255" i="19" a="1"/>
  <c r="C255" i="19" s="1"/>
  <c r="P256" i="24" s="1"/>
  <c r="D256" i="19" a="1"/>
  <c r="D256" i="19" s="1"/>
  <c r="Q257" i="24" s="1"/>
  <c r="E259" i="19" a="1"/>
  <c r="E259" i="19" s="1"/>
  <c r="B263" i="19" a="1"/>
  <c r="B263" i="19" s="1"/>
  <c r="C266" i="19" a="1"/>
  <c r="C266" i="19" s="1"/>
  <c r="P267" i="24" s="1"/>
  <c r="E253" i="17" a="1"/>
  <c r="E253" i="17" s="1"/>
  <c r="C201" i="18" a="1"/>
  <c r="C201" i="18" s="1"/>
  <c r="M202" i="24" s="1"/>
  <c r="B215" i="18" a="1"/>
  <c r="B215" i="18" s="1"/>
  <c r="C227" i="18" a="1"/>
  <c r="C227" i="18" s="1"/>
  <c r="M228" i="24" s="1"/>
  <c r="B252" i="18" a="1"/>
  <c r="B252" i="18" s="1"/>
  <c r="C265" i="18" a="1"/>
  <c r="C265" i="18" s="1"/>
  <c r="M266" i="24" s="1"/>
  <c r="C127" i="19" a="1"/>
  <c r="C127" i="19" s="1"/>
  <c r="P128" i="24" s="1"/>
  <c r="E139" i="19" a="1"/>
  <c r="E139" i="19" s="1"/>
  <c r="C152" i="19" a="1"/>
  <c r="C152" i="19" s="1"/>
  <c r="P153" i="24" s="1"/>
  <c r="C159" i="19" a="1"/>
  <c r="C159" i="19" s="1"/>
  <c r="P160" i="24" s="1"/>
  <c r="C163" i="19" a="1"/>
  <c r="C163" i="19" s="1"/>
  <c r="P164" i="24" s="1"/>
  <c r="D170" i="19" a="1"/>
  <c r="D170" i="19" s="1"/>
  <c r="Q171" i="24" s="1"/>
  <c r="C177" i="19" a="1"/>
  <c r="C177" i="19" s="1"/>
  <c r="P178" i="24" s="1"/>
  <c r="B179" i="19" a="1"/>
  <c r="B179" i="19" s="1"/>
  <c r="D180" i="19" a="1"/>
  <c r="D180" i="19" s="1"/>
  <c r="Q181" i="24" s="1"/>
  <c r="B182" i="19" a="1"/>
  <c r="B182" i="19" s="1"/>
  <c r="B187" i="19" a="1"/>
  <c r="B187" i="19" s="1"/>
  <c r="D188" i="19" a="1"/>
  <c r="D188" i="19" s="1"/>
  <c r="Q189" i="24" s="1"/>
  <c r="C190" i="19" a="1"/>
  <c r="C190" i="19" s="1"/>
  <c r="P191" i="24" s="1"/>
  <c r="B192" i="19" a="1"/>
  <c r="B192" i="19" s="1"/>
  <c r="E193" i="19" a="1"/>
  <c r="E193" i="19" s="1"/>
  <c r="C197" i="19" a="1"/>
  <c r="C197" i="19" s="1"/>
  <c r="P198" i="24" s="1"/>
  <c r="B199" i="19" a="1"/>
  <c r="B199" i="19" s="1"/>
  <c r="E200" i="19" a="1"/>
  <c r="E200" i="19" s="1"/>
  <c r="E202" i="19" a="1"/>
  <c r="E202" i="19" s="1"/>
  <c r="D204" i="19" a="1"/>
  <c r="D204" i="19" s="1"/>
  <c r="Q205" i="24" s="1"/>
  <c r="C206" i="19" a="1"/>
  <c r="C206" i="19" s="1"/>
  <c r="P207" i="24" s="1"/>
  <c r="B208" i="19" a="1"/>
  <c r="B208" i="19" s="1"/>
  <c r="B210" i="19" a="1"/>
  <c r="B210" i="19" s="1"/>
  <c r="D211" i="19" a="1"/>
  <c r="D211" i="19" s="1"/>
  <c r="Q212" i="24" s="1"/>
  <c r="C213" i="19" a="1"/>
  <c r="C213" i="19" s="1"/>
  <c r="P214" i="24" s="1"/>
  <c r="B215" i="19" a="1"/>
  <c r="B215" i="19" s="1"/>
  <c r="D216" i="19" a="1"/>
  <c r="D216" i="19" s="1"/>
  <c r="Q217" i="24" s="1"/>
  <c r="B220" i="19" a="1"/>
  <c r="B220" i="19" s="1"/>
  <c r="D221" i="19" a="1"/>
  <c r="D221" i="19" s="1"/>
  <c r="Q222" i="24" s="1"/>
  <c r="D223" i="19" a="1"/>
  <c r="D223" i="19" s="1"/>
  <c r="Q224" i="24" s="1"/>
  <c r="B225" i="19" a="1"/>
  <c r="B225" i="19" s="1"/>
  <c r="E226" i="19" a="1"/>
  <c r="E226" i="19" s="1"/>
  <c r="D228" i="19" a="1"/>
  <c r="D228" i="19" s="1"/>
  <c r="Q229" i="24" s="1"/>
  <c r="B230" i="19" a="1"/>
  <c r="B230" i="19" s="1"/>
  <c r="E231" i="19" a="1"/>
  <c r="E231" i="19" s="1"/>
  <c r="D233" i="19" a="1"/>
  <c r="D233" i="19" s="1"/>
  <c r="Q234" i="24" s="1"/>
  <c r="B235" i="19" a="1"/>
  <c r="B235" i="19" s="1"/>
  <c r="E239" i="19" a="1"/>
  <c r="E239" i="19" s="1"/>
  <c r="C241" i="19" a="1"/>
  <c r="C241" i="19" s="1"/>
  <c r="P242" i="24" s="1"/>
  <c r="E242" i="19" a="1"/>
  <c r="E242" i="19" s="1"/>
  <c r="D244" i="19" a="1"/>
  <c r="D244" i="19" s="1"/>
  <c r="Q245" i="24" s="1"/>
  <c r="B246" i="19" a="1"/>
  <c r="B246" i="19" s="1"/>
  <c r="B249" i="19" a="1"/>
  <c r="B249" i="19" s="1"/>
  <c r="C252" i="19" a="1"/>
  <c r="C252" i="19" s="1"/>
  <c r="P253" i="24" s="1"/>
  <c r="E253" i="19" a="1"/>
  <c r="E253" i="19" s="1"/>
  <c r="D255" i="19" a="1"/>
  <c r="D255" i="19" s="1"/>
  <c r="Q256" i="24" s="1"/>
  <c r="E256" i="19" a="1"/>
  <c r="E256" i="19" s="1"/>
  <c r="D258" i="19" a="1"/>
  <c r="D258" i="19" s="1"/>
  <c r="Q259" i="24" s="1"/>
  <c r="B260" i="19" a="1"/>
  <c r="B260" i="19" s="1"/>
  <c r="D261" i="19" a="1"/>
  <c r="D261" i="19" s="1"/>
  <c r="Q262" i="24" s="1"/>
  <c r="C263" i="19" a="1"/>
  <c r="C263" i="19" s="1"/>
  <c r="P264" i="24" s="1"/>
  <c r="D264" i="19" a="1"/>
  <c r="D264" i="19" s="1"/>
  <c r="Q265" i="24" s="1"/>
  <c r="B268" i="19" a="1"/>
  <c r="B268" i="19" s="1"/>
  <c r="E269" i="19" a="1"/>
  <c r="E269" i="19" s="1"/>
  <c r="D271" i="19" a="1"/>
  <c r="D271" i="19" s="1"/>
  <c r="Q272" i="24" s="1"/>
  <c r="B122" i="15" a="1"/>
  <c r="B122" i="15" s="1"/>
  <c r="D125" i="15" a="1"/>
  <c r="D125" i="15" s="1"/>
  <c r="C126" i="24" s="1"/>
  <c r="B129" i="15" a="1"/>
  <c r="B129" i="15" s="1"/>
  <c r="D130" i="15" a="1"/>
  <c r="D130" i="15" s="1"/>
  <c r="C131" i="24" s="1"/>
  <c r="B132" i="15" a="1"/>
  <c r="B132" i="15" s="1"/>
  <c r="E264" i="17" a="1"/>
  <c r="E264" i="17" s="1"/>
  <c r="D203" i="18" a="1"/>
  <c r="D203" i="18" s="1"/>
  <c r="N204" i="24" s="1"/>
  <c r="D216" i="18" a="1"/>
  <c r="D216" i="18" s="1"/>
  <c r="N217" i="24" s="1"/>
  <c r="E253" i="18" a="1"/>
  <c r="E253" i="18" s="1"/>
  <c r="E266" i="18" a="1"/>
  <c r="E266" i="18" s="1"/>
  <c r="E128" i="19" a="1"/>
  <c r="E128" i="19" s="1"/>
  <c r="C141" i="19" a="1"/>
  <c r="C141" i="19" s="1"/>
  <c r="P142" i="24" s="1"/>
  <c r="E159" i="19" a="1"/>
  <c r="E159" i="19" s="1"/>
  <c r="C166" i="19" a="1"/>
  <c r="C166" i="19" s="1"/>
  <c r="P167" i="24" s="1"/>
  <c r="E168" i="19" a="1"/>
  <c r="E168" i="19" s="1"/>
  <c r="E170" i="19" a="1"/>
  <c r="E170" i="19" s="1"/>
  <c r="C172" i="19" a="1"/>
  <c r="C172" i="19" s="1"/>
  <c r="P173" i="24" s="1"/>
  <c r="B174" i="19" a="1"/>
  <c r="B174" i="19" s="1"/>
  <c r="E175" i="19" a="1"/>
  <c r="E175" i="19" s="1"/>
  <c r="D177" i="19" a="1"/>
  <c r="D177" i="19" s="1"/>
  <c r="Q178" i="24" s="1"/>
  <c r="E180" i="19" a="1"/>
  <c r="E180" i="19" s="1"/>
  <c r="E183" i="19" a="1"/>
  <c r="E183" i="19" s="1"/>
  <c r="C185" i="19" a="1"/>
  <c r="C185" i="19" s="1"/>
  <c r="P186" i="24" s="1"/>
  <c r="E188" i="19" a="1"/>
  <c r="E188" i="19" s="1"/>
  <c r="D190" i="19" a="1"/>
  <c r="D190" i="19" s="1"/>
  <c r="Q191" i="24" s="1"/>
  <c r="C192" i="19" a="1"/>
  <c r="C192" i="19" s="1"/>
  <c r="P193" i="24" s="1"/>
  <c r="B194" i="19" a="1"/>
  <c r="B194" i="19" s="1"/>
  <c r="D195" i="19" a="1"/>
  <c r="D195" i="19" s="1"/>
  <c r="Q196" i="24" s="1"/>
  <c r="C199" i="19" a="1"/>
  <c r="C199" i="19" s="1"/>
  <c r="P200" i="24" s="1"/>
  <c r="B201" i="19" a="1"/>
  <c r="B201" i="19" s="1"/>
  <c r="B203" i="19" a="1"/>
  <c r="B203" i="19" s="1"/>
  <c r="E204" i="19" a="1"/>
  <c r="E204" i="19" s="1"/>
  <c r="D206" i="19" a="1"/>
  <c r="D206" i="19" s="1"/>
  <c r="Q207" i="24" s="1"/>
  <c r="C208" i="19" a="1"/>
  <c r="C208" i="19" s="1"/>
  <c r="P209" i="24" s="1"/>
  <c r="C210" i="19" a="1"/>
  <c r="C210" i="19" s="1"/>
  <c r="P211" i="24" s="1"/>
  <c r="E211" i="19" a="1"/>
  <c r="E211" i="19" s="1"/>
  <c r="C215" i="19" a="1"/>
  <c r="C215" i="19" s="1"/>
  <c r="P216" i="24" s="1"/>
  <c r="E216" i="19" a="1"/>
  <c r="E216" i="19" s="1"/>
  <c r="D218" i="19" a="1"/>
  <c r="D218" i="19" s="1"/>
  <c r="Q219" i="24" s="1"/>
  <c r="C220" i="19" a="1"/>
  <c r="C220" i="19" s="1"/>
  <c r="P221" i="24" s="1"/>
  <c r="E221" i="19" a="1"/>
  <c r="E221" i="19" s="1"/>
  <c r="C225" i="19" a="1"/>
  <c r="C225" i="19" s="1"/>
  <c r="P226" i="24" s="1"/>
  <c r="B227" i="19" a="1"/>
  <c r="B227" i="19" s="1"/>
  <c r="C230" i="19" a="1"/>
  <c r="C230" i="19" s="1"/>
  <c r="P231" i="24" s="1"/>
  <c r="B232" i="19" a="1"/>
  <c r="B232" i="19" s="1"/>
  <c r="E233" i="19" a="1"/>
  <c r="E233" i="19" s="1"/>
  <c r="E236" i="19" a="1"/>
  <c r="E236" i="19" s="1"/>
  <c r="C238" i="19" a="1"/>
  <c r="C238" i="19" s="1"/>
  <c r="P239" i="24" s="1"/>
  <c r="B240" i="19" a="1"/>
  <c r="B240" i="19" s="1"/>
  <c r="D241" i="19" a="1"/>
  <c r="D241" i="19" s="1"/>
  <c r="Q242" i="24" s="1"/>
  <c r="B243" i="19" a="1"/>
  <c r="B243" i="19" s="1"/>
  <c r="E247" i="19" a="1"/>
  <c r="E247" i="19" s="1"/>
  <c r="C249" i="19" a="1"/>
  <c r="C249" i="19" s="1"/>
  <c r="P250" i="24" s="1"/>
  <c r="E250" i="19" a="1"/>
  <c r="E250" i="19" s="1"/>
  <c r="D252" i="19" a="1"/>
  <c r="D252" i="19" s="1"/>
  <c r="Q253" i="24" s="1"/>
  <c r="B254" i="19" a="1"/>
  <c r="B254" i="19" s="1"/>
  <c r="B257" i="19" a="1"/>
  <c r="B257" i="19" s="1"/>
  <c r="C260" i="19" a="1"/>
  <c r="C260" i="19" s="1"/>
  <c r="P261" i="24" s="1"/>
  <c r="E261" i="19" a="1"/>
  <c r="E261" i="19" s="1"/>
  <c r="D263" i="19" a="1"/>
  <c r="D263" i="19" s="1"/>
  <c r="Q264" i="24" s="1"/>
  <c r="E264" i="19" a="1"/>
  <c r="E264" i="19" s="1"/>
  <c r="D266" i="19" a="1"/>
  <c r="D266" i="19" s="1"/>
  <c r="Q267" i="24" s="1"/>
  <c r="C268" i="19" a="1"/>
  <c r="C268" i="19" s="1"/>
  <c r="P269" i="24" s="1"/>
  <c r="B270" i="19" a="1"/>
  <c r="B270" i="19" s="1"/>
  <c r="E271" i="19" a="1"/>
  <c r="E271" i="19" s="1"/>
  <c r="C122" i="15" a="1"/>
  <c r="C122" i="15" s="1"/>
  <c r="B123" i="24" s="1"/>
  <c r="E123" i="15" a="1"/>
  <c r="E123" i="15" s="1"/>
  <c r="C127" i="15" a="1"/>
  <c r="C127" i="15" s="1"/>
  <c r="B128" i="24" s="1"/>
  <c r="E130" i="15" a="1"/>
  <c r="E130" i="15" s="1"/>
  <c r="C132" i="15" a="1"/>
  <c r="C132" i="15" s="1"/>
  <c r="B133" i="24" s="1"/>
  <c r="B134" i="15" a="1"/>
  <c r="B134" i="15" s="1"/>
  <c r="D135" i="15" a="1"/>
  <c r="D135" i="15" s="1"/>
  <c r="C136" i="24" s="1"/>
  <c r="C255" i="18" a="1"/>
  <c r="C255" i="18" s="1"/>
  <c r="M256" i="24" s="1"/>
  <c r="C169" i="19" a="1"/>
  <c r="C169" i="19" s="1"/>
  <c r="P170" i="24" s="1"/>
  <c r="C182" i="19" a="1"/>
  <c r="C182" i="19" s="1"/>
  <c r="P183" i="24" s="1"/>
  <c r="E195" i="19" a="1"/>
  <c r="E195" i="19" s="1"/>
  <c r="E223" i="19" a="1"/>
  <c r="E223" i="19" s="1"/>
  <c r="B237" i="19" a="1"/>
  <c r="B237" i="19" s="1"/>
  <c r="C246" i="19" a="1"/>
  <c r="C246" i="19" s="1"/>
  <c r="P247" i="24" s="1"/>
  <c r="E258" i="19" a="1"/>
  <c r="E258" i="19" s="1"/>
  <c r="B265" i="19" a="1"/>
  <c r="B265" i="19" s="1"/>
  <c r="D123" i="15" a="1"/>
  <c r="D123" i="15" s="1"/>
  <c r="C124" i="24" s="1"/>
  <c r="E127" i="15" a="1"/>
  <c r="E127" i="15" s="1"/>
  <c r="C131" i="15" a="1"/>
  <c r="C131" i="15" s="1"/>
  <c r="B132" i="24" s="1"/>
  <c r="C134" i="15" a="1"/>
  <c r="C134" i="15" s="1"/>
  <c r="B135" i="24" s="1"/>
  <c r="D136" i="15" a="1"/>
  <c r="D136" i="15" s="1"/>
  <c r="C137" i="24" s="1"/>
  <c r="C138" i="15" a="1"/>
  <c r="C138" i="15" s="1"/>
  <c r="B139" i="24" s="1"/>
  <c r="B140" i="15" a="1"/>
  <c r="B140" i="15" s="1"/>
  <c r="E141" i="15" a="1"/>
  <c r="E141" i="15" s="1"/>
  <c r="C143" i="15" a="1"/>
  <c r="C143" i="15" s="1"/>
  <c r="B144" i="24" s="1"/>
  <c r="B145" i="15" a="1"/>
  <c r="B145" i="15" s="1"/>
  <c r="D146" i="15" a="1"/>
  <c r="D146" i="15" s="1"/>
  <c r="C147" i="24" s="1"/>
  <c r="B148" i="15" a="1"/>
  <c r="B148" i="15" s="1"/>
  <c r="E152" i="15" a="1"/>
  <c r="E152" i="15" s="1"/>
  <c r="C154" i="15" a="1"/>
  <c r="C154" i="15" s="1"/>
  <c r="B155" i="24" s="1"/>
  <c r="E155" i="15" a="1"/>
  <c r="E155" i="15" s="1"/>
  <c r="D157" i="15" a="1"/>
  <c r="D157" i="15" s="1"/>
  <c r="C158" i="24" s="1"/>
  <c r="B159" i="15" a="1"/>
  <c r="B159" i="15" s="1"/>
  <c r="B162" i="15" a="1"/>
  <c r="B162" i="15" s="1"/>
  <c r="E163" i="15" a="1"/>
  <c r="E163" i="15" s="1"/>
  <c r="D165" i="15" a="1"/>
  <c r="D165" i="15" s="1"/>
  <c r="C166" i="24" s="1"/>
  <c r="E168" i="15" a="1"/>
  <c r="E168" i="15" s="1"/>
  <c r="E170" i="15" a="1"/>
  <c r="E170" i="15" s="1"/>
  <c r="E172" i="15" a="1"/>
  <c r="E172" i="15" s="1"/>
  <c r="E174" i="15" a="1"/>
  <c r="E174" i="15" s="1"/>
  <c r="E176" i="15" a="1"/>
  <c r="E176" i="15" s="1"/>
  <c r="E178" i="15" a="1"/>
  <c r="E178" i="15" s="1"/>
  <c r="E180" i="15" a="1"/>
  <c r="E180" i="15" s="1"/>
  <c r="E182" i="15" a="1"/>
  <c r="E182" i="15" s="1"/>
  <c r="E184" i="15" a="1"/>
  <c r="E184" i="15" s="1"/>
  <c r="E186" i="15" a="1"/>
  <c r="E186" i="15" s="1"/>
  <c r="E188" i="15" a="1"/>
  <c r="E188" i="15" s="1"/>
  <c r="E190" i="15" a="1"/>
  <c r="E190" i="15" s="1"/>
  <c r="E192" i="15" a="1"/>
  <c r="E192" i="15" s="1"/>
  <c r="E194" i="15" a="1"/>
  <c r="E194" i="15" s="1"/>
  <c r="E196" i="15" a="1"/>
  <c r="E196" i="15" s="1"/>
  <c r="E198" i="15" a="1"/>
  <c r="E198" i="15" s="1"/>
  <c r="B202" i="15" a="1"/>
  <c r="B202" i="15" s="1"/>
  <c r="C203" i="15" a="1"/>
  <c r="C203" i="15" s="1"/>
  <c r="B204" i="24" s="1"/>
  <c r="D206" i="15" a="1"/>
  <c r="D206" i="15" s="1"/>
  <c r="C207" i="24" s="1"/>
  <c r="E207" i="15" a="1"/>
  <c r="E207" i="15" s="1"/>
  <c r="E210" i="15" a="1"/>
  <c r="E210" i="15" s="1"/>
  <c r="C212" i="15" a="1"/>
  <c r="C212" i="15" s="1"/>
  <c r="B213" i="24" s="1"/>
  <c r="D213" i="15" a="1"/>
  <c r="D213" i="15" s="1"/>
  <c r="C214" i="24" s="1"/>
  <c r="B215" i="15" a="1"/>
  <c r="B215" i="15" s="1"/>
  <c r="B218" i="15" a="1"/>
  <c r="B218" i="15" s="1"/>
  <c r="C219" i="15" a="1"/>
  <c r="C219" i="15" s="1"/>
  <c r="B220" i="24" s="1"/>
  <c r="D222" i="15" a="1"/>
  <c r="D222" i="15" s="1"/>
  <c r="C223" i="24" s="1"/>
  <c r="E223" i="15" a="1"/>
  <c r="E223" i="15" s="1"/>
  <c r="E226" i="15" a="1"/>
  <c r="E226" i="15" s="1"/>
  <c r="C228" i="15" a="1"/>
  <c r="C228" i="15" s="1"/>
  <c r="B229" i="24" s="1"/>
  <c r="D229" i="15" a="1"/>
  <c r="D229" i="15" s="1"/>
  <c r="C230" i="24" s="1"/>
  <c r="B231" i="15" a="1"/>
  <c r="B231" i="15" s="1"/>
  <c r="B234" i="15" a="1"/>
  <c r="B234" i="15" s="1"/>
  <c r="C235" i="15" a="1"/>
  <c r="C235" i="15" s="1"/>
  <c r="B236" i="24" s="1"/>
  <c r="D238" i="15" a="1"/>
  <c r="D238" i="15" s="1"/>
  <c r="C239" i="24" s="1"/>
  <c r="E239" i="15" a="1"/>
  <c r="E239" i="15" s="1"/>
  <c r="E242" i="15" a="1"/>
  <c r="E242" i="15" s="1"/>
  <c r="D268" i="18" a="1"/>
  <c r="D268" i="18" s="1"/>
  <c r="N269" i="24" s="1"/>
  <c r="B171" i="19" a="1"/>
  <c r="B171" i="19" s="1"/>
  <c r="B184" i="19" a="1"/>
  <c r="B184" i="19" s="1"/>
  <c r="D197" i="19" a="1"/>
  <c r="D197" i="19" s="1"/>
  <c r="Q198" i="24" s="1"/>
  <c r="B212" i="19" a="1"/>
  <c r="B212" i="19" s="1"/>
  <c r="D225" i="19" a="1"/>
  <c r="D225" i="19" s="1"/>
  <c r="Q226" i="24" s="1"/>
  <c r="D238" i="19" a="1"/>
  <c r="D238" i="19" s="1"/>
  <c r="Q239" i="24" s="1"/>
  <c r="D246" i="19" a="1"/>
  <c r="D246" i="19" s="1"/>
  <c r="Q247" i="24" s="1"/>
  <c r="E252" i="19" a="1"/>
  <c r="E252" i="19" s="1"/>
  <c r="B259" i="19" a="1"/>
  <c r="B259" i="19" s="1"/>
  <c r="C265" i="19" a="1"/>
  <c r="C265" i="19" s="1"/>
  <c r="P266" i="24" s="1"/>
  <c r="C270" i="19" a="1"/>
  <c r="C270" i="19" s="1"/>
  <c r="P271" i="24" s="1"/>
  <c r="B124" i="15" a="1"/>
  <c r="B124" i="15" s="1"/>
  <c r="B128" i="15" a="1"/>
  <c r="B128" i="15" s="1"/>
  <c r="E136" i="15" a="1"/>
  <c r="E136" i="15" s="1"/>
  <c r="D138" i="15" a="1"/>
  <c r="D138" i="15" s="1"/>
  <c r="C139" i="24" s="1"/>
  <c r="B142" i="15" a="1"/>
  <c r="B142" i="15" s="1"/>
  <c r="D143" i="15" a="1"/>
  <c r="D143" i="15" s="1"/>
  <c r="C144" i="24" s="1"/>
  <c r="E146" i="15" a="1"/>
  <c r="E146" i="15" s="1"/>
  <c r="E149" i="15" a="1"/>
  <c r="E149" i="15" s="1"/>
  <c r="C151" i="15" a="1"/>
  <c r="C151" i="15" s="1"/>
  <c r="B152" i="24" s="1"/>
  <c r="B153" i="15" a="1"/>
  <c r="B153" i="15" s="1"/>
  <c r="D154" i="15" a="1"/>
  <c r="D154" i="15" s="1"/>
  <c r="C155" i="24" s="1"/>
  <c r="B156" i="15" a="1"/>
  <c r="B156" i="15" s="1"/>
  <c r="E160" i="15" a="1"/>
  <c r="E160" i="15" s="1"/>
  <c r="C162" i="15" a="1"/>
  <c r="C162" i="15" s="1"/>
  <c r="B163" i="24" s="1"/>
  <c r="B164" i="15" a="1"/>
  <c r="B164" i="15" s="1"/>
  <c r="E165" i="15" a="1"/>
  <c r="E165" i="15" s="1"/>
  <c r="C167" i="15" a="1"/>
  <c r="C167" i="15" s="1"/>
  <c r="B168" i="24" s="1"/>
  <c r="B169" i="15" a="1"/>
  <c r="B169" i="15" s="1"/>
  <c r="B171" i="15" a="1"/>
  <c r="B171" i="15" s="1"/>
  <c r="B173" i="15" a="1"/>
  <c r="B173" i="15" s="1"/>
  <c r="B175" i="15" a="1"/>
  <c r="B175" i="15" s="1"/>
  <c r="B177" i="15" a="1"/>
  <c r="B177" i="15" s="1"/>
  <c r="B179" i="15" a="1"/>
  <c r="B179" i="15" s="1"/>
  <c r="B181" i="15" a="1"/>
  <c r="B181" i="15" s="1"/>
  <c r="B183" i="15" a="1"/>
  <c r="B183" i="15" s="1"/>
  <c r="B185" i="15" a="1"/>
  <c r="B185" i="15" s="1"/>
  <c r="B187" i="15" a="1"/>
  <c r="B187" i="15" s="1"/>
  <c r="B189" i="15" a="1"/>
  <c r="B189" i="15" s="1"/>
  <c r="B191" i="15" a="1"/>
  <c r="B191" i="15" s="1"/>
  <c r="B193" i="15" a="1"/>
  <c r="B193" i="15" s="1"/>
  <c r="B195" i="15" a="1"/>
  <c r="B195" i="15" s="1"/>
  <c r="B197" i="15" a="1"/>
  <c r="B197" i="15" s="1"/>
  <c r="B199" i="15" a="1"/>
  <c r="B199" i="15" s="1"/>
  <c r="E200" i="15" a="1"/>
  <c r="E200" i="15" s="1"/>
  <c r="C202" i="15" a="1"/>
  <c r="C202" i="15" s="1"/>
  <c r="B203" i="24" s="1"/>
  <c r="D203" i="15" a="1"/>
  <c r="D203" i="15" s="1"/>
  <c r="C204" i="24" s="1"/>
  <c r="B205" i="15" a="1"/>
  <c r="B205" i="15" s="1"/>
  <c r="B208" i="15" a="1"/>
  <c r="B208" i="15" s="1"/>
  <c r="C209" i="15" a="1"/>
  <c r="C209" i="15" s="1"/>
  <c r="B210" i="24" s="1"/>
  <c r="D212" i="15" a="1"/>
  <c r="D212" i="15" s="1"/>
  <c r="C213" i="24" s="1"/>
  <c r="E213" i="15" a="1"/>
  <c r="E213" i="15" s="1"/>
  <c r="E216" i="15" a="1"/>
  <c r="E216" i="15" s="1"/>
  <c r="C218" i="15" a="1"/>
  <c r="C218" i="15" s="1"/>
  <c r="B219" i="24" s="1"/>
  <c r="D219" i="15" a="1"/>
  <c r="D219" i="15" s="1"/>
  <c r="C220" i="24" s="1"/>
  <c r="B221" i="15" a="1"/>
  <c r="B221" i="15" s="1"/>
  <c r="B224" i="15" a="1"/>
  <c r="B224" i="15" s="1"/>
  <c r="C225" i="15" a="1"/>
  <c r="C225" i="15" s="1"/>
  <c r="B226" i="24" s="1"/>
  <c r="D228" i="15" a="1"/>
  <c r="D228" i="15" s="1"/>
  <c r="C229" i="24" s="1"/>
  <c r="E229" i="15" a="1"/>
  <c r="E229" i="15" s="1"/>
  <c r="E232" i="15" a="1"/>
  <c r="E232" i="15" s="1"/>
  <c r="C234" i="15" a="1"/>
  <c r="C234" i="15" s="1"/>
  <c r="B235" i="24" s="1"/>
  <c r="D235" i="15" a="1"/>
  <c r="D235" i="15" s="1"/>
  <c r="C236" i="24" s="1"/>
  <c r="B237" i="15" a="1"/>
  <c r="B237" i="15" s="1"/>
  <c r="B240" i="15" a="1"/>
  <c r="B240" i="15" s="1"/>
  <c r="D130" i="19" a="1"/>
  <c r="D130" i="19" s="1"/>
  <c r="Q131" i="24" s="1"/>
  <c r="D172" i="19" a="1"/>
  <c r="D172" i="19" s="1"/>
  <c r="Q173" i="24" s="1"/>
  <c r="D185" i="19" a="1"/>
  <c r="D185" i="19" s="1"/>
  <c r="Q186" i="24" s="1"/>
  <c r="D199" i="19" a="1"/>
  <c r="D199" i="19" s="1"/>
  <c r="Q200" i="24" s="1"/>
  <c r="D213" i="19" a="1"/>
  <c r="D213" i="19" s="1"/>
  <c r="Q214" i="24" s="1"/>
  <c r="B248" i="19" a="1"/>
  <c r="B248" i="19" s="1"/>
  <c r="D260" i="19" a="1"/>
  <c r="D260" i="19" s="1"/>
  <c r="Q261" i="24" s="1"/>
  <c r="C271" i="19" a="1"/>
  <c r="C271" i="19" s="1"/>
  <c r="P272" i="24" s="1"/>
  <c r="C124" i="15" a="1"/>
  <c r="C124" i="15" s="1"/>
  <c r="B125" i="24" s="1"/>
  <c r="E128" i="15" a="1"/>
  <c r="E128" i="15" s="1"/>
  <c r="E131" i="15" a="1"/>
  <c r="E131" i="15" s="1"/>
  <c r="D134" i="15" a="1"/>
  <c r="D134" i="15" s="1"/>
  <c r="C135" i="24" s="1"/>
  <c r="B137" i="15" a="1"/>
  <c r="B137" i="15" s="1"/>
  <c r="E138" i="15" a="1"/>
  <c r="E138" i="15" s="1"/>
  <c r="C140" i="15" a="1"/>
  <c r="C140" i="15" s="1"/>
  <c r="B141" i="24" s="1"/>
  <c r="C142" i="15" a="1"/>
  <c r="C142" i="15" s="1"/>
  <c r="B143" i="24" s="1"/>
  <c r="E143" i="15" a="1"/>
  <c r="E143" i="15" s="1"/>
  <c r="C145" i="15" a="1"/>
  <c r="C145" i="15" s="1"/>
  <c r="B146" i="24" s="1"/>
  <c r="B147" i="15" a="1"/>
  <c r="B147" i="15" s="1"/>
  <c r="C148" i="15" a="1"/>
  <c r="C148" i="15" s="1"/>
  <c r="B149" i="24" s="1"/>
  <c r="B150" i="15" a="1"/>
  <c r="B150" i="15" s="1"/>
  <c r="D151" i="15" a="1"/>
  <c r="D151" i="15" s="1"/>
  <c r="C152" i="24" s="1"/>
  <c r="E154" i="15" a="1"/>
  <c r="E154" i="15" s="1"/>
  <c r="E157" i="15" a="1"/>
  <c r="E157" i="15" s="1"/>
  <c r="C159" i="15" a="1"/>
  <c r="C159" i="15" s="1"/>
  <c r="B160" i="24" s="1"/>
  <c r="B161" i="15" a="1"/>
  <c r="B161" i="15" s="1"/>
  <c r="D162" i="15" a="1"/>
  <c r="D162" i="15" s="1"/>
  <c r="C163" i="24" s="1"/>
  <c r="B166" i="15" a="1"/>
  <c r="B166" i="15" s="1"/>
  <c r="D167" i="15" a="1"/>
  <c r="D167" i="15" s="1"/>
  <c r="C168" i="24" s="1"/>
  <c r="C169" i="15" a="1"/>
  <c r="C169" i="15" s="1"/>
  <c r="B170" i="24" s="1"/>
  <c r="C171" i="15" a="1"/>
  <c r="C171" i="15" s="1"/>
  <c r="B172" i="24" s="1"/>
  <c r="C173" i="15" a="1"/>
  <c r="C173" i="15" s="1"/>
  <c r="B174" i="24" s="1"/>
  <c r="C175" i="15" a="1"/>
  <c r="C175" i="15" s="1"/>
  <c r="B176" i="24" s="1"/>
  <c r="C177" i="15" a="1"/>
  <c r="C177" i="15" s="1"/>
  <c r="B178" i="24" s="1"/>
  <c r="C179" i="15" a="1"/>
  <c r="C179" i="15" s="1"/>
  <c r="B180" i="24" s="1"/>
  <c r="C181" i="15" a="1"/>
  <c r="C181" i="15" s="1"/>
  <c r="B182" i="24" s="1"/>
  <c r="C183" i="15" a="1"/>
  <c r="C183" i="15" s="1"/>
  <c r="B184" i="24" s="1"/>
  <c r="C185" i="15" a="1"/>
  <c r="C185" i="15" s="1"/>
  <c r="B186" i="24" s="1"/>
  <c r="C187" i="15" a="1"/>
  <c r="C187" i="15" s="1"/>
  <c r="B188" i="24" s="1"/>
  <c r="C189" i="15" a="1"/>
  <c r="C189" i="15" s="1"/>
  <c r="B190" i="24" s="1"/>
  <c r="C191" i="15" a="1"/>
  <c r="C191" i="15" s="1"/>
  <c r="B192" i="24" s="1"/>
  <c r="C193" i="15" a="1"/>
  <c r="C193" i="15" s="1"/>
  <c r="B194" i="24" s="1"/>
  <c r="C195" i="15" a="1"/>
  <c r="C195" i="15" s="1"/>
  <c r="B196" i="24" s="1"/>
  <c r="C197" i="15" a="1"/>
  <c r="C197" i="15" s="1"/>
  <c r="B198" i="24" s="1"/>
  <c r="C199" i="15" a="1"/>
  <c r="C199" i="15" s="1"/>
  <c r="B200" i="24" s="1"/>
  <c r="D202" i="15" a="1"/>
  <c r="D202" i="15" s="1"/>
  <c r="C203" i="24" s="1"/>
  <c r="E203" i="15" a="1"/>
  <c r="E203" i="15" s="1"/>
  <c r="E206" i="15" a="1"/>
  <c r="E206" i="15" s="1"/>
  <c r="C208" i="15" a="1"/>
  <c r="C208" i="15" s="1"/>
  <c r="B209" i="24" s="1"/>
  <c r="D209" i="15" a="1"/>
  <c r="D209" i="15" s="1"/>
  <c r="C210" i="24" s="1"/>
  <c r="B211" i="15" a="1"/>
  <c r="B211" i="15" s="1"/>
  <c r="B214" i="15" a="1"/>
  <c r="B214" i="15" s="1"/>
  <c r="C215" i="15" a="1"/>
  <c r="C215" i="15" s="1"/>
  <c r="B216" i="24" s="1"/>
  <c r="D218" i="15" a="1"/>
  <c r="D218" i="15" s="1"/>
  <c r="C219" i="24" s="1"/>
  <c r="E219" i="15" a="1"/>
  <c r="E219" i="15" s="1"/>
  <c r="E222" i="15" a="1"/>
  <c r="E222" i="15" s="1"/>
  <c r="C224" i="15" a="1"/>
  <c r="C224" i="15" s="1"/>
  <c r="B225" i="24" s="1"/>
  <c r="D225" i="15" a="1"/>
  <c r="D225" i="15" s="1"/>
  <c r="C226" i="24" s="1"/>
  <c r="B227" i="15" a="1"/>
  <c r="B227" i="15" s="1"/>
  <c r="B230" i="15" a="1"/>
  <c r="B230" i="15" s="1"/>
  <c r="C231" i="15" a="1"/>
  <c r="C231" i="15" s="1"/>
  <c r="B232" i="24" s="1"/>
  <c r="D234" i="15" a="1"/>
  <c r="D234" i="15" s="1"/>
  <c r="C235" i="24" s="1"/>
  <c r="E235" i="15" a="1"/>
  <c r="E235" i="15" s="1"/>
  <c r="E238" i="15" a="1"/>
  <c r="E238" i="15" s="1"/>
  <c r="C240" i="15" a="1"/>
  <c r="C240" i="15" s="1"/>
  <c r="B241" i="24" s="1"/>
  <c r="D241" i="15" a="1"/>
  <c r="D241" i="15" s="1"/>
  <c r="C242" i="24" s="1"/>
  <c r="B243" i="15" a="1"/>
  <c r="B243" i="15" s="1"/>
  <c r="B246" i="15" a="1"/>
  <c r="B246" i="15" s="1"/>
  <c r="B127" i="18" a="1"/>
  <c r="B127" i="18" s="1"/>
  <c r="B143" i="19" a="1"/>
  <c r="B143" i="19" s="1"/>
  <c r="C174" i="19" a="1"/>
  <c r="C174" i="19" s="1"/>
  <c r="P175" i="24" s="1"/>
  <c r="C187" i="19" a="1"/>
  <c r="C187" i="19" s="1"/>
  <c r="P188" i="24" s="1"/>
  <c r="C201" i="19" a="1"/>
  <c r="C201" i="19" s="1"/>
  <c r="P202" i="24" s="1"/>
  <c r="D215" i="19" a="1"/>
  <c r="D215" i="19" s="1"/>
  <c r="Q216" i="24" s="1"/>
  <c r="E228" i="19" a="1"/>
  <c r="E228" i="19" s="1"/>
  <c r="E241" i="19" a="1"/>
  <c r="E241" i="19" s="1"/>
  <c r="C254" i="19" a="1"/>
  <c r="C254" i="19" s="1"/>
  <c r="P255" i="24" s="1"/>
  <c r="E266" i="19" a="1"/>
  <c r="E266" i="19" s="1"/>
  <c r="B121" i="15" a="1"/>
  <c r="B121" i="15" s="1"/>
  <c r="C125" i="15" a="1"/>
  <c r="C125" i="15" s="1"/>
  <c r="B126" i="24" s="1"/>
  <c r="C129" i="15" a="1"/>
  <c r="C129" i="15" s="1"/>
  <c r="B130" i="24" s="1"/>
  <c r="D132" i="15" a="1"/>
  <c r="D132" i="15" s="1"/>
  <c r="C133" i="24" s="1"/>
  <c r="B139" i="15" a="1"/>
  <c r="B139" i="15" s="1"/>
  <c r="D140" i="15" a="1"/>
  <c r="D140" i="15" s="1"/>
  <c r="C141" i="24" s="1"/>
  <c r="B144" i="15" a="1"/>
  <c r="B144" i="15" s="1"/>
  <c r="C147" i="15" a="1"/>
  <c r="C147" i="15" s="1"/>
  <c r="B148" i="24" s="1"/>
  <c r="D148" i="15" a="1"/>
  <c r="D148" i="15" s="1"/>
  <c r="C149" i="24" s="1"/>
  <c r="C150" i="15" a="1"/>
  <c r="C150" i="15" s="1"/>
  <c r="B151" i="24" s="1"/>
  <c r="E151" i="15" a="1"/>
  <c r="E151" i="15" s="1"/>
  <c r="C153" i="15" a="1"/>
  <c r="C153" i="15" s="1"/>
  <c r="B154" i="24" s="1"/>
  <c r="B155" i="15" a="1"/>
  <c r="B155" i="15" s="1"/>
  <c r="C156" i="15" a="1"/>
  <c r="C156" i="15" s="1"/>
  <c r="B157" i="24" s="1"/>
  <c r="B158" i="15" a="1"/>
  <c r="B158" i="15" s="1"/>
  <c r="D159" i="15" a="1"/>
  <c r="D159" i="15" s="1"/>
  <c r="C160" i="24" s="1"/>
  <c r="E162" i="15" a="1"/>
  <c r="E162" i="15" s="1"/>
  <c r="C164" i="15" a="1"/>
  <c r="C164" i="15" s="1"/>
  <c r="B165" i="24" s="1"/>
  <c r="C166" i="15" a="1"/>
  <c r="C166" i="15" s="1"/>
  <c r="B167" i="24" s="1"/>
  <c r="E167" i="15" a="1"/>
  <c r="E167" i="15" s="1"/>
  <c r="D169" i="15" a="1"/>
  <c r="D169" i="15" s="1"/>
  <c r="C170" i="24" s="1"/>
  <c r="D171" i="15" a="1"/>
  <c r="D171" i="15" s="1"/>
  <c r="C172" i="24" s="1"/>
  <c r="D173" i="15" a="1"/>
  <c r="D173" i="15" s="1"/>
  <c r="C174" i="24" s="1"/>
  <c r="D175" i="15" a="1"/>
  <c r="D175" i="15" s="1"/>
  <c r="C176" i="24" s="1"/>
  <c r="D177" i="15" a="1"/>
  <c r="D177" i="15" s="1"/>
  <c r="C178" i="24" s="1"/>
  <c r="D179" i="15" a="1"/>
  <c r="D179" i="15" s="1"/>
  <c r="C180" i="24" s="1"/>
  <c r="D181" i="15" a="1"/>
  <c r="D181" i="15" s="1"/>
  <c r="C182" i="24" s="1"/>
  <c r="D183" i="15" a="1"/>
  <c r="D183" i="15" s="1"/>
  <c r="C184" i="24" s="1"/>
  <c r="D185" i="15" a="1"/>
  <c r="D185" i="15" s="1"/>
  <c r="C186" i="24" s="1"/>
  <c r="D187" i="15" a="1"/>
  <c r="D187" i="15" s="1"/>
  <c r="C188" i="24" s="1"/>
  <c r="D189" i="15" a="1"/>
  <c r="D189" i="15" s="1"/>
  <c r="C190" i="24" s="1"/>
  <c r="D191" i="15" a="1"/>
  <c r="D191" i="15" s="1"/>
  <c r="C192" i="24" s="1"/>
  <c r="D193" i="15" a="1"/>
  <c r="D193" i="15" s="1"/>
  <c r="C194" i="24" s="1"/>
  <c r="D195" i="15" a="1"/>
  <c r="D195" i="15" s="1"/>
  <c r="C196" i="24" s="1"/>
  <c r="D197" i="15" a="1"/>
  <c r="D197" i="15" s="1"/>
  <c r="C198" i="24" s="1"/>
  <c r="D199" i="15" a="1"/>
  <c r="D199" i="15" s="1"/>
  <c r="C200" i="24" s="1"/>
  <c r="B201" i="15" a="1"/>
  <c r="B201" i="15" s="1"/>
  <c r="B204" i="15" a="1"/>
  <c r="B204" i="15" s="1"/>
  <c r="C205" i="15" a="1"/>
  <c r="C205" i="15" s="1"/>
  <c r="B206" i="24" s="1"/>
  <c r="D208" i="15" a="1"/>
  <c r="D208" i="15" s="1"/>
  <c r="C209" i="24" s="1"/>
  <c r="E209" i="15" a="1"/>
  <c r="E209" i="15" s="1"/>
  <c r="E212" i="15" a="1"/>
  <c r="E212" i="15" s="1"/>
  <c r="C214" i="15" a="1"/>
  <c r="C214" i="15" s="1"/>
  <c r="B215" i="24" s="1"/>
  <c r="D215" i="15" a="1"/>
  <c r="D215" i="15" s="1"/>
  <c r="C216" i="24" s="1"/>
  <c r="B217" i="15" a="1"/>
  <c r="B217" i="15" s="1"/>
  <c r="B220" i="15" a="1"/>
  <c r="B220" i="15" s="1"/>
  <c r="C221" i="15" a="1"/>
  <c r="C221" i="15" s="1"/>
  <c r="B222" i="24" s="1"/>
  <c r="D224" i="15" a="1"/>
  <c r="D224" i="15" s="1"/>
  <c r="C225" i="24" s="1"/>
  <c r="E225" i="15" a="1"/>
  <c r="E225" i="15" s="1"/>
  <c r="E228" i="15" a="1"/>
  <c r="E228" i="15" s="1"/>
  <c r="C230" i="15" a="1"/>
  <c r="C230" i="15" s="1"/>
  <c r="B231" i="24" s="1"/>
  <c r="D231" i="15" a="1"/>
  <c r="D231" i="15" s="1"/>
  <c r="C232" i="24" s="1"/>
  <c r="B233" i="15" a="1"/>
  <c r="B233" i="15" s="1"/>
  <c r="B236" i="15" a="1"/>
  <c r="B236" i="15" s="1"/>
  <c r="C237" i="15" a="1"/>
  <c r="C237" i="15" s="1"/>
  <c r="B238" i="24" s="1"/>
  <c r="D240" i="15" a="1"/>
  <c r="D240" i="15" s="1"/>
  <c r="C241" i="24" s="1"/>
  <c r="C205" i="18" a="1"/>
  <c r="C205" i="18" s="1"/>
  <c r="M206" i="24" s="1"/>
  <c r="D155" i="19" a="1"/>
  <c r="D155" i="19" s="1"/>
  <c r="Q156" i="24" s="1"/>
  <c r="B176" i="19" a="1"/>
  <c r="B176" i="19" s="1"/>
  <c r="B189" i="19" a="1"/>
  <c r="B189" i="19" s="1"/>
  <c r="B217" i="19" a="1"/>
  <c r="B217" i="19" s="1"/>
  <c r="D230" i="19" a="1"/>
  <c r="D230" i="19" s="1"/>
  <c r="Q231" i="24" s="1"/>
  <c r="D249" i="19" a="1"/>
  <c r="D249" i="19" s="1"/>
  <c r="Q250" i="24" s="1"/>
  <c r="E255" i="19" a="1"/>
  <c r="E255" i="19" s="1"/>
  <c r="B262" i="19" a="1"/>
  <c r="B262" i="19" s="1"/>
  <c r="E267" i="19" a="1"/>
  <c r="E267" i="19" s="1"/>
  <c r="E125" i="15" a="1"/>
  <c r="E125" i="15" s="1"/>
  <c r="E132" i="15" a="1"/>
  <c r="E132" i="15" s="1"/>
  <c r="C135" i="15" a="1"/>
  <c r="C135" i="15" s="1"/>
  <c r="B136" i="24" s="1"/>
  <c r="C137" i="15" a="1"/>
  <c r="C137" i="15" s="1"/>
  <c r="B138" i="24" s="1"/>
  <c r="C139" i="15" a="1"/>
  <c r="C139" i="15" s="1"/>
  <c r="B140" i="24" s="1"/>
  <c r="E140" i="15" a="1"/>
  <c r="E140" i="15" s="1"/>
  <c r="D142" i="15" a="1"/>
  <c r="D142" i="15" s="1"/>
  <c r="C143" i="24" s="1"/>
  <c r="C144" i="15" a="1"/>
  <c r="C144" i="15" s="1"/>
  <c r="B145" i="24" s="1"/>
  <c r="D145" i="15" a="1"/>
  <c r="D145" i="15" s="1"/>
  <c r="C146" i="24" s="1"/>
  <c r="E148" i="15" a="1"/>
  <c r="E148" i="15" s="1"/>
  <c r="B152" i="15" a="1"/>
  <c r="B152" i="15" s="1"/>
  <c r="C155" i="15" a="1"/>
  <c r="C155" i="15" s="1"/>
  <c r="B156" i="24" s="1"/>
  <c r="D156" i="15" a="1"/>
  <c r="D156" i="15" s="1"/>
  <c r="C157" i="24" s="1"/>
  <c r="C158" i="15" a="1"/>
  <c r="C158" i="15" s="1"/>
  <c r="B159" i="24" s="1"/>
  <c r="E159" i="15" a="1"/>
  <c r="E159" i="15" s="1"/>
  <c r="C161" i="15" a="1"/>
  <c r="C161" i="15" s="1"/>
  <c r="B162" i="24" s="1"/>
  <c r="B163" i="15" a="1"/>
  <c r="B163" i="15" s="1"/>
  <c r="D164" i="15" a="1"/>
  <c r="D164" i="15" s="1"/>
  <c r="C165" i="24" s="1"/>
  <c r="E169" i="15" a="1"/>
  <c r="E169" i="15" s="1"/>
  <c r="E171" i="15" a="1"/>
  <c r="E171" i="15" s="1"/>
  <c r="E173" i="15" a="1"/>
  <c r="E173" i="15" s="1"/>
  <c r="E175" i="15" a="1"/>
  <c r="E175" i="15" s="1"/>
  <c r="E177" i="15" a="1"/>
  <c r="E177" i="15" s="1"/>
  <c r="E179" i="15" a="1"/>
  <c r="E179" i="15" s="1"/>
  <c r="E181" i="15" a="1"/>
  <c r="E181" i="15" s="1"/>
  <c r="E183" i="15" a="1"/>
  <c r="E183" i="15" s="1"/>
  <c r="E185" i="15" a="1"/>
  <c r="E185" i="15" s="1"/>
  <c r="E187" i="15" a="1"/>
  <c r="E187" i="15" s="1"/>
  <c r="E189" i="15" a="1"/>
  <c r="E189" i="15" s="1"/>
  <c r="E191" i="15" a="1"/>
  <c r="E191" i="15" s="1"/>
  <c r="E193" i="15" a="1"/>
  <c r="E193" i="15" s="1"/>
  <c r="E195" i="15" a="1"/>
  <c r="E195" i="15" s="1"/>
  <c r="E197" i="15" a="1"/>
  <c r="E197" i="15" s="1"/>
  <c r="E199" i="15" a="1"/>
  <c r="E199" i="15" s="1"/>
  <c r="E202" i="15" a="1"/>
  <c r="E202" i="15" s="1"/>
  <c r="C204" i="15" a="1"/>
  <c r="C204" i="15" s="1"/>
  <c r="B205" i="24" s="1"/>
  <c r="D205" i="15" a="1"/>
  <c r="D205" i="15" s="1"/>
  <c r="C206" i="24" s="1"/>
  <c r="B207" i="15" a="1"/>
  <c r="B207" i="15" s="1"/>
  <c r="B210" i="15" a="1"/>
  <c r="B210" i="15" s="1"/>
  <c r="C211" i="15" a="1"/>
  <c r="C211" i="15" s="1"/>
  <c r="B212" i="24" s="1"/>
  <c r="D214" i="15" a="1"/>
  <c r="D214" i="15" s="1"/>
  <c r="C215" i="24" s="1"/>
  <c r="E215" i="15" a="1"/>
  <c r="E215" i="15" s="1"/>
  <c r="E218" i="15" a="1"/>
  <c r="E218" i="15" s="1"/>
  <c r="C220" i="15" a="1"/>
  <c r="C220" i="15" s="1"/>
  <c r="B221" i="24" s="1"/>
  <c r="D221" i="15" a="1"/>
  <c r="D221" i="15" s="1"/>
  <c r="C222" i="24" s="1"/>
  <c r="B223" i="15" a="1"/>
  <c r="B223" i="15" s="1"/>
  <c r="B226" i="15" a="1"/>
  <c r="B226" i="15" s="1"/>
  <c r="C227" i="15" a="1"/>
  <c r="C227" i="15" s="1"/>
  <c r="B228" i="24" s="1"/>
  <c r="D230" i="15" a="1"/>
  <c r="D230" i="15" s="1"/>
  <c r="C231" i="24" s="1"/>
  <c r="E231" i="15" a="1"/>
  <c r="E231" i="15" s="1"/>
  <c r="E234" i="15" a="1"/>
  <c r="E234" i="15" s="1"/>
  <c r="C236" i="15" a="1"/>
  <c r="C236" i="15" s="1"/>
  <c r="B237" i="24" s="1"/>
  <c r="D237" i="15" a="1"/>
  <c r="D237" i="15" s="1"/>
  <c r="C238" i="24" s="1"/>
  <c r="B239" i="15" a="1"/>
  <c r="B239" i="15" s="1"/>
  <c r="B242" i="15" a="1"/>
  <c r="B242" i="15" s="1"/>
  <c r="C243" i="15" a="1"/>
  <c r="C243" i="15" s="1"/>
  <c r="B244" i="24" s="1"/>
  <c r="D246" i="15" a="1"/>
  <c r="D246" i="15" s="1"/>
  <c r="C247" i="24" s="1"/>
  <c r="B218" i="18" a="1"/>
  <c r="B218" i="18" s="1"/>
  <c r="C160" i="19" a="1"/>
  <c r="C160" i="19" s="1"/>
  <c r="P161" i="24" s="1"/>
  <c r="E177" i="19" a="1"/>
  <c r="E177" i="19" s="1"/>
  <c r="E190" i="19" a="1"/>
  <c r="E190" i="19" s="1"/>
  <c r="B205" i="19" a="1"/>
  <c r="B205" i="19" s="1"/>
  <c r="E218" i="19" a="1"/>
  <c r="E218" i="19" s="1"/>
  <c r="C243" i="19" a="1"/>
  <c r="C243" i="19" s="1"/>
  <c r="P244" i="24" s="1"/>
  <c r="E249" i="19" a="1"/>
  <c r="E249" i="19" s="1"/>
  <c r="B256" i="19" a="1"/>
  <c r="B256" i="19" s="1"/>
  <c r="D268" i="19" a="1"/>
  <c r="D268" i="19" s="1"/>
  <c r="Q269" i="24" s="1"/>
  <c r="E121" i="15" a="1"/>
  <c r="E121" i="15" s="1"/>
  <c r="B126" i="15" a="1"/>
  <c r="B126" i="15" s="1"/>
  <c r="D129" i="15" a="1"/>
  <c r="D129" i="15" s="1"/>
  <c r="C130" i="24" s="1"/>
  <c r="B133" i="15" a="1"/>
  <c r="B133" i="15" s="1"/>
  <c r="E135" i="15" a="1"/>
  <c r="E135" i="15" s="1"/>
  <c r="B141" i="15" a="1"/>
  <c r="B141" i="15" s="1"/>
  <c r="E142" i="15" a="1"/>
  <c r="E142" i="15" s="1"/>
  <c r="D144" i="15" a="1"/>
  <c r="D144" i="15" s="1"/>
  <c r="C145" i="24" s="1"/>
  <c r="E145" i="15" a="1"/>
  <c r="E145" i="15" s="1"/>
  <c r="D147" i="15" a="1"/>
  <c r="D147" i="15" s="1"/>
  <c r="C148" i="24" s="1"/>
  <c r="B149" i="15" a="1"/>
  <c r="B149" i="15" s="1"/>
  <c r="D150" i="15" a="1"/>
  <c r="D150" i="15" s="1"/>
  <c r="C151" i="24" s="1"/>
  <c r="C152" i="15" a="1"/>
  <c r="C152" i="15" s="1"/>
  <c r="B153" i="24" s="1"/>
  <c r="D153" i="15" a="1"/>
  <c r="D153" i="15" s="1"/>
  <c r="C154" i="24" s="1"/>
  <c r="E156" i="15" a="1"/>
  <c r="E156" i="15" s="1"/>
  <c r="B160" i="15" a="1"/>
  <c r="B160" i="15" s="1"/>
  <c r="C163" i="15" a="1"/>
  <c r="C163" i="15" s="1"/>
  <c r="B164" i="24" s="1"/>
  <c r="E164" i="15" a="1"/>
  <c r="E164" i="15" s="1"/>
  <c r="D166" i="15" a="1"/>
  <c r="D166" i="15" s="1"/>
  <c r="C167" i="24" s="1"/>
  <c r="B168" i="15" a="1"/>
  <c r="B168" i="15" s="1"/>
  <c r="B170" i="15" a="1"/>
  <c r="B170" i="15" s="1"/>
  <c r="B172" i="15" a="1"/>
  <c r="B172" i="15" s="1"/>
  <c r="B174" i="15" a="1"/>
  <c r="B174" i="15" s="1"/>
  <c r="B176" i="15" a="1"/>
  <c r="B176" i="15" s="1"/>
  <c r="B178" i="15" a="1"/>
  <c r="B178" i="15" s="1"/>
  <c r="B180" i="15" a="1"/>
  <c r="B180" i="15" s="1"/>
  <c r="B182" i="15" a="1"/>
  <c r="B182" i="15" s="1"/>
  <c r="B184" i="15" a="1"/>
  <c r="B184" i="15" s="1"/>
  <c r="B186" i="15" a="1"/>
  <c r="B186" i="15" s="1"/>
  <c r="B188" i="15" a="1"/>
  <c r="B188" i="15" s="1"/>
  <c r="B190" i="15" a="1"/>
  <c r="B190" i="15" s="1"/>
  <c r="B192" i="15" a="1"/>
  <c r="B192" i="15" s="1"/>
  <c r="B194" i="15" a="1"/>
  <c r="B194" i="15" s="1"/>
  <c r="B196" i="15" a="1"/>
  <c r="B196" i="15" s="1"/>
  <c r="B198" i="15" a="1"/>
  <c r="B198" i="15" s="1"/>
  <c r="B200" i="15" a="1"/>
  <c r="B200" i="15" s="1"/>
  <c r="C201" i="15" a="1"/>
  <c r="C201" i="15" s="1"/>
  <c r="B202" i="24" s="1"/>
  <c r="D204" i="15" a="1"/>
  <c r="D204" i="15" s="1"/>
  <c r="C205" i="24" s="1"/>
  <c r="E205" i="15" a="1"/>
  <c r="E205" i="15" s="1"/>
  <c r="E208" i="15" a="1"/>
  <c r="E208" i="15" s="1"/>
  <c r="C210" i="15" a="1"/>
  <c r="C210" i="15" s="1"/>
  <c r="B211" i="24" s="1"/>
  <c r="D211" i="15" a="1"/>
  <c r="D211" i="15" s="1"/>
  <c r="C212" i="24" s="1"/>
  <c r="B213" i="15" a="1"/>
  <c r="B213" i="15" s="1"/>
  <c r="B216" i="15" a="1"/>
  <c r="B216" i="15" s="1"/>
  <c r="C217" i="15" a="1"/>
  <c r="C217" i="15" s="1"/>
  <c r="B218" i="24" s="1"/>
  <c r="D220" i="15" a="1"/>
  <c r="D220" i="15" s="1"/>
  <c r="C221" i="24" s="1"/>
  <c r="E221" i="15" a="1"/>
  <c r="E221" i="15" s="1"/>
  <c r="E224" i="15" a="1"/>
  <c r="E224" i="15" s="1"/>
  <c r="C226" i="15" a="1"/>
  <c r="C226" i="15" s="1"/>
  <c r="B227" i="24" s="1"/>
  <c r="D227" i="15" a="1"/>
  <c r="D227" i="15" s="1"/>
  <c r="C228" i="24" s="1"/>
  <c r="B229" i="15" a="1"/>
  <c r="B229" i="15" s="1"/>
  <c r="B232" i="15" a="1"/>
  <c r="B232" i="15" s="1"/>
  <c r="C233" i="15" a="1"/>
  <c r="C233" i="15" s="1"/>
  <c r="B234" i="24" s="1"/>
  <c r="D236" i="15" a="1"/>
  <c r="D236" i="15" s="1"/>
  <c r="C237" i="24" s="1"/>
  <c r="E237" i="15" a="1"/>
  <c r="E237" i="15" s="1"/>
  <c r="E240" i="15" a="1"/>
  <c r="E240" i="15" s="1"/>
  <c r="C242" i="15" a="1"/>
  <c r="C242" i="15" s="1"/>
  <c r="B243" i="24" s="1"/>
  <c r="D243" i="15" a="1"/>
  <c r="D243" i="15" s="1"/>
  <c r="C244" i="24" s="1"/>
  <c r="B245" i="15" a="1"/>
  <c r="B245" i="15" s="1"/>
  <c r="D230" i="18" a="1"/>
  <c r="D230" i="18" s="1"/>
  <c r="N231" i="24" s="1"/>
  <c r="E163" i="19" a="1"/>
  <c r="E163" i="19" s="1"/>
  <c r="C179" i="19" a="1"/>
  <c r="C179" i="19" s="1"/>
  <c r="P180" i="24" s="1"/>
  <c r="D192" i="19" a="1"/>
  <c r="D192" i="19" s="1"/>
  <c r="Q193" i="24" s="1"/>
  <c r="E206" i="19" a="1"/>
  <c r="E206" i="19" s="1"/>
  <c r="D220" i="19" a="1"/>
  <c r="D220" i="19" s="1"/>
  <c r="Q221" i="24" s="1"/>
  <c r="B234" i="19" a="1"/>
  <c r="B234" i="19" s="1"/>
  <c r="E244" i="19" a="1"/>
  <c r="E244" i="19" s="1"/>
  <c r="B251" i="19" a="1"/>
  <c r="B251" i="19" s="1"/>
  <c r="C257" i="19" a="1"/>
  <c r="C257" i="19" s="1"/>
  <c r="P258" i="24" s="1"/>
  <c r="D122" i="15" a="1"/>
  <c r="D122" i="15" s="1"/>
  <c r="C123" i="24" s="1"/>
  <c r="B127" i="15" a="1"/>
  <c r="B127" i="15" s="1"/>
  <c r="C130" i="15" a="1"/>
  <c r="C130" i="15" s="1"/>
  <c r="B131" i="24" s="1"/>
  <c r="B136" i="15" a="1"/>
  <c r="B136" i="15" s="1"/>
  <c r="D137" i="15" a="1"/>
  <c r="D137" i="15" s="1"/>
  <c r="C138" i="24" s="1"/>
  <c r="D139" i="15" a="1"/>
  <c r="D139" i="15" s="1"/>
  <c r="C140" i="24" s="1"/>
  <c r="D141" i="15" a="1"/>
  <c r="D141" i="15" s="1"/>
  <c r="C142" i="24" s="1"/>
  <c r="B143" i="15" a="1"/>
  <c r="B143" i="15" s="1"/>
  <c r="B146" i="15" a="1"/>
  <c r="B146" i="15" s="1"/>
  <c r="C149" i="15" a="1"/>
  <c r="C149" i="15" s="1"/>
  <c r="B150" i="24" s="1"/>
  <c r="E150" i="15" a="1"/>
  <c r="E150" i="15" s="1"/>
  <c r="D152" i="15" a="1"/>
  <c r="D152" i="15" s="1"/>
  <c r="C153" i="24" s="1"/>
  <c r="E153" i="15" a="1"/>
  <c r="E153" i="15" s="1"/>
  <c r="D155" i="15" a="1"/>
  <c r="D155" i="15" s="1"/>
  <c r="C156" i="24" s="1"/>
  <c r="B157" i="15" a="1"/>
  <c r="B157" i="15" s="1"/>
  <c r="D158" i="15" a="1"/>
  <c r="D158" i="15" s="1"/>
  <c r="C159" i="24" s="1"/>
  <c r="C160" i="15" a="1"/>
  <c r="C160" i="15" s="1"/>
  <c r="B161" i="24" s="1"/>
  <c r="D161" i="15" a="1"/>
  <c r="D161" i="15" s="1"/>
  <c r="C162" i="24" s="1"/>
  <c r="D163" i="15" a="1"/>
  <c r="D163" i="15" s="1"/>
  <c r="C164" i="24" s="1"/>
  <c r="B165" i="15" a="1"/>
  <c r="B165" i="15" s="1"/>
  <c r="E166" i="15" a="1"/>
  <c r="E166" i="15" s="1"/>
  <c r="C168" i="15" a="1"/>
  <c r="C168" i="15" s="1"/>
  <c r="B169" i="24" s="1"/>
  <c r="C170" i="15" a="1"/>
  <c r="C170" i="15" s="1"/>
  <c r="B171" i="24" s="1"/>
  <c r="C172" i="15" a="1"/>
  <c r="C172" i="15" s="1"/>
  <c r="B173" i="24" s="1"/>
  <c r="C174" i="15" a="1"/>
  <c r="C174" i="15" s="1"/>
  <c r="B175" i="24" s="1"/>
  <c r="C176" i="15" a="1"/>
  <c r="C176" i="15" s="1"/>
  <c r="B177" i="24" s="1"/>
  <c r="C178" i="15" a="1"/>
  <c r="C178" i="15" s="1"/>
  <c r="B179" i="24" s="1"/>
  <c r="C180" i="15" a="1"/>
  <c r="C180" i="15" s="1"/>
  <c r="B181" i="24" s="1"/>
  <c r="C182" i="15" a="1"/>
  <c r="C182" i="15" s="1"/>
  <c r="B183" i="24" s="1"/>
  <c r="C184" i="15" a="1"/>
  <c r="C184" i="15" s="1"/>
  <c r="B185" i="24" s="1"/>
  <c r="C186" i="15" a="1"/>
  <c r="C186" i="15" s="1"/>
  <c r="B187" i="24" s="1"/>
  <c r="C188" i="15" a="1"/>
  <c r="C188" i="15" s="1"/>
  <c r="B189" i="24" s="1"/>
  <c r="C190" i="15" a="1"/>
  <c r="C190" i="15" s="1"/>
  <c r="B191" i="24" s="1"/>
  <c r="C192" i="15" a="1"/>
  <c r="C192" i="15" s="1"/>
  <c r="B193" i="24" s="1"/>
  <c r="C194" i="15" a="1"/>
  <c r="C194" i="15" s="1"/>
  <c r="B195" i="24" s="1"/>
  <c r="C196" i="15" a="1"/>
  <c r="C196" i="15" s="1"/>
  <c r="B197" i="24" s="1"/>
  <c r="C198" i="15" a="1"/>
  <c r="C198" i="15" s="1"/>
  <c r="B199" i="24" s="1"/>
  <c r="C200" i="15" a="1"/>
  <c r="C200" i="15" s="1"/>
  <c r="B201" i="24" s="1"/>
  <c r="D201" i="15" a="1"/>
  <c r="D201" i="15" s="1"/>
  <c r="C202" i="24" s="1"/>
  <c r="B203" i="15" a="1"/>
  <c r="B203" i="15" s="1"/>
  <c r="B206" i="15" a="1"/>
  <c r="B206" i="15" s="1"/>
  <c r="C207" i="15" a="1"/>
  <c r="C207" i="15" s="1"/>
  <c r="B208" i="24" s="1"/>
  <c r="D210" i="15" a="1"/>
  <c r="D210" i="15" s="1"/>
  <c r="C211" i="24" s="1"/>
  <c r="E211" i="15" a="1"/>
  <c r="E211" i="15" s="1"/>
  <c r="E214" i="15" a="1"/>
  <c r="E214" i="15" s="1"/>
  <c r="C216" i="15" a="1"/>
  <c r="C216" i="15" s="1"/>
  <c r="B217" i="24" s="1"/>
  <c r="D217" i="15" a="1"/>
  <c r="D217" i="15" s="1"/>
  <c r="C218" i="24" s="1"/>
  <c r="B219" i="15" a="1"/>
  <c r="B219" i="15" s="1"/>
  <c r="B222" i="15" a="1"/>
  <c r="B222" i="15" s="1"/>
  <c r="C223" i="15" a="1"/>
  <c r="C223" i="15" s="1"/>
  <c r="B224" i="24" s="1"/>
  <c r="D226" i="15" a="1"/>
  <c r="D226" i="15" s="1"/>
  <c r="C227" i="24" s="1"/>
  <c r="E227" i="15" a="1"/>
  <c r="E227" i="15" s="1"/>
  <c r="E230" i="15" a="1"/>
  <c r="E230" i="15" s="1"/>
  <c r="C232" i="15" a="1"/>
  <c r="C232" i="15" s="1"/>
  <c r="B233" i="24" s="1"/>
  <c r="D233" i="15" a="1"/>
  <c r="D233" i="15" s="1"/>
  <c r="C234" i="24" s="1"/>
  <c r="B235" i="15" a="1"/>
  <c r="B235" i="15" s="1"/>
  <c r="B222" i="19" a="1"/>
  <c r="B222" i="19" s="1"/>
  <c r="D127" i="15" a="1"/>
  <c r="D127" i="15" s="1"/>
  <c r="C128" i="24" s="1"/>
  <c r="E144" i="15" a="1"/>
  <c r="E144" i="15" s="1"/>
  <c r="C157" i="15" a="1"/>
  <c r="C157" i="15" s="1"/>
  <c r="B158" i="24" s="1"/>
  <c r="D170" i="15" a="1"/>
  <c r="D170" i="15" s="1"/>
  <c r="C171" i="24" s="1"/>
  <c r="D186" i="15" a="1"/>
  <c r="D186" i="15" s="1"/>
  <c r="C187" i="24" s="1"/>
  <c r="E201" i="15" a="1"/>
  <c r="E201" i="15" s="1"/>
  <c r="C213" i="15" a="1"/>
  <c r="C213" i="15" s="1"/>
  <c r="B214" i="24" s="1"/>
  <c r="B225" i="15" a="1"/>
  <c r="B225" i="15" s="1"/>
  <c r="C241" i="15" a="1"/>
  <c r="C241" i="15" s="1"/>
  <c r="B242" i="24" s="1"/>
  <c r="C244" i="15" a="1"/>
  <c r="C244" i="15" s="1"/>
  <c r="B245" i="24" s="1"/>
  <c r="B248" i="15" a="1"/>
  <c r="B248" i="15" s="1"/>
  <c r="C249" i="15" a="1"/>
  <c r="C249" i="15" s="1"/>
  <c r="B250" i="24" s="1"/>
  <c r="D252" i="15" a="1"/>
  <c r="D252" i="15" s="1"/>
  <c r="C253" i="24" s="1"/>
  <c r="E253" i="15" a="1"/>
  <c r="E253" i="15" s="1"/>
  <c r="E256" i="15" a="1"/>
  <c r="E256" i="15" s="1"/>
  <c r="C258" i="15" a="1"/>
  <c r="C258" i="15" s="1"/>
  <c r="B259" i="24" s="1"/>
  <c r="D259" i="15" a="1"/>
  <c r="D259" i="15" s="1"/>
  <c r="C260" i="24" s="1"/>
  <c r="B261" i="15" a="1"/>
  <c r="B261" i="15" s="1"/>
  <c r="B264" i="15" a="1"/>
  <c r="B264" i="15" s="1"/>
  <c r="C265" i="15" a="1"/>
  <c r="C265" i="15" s="1"/>
  <c r="B266" i="24" s="1"/>
  <c r="D268" i="15" a="1"/>
  <c r="D268" i="15" s="1"/>
  <c r="C269" i="24" s="1"/>
  <c r="E269" i="15" a="1"/>
  <c r="E269" i="15" s="1"/>
  <c r="D6" i="16" a="1"/>
  <c r="D6" i="16" s="1"/>
  <c r="G7" i="24" s="1"/>
  <c r="C9" i="16" a="1"/>
  <c r="C9" i="16" s="1"/>
  <c r="F10" i="24" s="1"/>
  <c r="E11" i="16" a="1"/>
  <c r="E11" i="16" s="1"/>
  <c r="D14" i="16" a="1"/>
  <c r="D14" i="16" s="1"/>
  <c r="G15" i="24" s="1"/>
  <c r="C17" i="16" a="1"/>
  <c r="C17" i="16" s="1"/>
  <c r="F18" i="24" s="1"/>
  <c r="E19" i="16" a="1"/>
  <c r="E19" i="16" s="1"/>
  <c r="D22" i="16" a="1"/>
  <c r="D22" i="16" s="1"/>
  <c r="G23" i="24" s="1"/>
  <c r="C25" i="16" a="1"/>
  <c r="C25" i="16" s="1"/>
  <c r="F26" i="24" s="1"/>
  <c r="E27" i="16" a="1"/>
  <c r="E27" i="16" s="1"/>
  <c r="D30" i="16" a="1"/>
  <c r="D30" i="16" s="1"/>
  <c r="G31" i="24" s="1"/>
  <c r="C33" i="16" a="1"/>
  <c r="C33" i="16" s="1"/>
  <c r="F34" i="24" s="1"/>
  <c r="E35" i="16" a="1"/>
  <c r="E35" i="16" s="1"/>
  <c r="D38" i="16" a="1"/>
  <c r="D38" i="16" s="1"/>
  <c r="G39" i="24" s="1"/>
  <c r="C41" i="16" a="1"/>
  <c r="C41" i="16" s="1"/>
  <c r="F42" i="24" s="1"/>
  <c r="E43" i="16" a="1"/>
  <c r="E43" i="16" s="1"/>
  <c r="D46" i="16" a="1"/>
  <c r="D46" i="16" s="1"/>
  <c r="G47" i="24" s="1"/>
  <c r="C49" i="16" a="1"/>
  <c r="C49" i="16" s="1"/>
  <c r="F50" i="24" s="1"/>
  <c r="E51" i="16" a="1"/>
  <c r="E51" i="16" s="1"/>
  <c r="D54" i="16" a="1"/>
  <c r="D54" i="16" s="1"/>
  <c r="G55" i="24" s="1"/>
  <c r="C57" i="16" a="1"/>
  <c r="C57" i="16" s="1"/>
  <c r="F58" i="24" s="1"/>
  <c r="E59" i="16" a="1"/>
  <c r="E59" i="16" s="1"/>
  <c r="D62" i="16" a="1"/>
  <c r="D62" i="16" s="1"/>
  <c r="G63" i="24" s="1"/>
  <c r="C65" i="16" a="1"/>
  <c r="C65" i="16" s="1"/>
  <c r="F66" i="24" s="1"/>
  <c r="E67" i="16" a="1"/>
  <c r="E67" i="16" s="1"/>
  <c r="D70" i="16" a="1"/>
  <c r="D70" i="16" s="1"/>
  <c r="G71" i="24" s="1"/>
  <c r="C73" i="16" a="1"/>
  <c r="C73" i="16" s="1"/>
  <c r="F74" i="24" s="1"/>
  <c r="E75" i="16" a="1"/>
  <c r="E75" i="16" s="1"/>
  <c r="D78" i="16" a="1"/>
  <c r="D78" i="16" s="1"/>
  <c r="G79" i="24" s="1"/>
  <c r="C81" i="16" a="1"/>
  <c r="C81" i="16" s="1"/>
  <c r="F82" i="24" s="1"/>
  <c r="E83" i="16" a="1"/>
  <c r="E83" i="16" s="1"/>
  <c r="C86" i="16" a="1"/>
  <c r="C86" i="16" s="1"/>
  <c r="F87" i="24" s="1"/>
  <c r="E88" i="16" a="1"/>
  <c r="E88" i="16" s="1"/>
  <c r="D91" i="16" a="1"/>
  <c r="D91" i="16" s="1"/>
  <c r="G92" i="24" s="1"/>
  <c r="E93" i="16" a="1"/>
  <c r="E93" i="16" s="1"/>
  <c r="D96" i="16" a="1"/>
  <c r="D96" i="16" s="1"/>
  <c r="G97" i="24" s="1"/>
  <c r="C99" i="16" a="1"/>
  <c r="C99" i="16" s="1"/>
  <c r="F100" i="24" s="1"/>
  <c r="E101" i="16" a="1"/>
  <c r="E101" i="16" s="1"/>
  <c r="D104" i="16" a="1"/>
  <c r="D104" i="16" s="1"/>
  <c r="G105" i="24" s="1"/>
  <c r="C107" i="16" a="1"/>
  <c r="C107" i="16" s="1"/>
  <c r="F108" i="24" s="1"/>
  <c r="E109" i="16" a="1"/>
  <c r="E109" i="16" s="1"/>
  <c r="D112" i="16" a="1"/>
  <c r="D112" i="16" s="1"/>
  <c r="G113" i="24" s="1"/>
  <c r="C115" i="16" a="1"/>
  <c r="C115" i="16" s="1"/>
  <c r="F116" i="24" s="1"/>
  <c r="E117" i="16" a="1"/>
  <c r="E117" i="16" s="1"/>
  <c r="D120" i="16" a="1"/>
  <c r="D120" i="16" s="1"/>
  <c r="G121" i="24" s="1"/>
  <c r="C7" i="17" a="1"/>
  <c r="C7" i="17" s="1"/>
  <c r="J8" i="24" s="1"/>
  <c r="E9" i="17" a="1"/>
  <c r="E9" i="17" s="1"/>
  <c r="C12" i="17" a="1"/>
  <c r="C12" i="17" s="1"/>
  <c r="J13" i="24" s="1"/>
  <c r="E14" i="17" a="1"/>
  <c r="E14" i="17" s="1"/>
  <c r="C17" i="17" a="1"/>
  <c r="C17" i="17" s="1"/>
  <c r="J18" i="24" s="1"/>
  <c r="E19" i="17" a="1"/>
  <c r="E19" i="17" s="1"/>
  <c r="D22" i="17" a="1"/>
  <c r="D22" i="17" s="1"/>
  <c r="K23" i="24" s="1"/>
  <c r="C25" i="17" a="1"/>
  <c r="C25" i="17" s="1"/>
  <c r="J26" i="24" s="1"/>
  <c r="E27" i="17" a="1"/>
  <c r="E27" i="17" s="1"/>
  <c r="C235" i="19" a="1"/>
  <c r="C235" i="19" s="1"/>
  <c r="P236" i="24" s="1"/>
  <c r="B131" i="15" a="1"/>
  <c r="B131" i="15" s="1"/>
  <c r="C146" i="15" a="1"/>
  <c r="C146" i="15" s="1"/>
  <c r="B147" i="24" s="1"/>
  <c r="E158" i="15" a="1"/>
  <c r="E158" i="15" s="1"/>
  <c r="D172" i="15" a="1"/>
  <c r="D172" i="15" s="1"/>
  <c r="C173" i="24" s="1"/>
  <c r="D188" i="15" a="1"/>
  <c r="D188" i="15" s="1"/>
  <c r="C189" i="24" s="1"/>
  <c r="E236" i="15" a="1"/>
  <c r="E236" i="15" s="1"/>
  <c r="E241" i="15" a="1"/>
  <c r="E241" i="15" s="1"/>
  <c r="D244" i="15" a="1"/>
  <c r="D244" i="15" s="1"/>
  <c r="C245" i="24" s="1"/>
  <c r="E246" i="15" a="1"/>
  <c r="E246" i="15" s="1"/>
  <c r="C248" i="15" a="1"/>
  <c r="C248" i="15" s="1"/>
  <c r="B249" i="24" s="1"/>
  <c r="D249" i="15" a="1"/>
  <c r="D249" i="15" s="1"/>
  <c r="C250" i="24" s="1"/>
  <c r="B251" i="15" a="1"/>
  <c r="B251" i="15" s="1"/>
  <c r="B254" i="15" a="1"/>
  <c r="B254" i="15" s="1"/>
  <c r="C255" i="15" a="1"/>
  <c r="C255" i="15" s="1"/>
  <c r="B256" i="24" s="1"/>
  <c r="D258" i="15" a="1"/>
  <c r="D258" i="15" s="1"/>
  <c r="C259" i="24" s="1"/>
  <c r="E259" i="15" a="1"/>
  <c r="E259" i="15" s="1"/>
  <c r="E262" i="15" a="1"/>
  <c r="E262" i="15" s="1"/>
  <c r="C264" i="15" a="1"/>
  <c r="C264" i="15" s="1"/>
  <c r="B265" i="24" s="1"/>
  <c r="D265" i="15" a="1"/>
  <c r="D265" i="15" s="1"/>
  <c r="C266" i="24" s="1"/>
  <c r="B267" i="15" a="1"/>
  <c r="B267" i="15" s="1"/>
  <c r="B270" i="15" a="1"/>
  <c r="B270" i="15" s="1"/>
  <c r="C271" i="15" a="1"/>
  <c r="C271" i="15" s="1"/>
  <c r="B272" i="24" s="1"/>
  <c r="E6" i="16" a="1"/>
  <c r="E6" i="16" s="1"/>
  <c r="D9" i="16" a="1"/>
  <c r="D9" i="16" s="1"/>
  <c r="G10" i="24" s="1"/>
  <c r="C12" i="16" a="1"/>
  <c r="C12" i="16" s="1"/>
  <c r="F13" i="24" s="1"/>
  <c r="E14" i="16" a="1"/>
  <c r="E14" i="16" s="1"/>
  <c r="D17" i="16" a="1"/>
  <c r="D17" i="16" s="1"/>
  <c r="G18" i="24" s="1"/>
  <c r="C20" i="16" a="1"/>
  <c r="C20" i="16" s="1"/>
  <c r="F21" i="24" s="1"/>
  <c r="E22" i="16" a="1"/>
  <c r="E22" i="16" s="1"/>
  <c r="D25" i="16" a="1"/>
  <c r="D25" i="16" s="1"/>
  <c r="G26" i="24" s="1"/>
  <c r="C28" i="16" a="1"/>
  <c r="C28" i="16" s="1"/>
  <c r="F29" i="24" s="1"/>
  <c r="E30" i="16" a="1"/>
  <c r="E30" i="16" s="1"/>
  <c r="D33" i="16" a="1"/>
  <c r="D33" i="16" s="1"/>
  <c r="G34" i="24" s="1"/>
  <c r="C36" i="16" a="1"/>
  <c r="C36" i="16" s="1"/>
  <c r="F37" i="24" s="1"/>
  <c r="E38" i="16" a="1"/>
  <c r="E38" i="16" s="1"/>
  <c r="D41" i="16" a="1"/>
  <c r="D41" i="16" s="1"/>
  <c r="G42" i="24" s="1"/>
  <c r="C44" i="16" a="1"/>
  <c r="C44" i="16" s="1"/>
  <c r="F45" i="24" s="1"/>
  <c r="E46" i="16" a="1"/>
  <c r="E46" i="16" s="1"/>
  <c r="D49" i="16" a="1"/>
  <c r="D49" i="16" s="1"/>
  <c r="G50" i="24" s="1"/>
  <c r="C52" i="16" a="1"/>
  <c r="C52" i="16" s="1"/>
  <c r="F53" i="24" s="1"/>
  <c r="E54" i="16" a="1"/>
  <c r="E54" i="16" s="1"/>
  <c r="D57" i="16" a="1"/>
  <c r="D57" i="16" s="1"/>
  <c r="G58" i="24" s="1"/>
  <c r="C60" i="16" a="1"/>
  <c r="C60" i="16" s="1"/>
  <c r="F61" i="24" s="1"/>
  <c r="E62" i="16" a="1"/>
  <c r="E62" i="16" s="1"/>
  <c r="D65" i="16" a="1"/>
  <c r="D65" i="16" s="1"/>
  <c r="G66" i="24" s="1"/>
  <c r="C68" i="16" a="1"/>
  <c r="C68" i="16" s="1"/>
  <c r="F69" i="24" s="1"/>
  <c r="E70" i="16" a="1"/>
  <c r="E70" i="16" s="1"/>
  <c r="D73" i="16" a="1"/>
  <c r="D73" i="16" s="1"/>
  <c r="G74" i="24" s="1"/>
  <c r="C76" i="16" a="1"/>
  <c r="C76" i="16" s="1"/>
  <c r="F77" i="24" s="1"/>
  <c r="E78" i="16" a="1"/>
  <c r="E78" i="16" s="1"/>
  <c r="D81" i="16" a="1"/>
  <c r="D81" i="16" s="1"/>
  <c r="G82" i="24" s="1"/>
  <c r="C84" i="16" a="1"/>
  <c r="C84" i="16" s="1"/>
  <c r="F85" i="24" s="1"/>
  <c r="D86" i="16" a="1"/>
  <c r="D86" i="16" s="1"/>
  <c r="G87" i="24" s="1"/>
  <c r="C89" i="16" a="1"/>
  <c r="C89" i="16" s="1"/>
  <c r="F90" i="24" s="1"/>
  <c r="C94" i="16" a="1"/>
  <c r="C94" i="16" s="1"/>
  <c r="F95" i="24" s="1"/>
  <c r="E96" i="16" a="1"/>
  <c r="E96" i="16" s="1"/>
  <c r="D99" i="16" a="1"/>
  <c r="D99" i="16" s="1"/>
  <c r="G100" i="24" s="1"/>
  <c r="C102" i="16" a="1"/>
  <c r="C102" i="16" s="1"/>
  <c r="F103" i="24" s="1"/>
  <c r="E104" i="16" a="1"/>
  <c r="E104" i="16" s="1"/>
  <c r="D107" i="16" a="1"/>
  <c r="D107" i="16" s="1"/>
  <c r="G108" i="24" s="1"/>
  <c r="C110" i="16" a="1"/>
  <c r="C110" i="16" s="1"/>
  <c r="F111" i="24" s="1"/>
  <c r="E112" i="16" a="1"/>
  <c r="E112" i="16" s="1"/>
  <c r="D115" i="16" a="1"/>
  <c r="D115" i="16" s="1"/>
  <c r="G116" i="24" s="1"/>
  <c r="C118" i="16" a="1"/>
  <c r="C118" i="16" s="1"/>
  <c r="F119" i="24" s="1"/>
  <c r="E120" i="16" a="1"/>
  <c r="E120" i="16" s="1"/>
  <c r="D7" i="17" a="1"/>
  <c r="D7" i="17" s="1"/>
  <c r="K8" i="24" s="1"/>
  <c r="D12" i="17" a="1"/>
  <c r="D12" i="17" s="1"/>
  <c r="K13" i="24" s="1"/>
  <c r="D17" i="17" a="1"/>
  <c r="D17" i="17" s="1"/>
  <c r="K18" i="24" s="1"/>
  <c r="C20" i="17" a="1"/>
  <c r="C20" i="17" s="1"/>
  <c r="J21" i="24" s="1"/>
  <c r="E22" i="17" a="1"/>
  <c r="E22" i="17" s="1"/>
  <c r="D25" i="17" a="1"/>
  <c r="D25" i="17" s="1"/>
  <c r="K26" i="24" s="1"/>
  <c r="C28" i="17" a="1"/>
  <c r="C28" i="17" s="1"/>
  <c r="J29" i="24" s="1"/>
  <c r="C30" i="17" a="1"/>
  <c r="C30" i="17" s="1"/>
  <c r="J31" i="24" s="1"/>
  <c r="C32" i="17" a="1"/>
  <c r="C32" i="17" s="1"/>
  <c r="J33" i="24" s="1"/>
  <c r="B245" i="19" a="1"/>
  <c r="B245" i="19" s="1"/>
  <c r="E133" i="15" a="1"/>
  <c r="E133" i="15" s="1"/>
  <c r="E147" i="15" a="1"/>
  <c r="E147" i="15" s="1"/>
  <c r="D160" i="15" a="1"/>
  <c r="D160" i="15" s="1"/>
  <c r="C161" i="24" s="1"/>
  <c r="D174" i="15" a="1"/>
  <c r="D174" i="15" s="1"/>
  <c r="C175" i="24" s="1"/>
  <c r="D190" i="15" a="1"/>
  <c r="D190" i="15" s="1"/>
  <c r="C191" i="24" s="1"/>
  <c r="E204" i="15" a="1"/>
  <c r="E204" i="15" s="1"/>
  <c r="D216" i="15" a="1"/>
  <c r="D216" i="15" s="1"/>
  <c r="C217" i="24" s="1"/>
  <c r="B228" i="15" a="1"/>
  <c r="B228" i="15" s="1"/>
  <c r="B238" i="15" a="1"/>
  <c r="B238" i="15" s="1"/>
  <c r="D242" i="15" a="1"/>
  <c r="D242" i="15" s="1"/>
  <c r="C243" i="24" s="1"/>
  <c r="E244" i="15" a="1"/>
  <c r="E244" i="15" s="1"/>
  <c r="D248" i="15" a="1"/>
  <c r="D248" i="15" s="1"/>
  <c r="C249" i="24" s="1"/>
  <c r="E249" i="15" a="1"/>
  <c r="E249" i="15" s="1"/>
  <c r="E252" i="15" a="1"/>
  <c r="E252" i="15" s="1"/>
  <c r="C254" i="15" a="1"/>
  <c r="C254" i="15" s="1"/>
  <c r="B255" i="24" s="1"/>
  <c r="D255" i="15" a="1"/>
  <c r="D255" i="15" s="1"/>
  <c r="C256" i="24" s="1"/>
  <c r="B257" i="15" a="1"/>
  <c r="B257" i="15" s="1"/>
  <c r="B260" i="15" a="1"/>
  <c r="B260" i="15" s="1"/>
  <c r="C261" i="15" a="1"/>
  <c r="C261" i="15" s="1"/>
  <c r="B262" i="24" s="1"/>
  <c r="D264" i="15" a="1"/>
  <c r="D264" i="15" s="1"/>
  <c r="C265" i="24" s="1"/>
  <c r="E265" i="15" a="1"/>
  <c r="E265" i="15" s="1"/>
  <c r="E268" i="15" a="1"/>
  <c r="E268" i="15" s="1"/>
  <c r="C270" i="15" a="1"/>
  <c r="C270" i="15" s="1"/>
  <c r="B271" i="24" s="1"/>
  <c r="D271" i="15" a="1"/>
  <c r="D271" i="15" s="1"/>
  <c r="C272" i="24" s="1"/>
  <c r="C7" i="16" a="1"/>
  <c r="C7" i="16" s="1"/>
  <c r="F8" i="24" s="1"/>
  <c r="E9" i="16" a="1"/>
  <c r="E9" i="16" s="1"/>
  <c r="D12" i="16" a="1"/>
  <c r="D12" i="16" s="1"/>
  <c r="G13" i="24" s="1"/>
  <c r="C15" i="16" a="1"/>
  <c r="C15" i="16" s="1"/>
  <c r="F16" i="24" s="1"/>
  <c r="E17" i="16" a="1"/>
  <c r="E17" i="16" s="1"/>
  <c r="D20" i="16" a="1"/>
  <c r="D20" i="16" s="1"/>
  <c r="G21" i="24" s="1"/>
  <c r="C23" i="16" a="1"/>
  <c r="C23" i="16" s="1"/>
  <c r="F24" i="24" s="1"/>
  <c r="E25" i="16" a="1"/>
  <c r="E25" i="16" s="1"/>
  <c r="D28" i="16" a="1"/>
  <c r="D28" i="16" s="1"/>
  <c r="G29" i="24" s="1"/>
  <c r="C31" i="16" a="1"/>
  <c r="C31" i="16" s="1"/>
  <c r="F32" i="24" s="1"/>
  <c r="E33" i="16" a="1"/>
  <c r="E33" i="16" s="1"/>
  <c r="D36" i="16" a="1"/>
  <c r="D36" i="16" s="1"/>
  <c r="G37" i="24" s="1"/>
  <c r="C39" i="16" a="1"/>
  <c r="C39" i="16" s="1"/>
  <c r="F40" i="24" s="1"/>
  <c r="E41" i="16" a="1"/>
  <c r="E41" i="16" s="1"/>
  <c r="D44" i="16" a="1"/>
  <c r="D44" i="16" s="1"/>
  <c r="G45" i="24" s="1"/>
  <c r="C47" i="16" a="1"/>
  <c r="C47" i="16" s="1"/>
  <c r="F48" i="24" s="1"/>
  <c r="E49" i="16" a="1"/>
  <c r="E49" i="16" s="1"/>
  <c r="D52" i="16" a="1"/>
  <c r="D52" i="16" s="1"/>
  <c r="G53" i="24" s="1"/>
  <c r="C55" i="16" a="1"/>
  <c r="C55" i="16" s="1"/>
  <c r="F56" i="24" s="1"/>
  <c r="E57" i="16" a="1"/>
  <c r="E57" i="16" s="1"/>
  <c r="D60" i="16" a="1"/>
  <c r="D60" i="16" s="1"/>
  <c r="G61" i="24" s="1"/>
  <c r="C63" i="16" a="1"/>
  <c r="C63" i="16" s="1"/>
  <c r="F64" i="24" s="1"/>
  <c r="E65" i="16" a="1"/>
  <c r="E65" i="16" s="1"/>
  <c r="D68" i="16" a="1"/>
  <c r="D68" i="16" s="1"/>
  <c r="G69" i="24" s="1"/>
  <c r="C71" i="16" a="1"/>
  <c r="C71" i="16" s="1"/>
  <c r="F72" i="24" s="1"/>
  <c r="E73" i="16" a="1"/>
  <c r="E73" i="16" s="1"/>
  <c r="D76" i="16" a="1"/>
  <c r="D76" i="16" s="1"/>
  <c r="G77" i="24" s="1"/>
  <c r="C79" i="16" a="1"/>
  <c r="C79" i="16" s="1"/>
  <c r="F80" i="24" s="1"/>
  <c r="E81" i="16" a="1"/>
  <c r="E81" i="16" s="1"/>
  <c r="D84" i="16" a="1"/>
  <c r="D84" i="16" s="1"/>
  <c r="G85" i="24" s="1"/>
  <c r="E86" i="16" a="1"/>
  <c r="E86" i="16" s="1"/>
  <c r="D89" i="16" a="1"/>
  <c r="D89" i="16" s="1"/>
  <c r="G90" i="24" s="1"/>
  <c r="E91" i="16" a="1"/>
  <c r="E91" i="16" s="1"/>
  <c r="D94" i="16" a="1"/>
  <c r="D94" i="16" s="1"/>
  <c r="G95" i="24" s="1"/>
  <c r="C97" i="16" a="1"/>
  <c r="C97" i="16" s="1"/>
  <c r="F98" i="24" s="1"/>
  <c r="E99" i="16" a="1"/>
  <c r="E99" i="16" s="1"/>
  <c r="D102" i="16" a="1"/>
  <c r="D102" i="16" s="1"/>
  <c r="G103" i="24" s="1"/>
  <c r="C105" i="16" a="1"/>
  <c r="C105" i="16" s="1"/>
  <c r="F106" i="24" s="1"/>
  <c r="E107" i="16" a="1"/>
  <c r="E107" i="16" s="1"/>
  <c r="D110" i="16" a="1"/>
  <c r="D110" i="16" s="1"/>
  <c r="G111" i="24" s="1"/>
  <c r="C113" i="16" a="1"/>
  <c r="C113" i="16" s="1"/>
  <c r="F114" i="24" s="1"/>
  <c r="E115" i="16" a="1"/>
  <c r="E115" i="16" s="1"/>
  <c r="D118" i="16" a="1"/>
  <c r="D118" i="16" s="1"/>
  <c r="G119" i="24" s="1"/>
  <c r="C5" i="17" a="1"/>
  <c r="C5" i="17" s="1"/>
  <c r="J6" i="24" s="1"/>
  <c r="E7" i="17" a="1"/>
  <c r="E7" i="17" s="1"/>
  <c r="C10" i="17" a="1"/>
  <c r="C10" i="17" s="1"/>
  <c r="J11" i="24" s="1"/>
  <c r="E12" i="17" a="1"/>
  <c r="E12" i="17" s="1"/>
  <c r="C15" i="17" a="1"/>
  <c r="C15" i="17" s="1"/>
  <c r="J16" i="24" s="1"/>
  <c r="E17" i="17" a="1"/>
  <c r="E17" i="17" s="1"/>
  <c r="D20" i="17" a="1"/>
  <c r="D20" i="17" s="1"/>
  <c r="K21" i="24" s="1"/>
  <c r="C23" i="17" a="1"/>
  <c r="C23" i="17" s="1"/>
  <c r="J24" i="24" s="1"/>
  <c r="B243" i="18" a="1"/>
  <c r="B243" i="18" s="1"/>
  <c r="C136" i="15" a="1"/>
  <c r="C136" i="15" s="1"/>
  <c r="B137" i="24" s="1"/>
  <c r="D149" i="15" a="1"/>
  <c r="D149" i="15" s="1"/>
  <c r="C150" i="24" s="1"/>
  <c r="E161" i="15" a="1"/>
  <c r="E161" i="15" s="1"/>
  <c r="D176" i="15" a="1"/>
  <c r="D176" i="15" s="1"/>
  <c r="C177" i="24" s="1"/>
  <c r="D192" i="15" a="1"/>
  <c r="D192" i="15" s="1"/>
  <c r="C193" i="24" s="1"/>
  <c r="C206" i="15" a="1"/>
  <c r="C206" i="15" s="1"/>
  <c r="B207" i="24" s="1"/>
  <c r="E217" i="15" a="1"/>
  <c r="E217" i="15" s="1"/>
  <c r="C229" i="15" a="1"/>
  <c r="C229" i="15" s="1"/>
  <c r="B230" i="24" s="1"/>
  <c r="C238" i="15" a="1"/>
  <c r="C238" i="15" s="1"/>
  <c r="B239" i="24" s="1"/>
  <c r="B247" i="15" a="1"/>
  <c r="B247" i="15" s="1"/>
  <c r="B250" i="15" a="1"/>
  <c r="B250" i="15" s="1"/>
  <c r="C251" i="15" a="1"/>
  <c r="C251" i="15" s="1"/>
  <c r="B252" i="24" s="1"/>
  <c r="D254" i="15" a="1"/>
  <c r="D254" i="15" s="1"/>
  <c r="C255" i="24" s="1"/>
  <c r="E255" i="15" a="1"/>
  <c r="E255" i="15" s="1"/>
  <c r="E258" i="15" a="1"/>
  <c r="E258" i="15" s="1"/>
  <c r="C260" i="15" a="1"/>
  <c r="C260" i="15" s="1"/>
  <c r="B261" i="24" s="1"/>
  <c r="D261" i="15" a="1"/>
  <c r="D261" i="15" s="1"/>
  <c r="C262" i="24" s="1"/>
  <c r="B263" i="15" a="1"/>
  <c r="B263" i="15" s="1"/>
  <c r="B266" i="15" a="1"/>
  <c r="B266" i="15" s="1"/>
  <c r="C267" i="15" a="1"/>
  <c r="C267" i="15" s="1"/>
  <c r="B268" i="24" s="1"/>
  <c r="D270" i="15" a="1"/>
  <c r="D270" i="15" s="1"/>
  <c r="C271" i="24" s="1"/>
  <c r="E271" i="15" a="1"/>
  <c r="E271" i="15" s="1"/>
  <c r="D7" i="16" a="1"/>
  <c r="D7" i="16" s="1"/>
  <c r="G8" i="24" s="1"/>
  <c r="C10" i="16" a="1"/>
  <c r="C10" i="16" s="1"/>
  <c r="F11" i="24" s="1"/>
  <c r="E12" i="16" a="1"/>
  <c r="E12" i="16" s="1"/>
  <c r="D15" i="16" a="1"/>
  <c r="D15" i="16" s="1"/>
  <c r="G16" i="24" s="1"/>
  <c r="C18" i="16" a="1"/>
  <c r="C18" i="16" s="1"/>
  <c r="F19" i="24" s="1"/>
  <c r="E20" i="16" a="1"/>
  <c r="E20" i="16" s="1"/>
  <c r="D23" i="16" a="1"/>
  <c r="D23" i="16" s="1"/>
  <c r="G24" i="24" s="1"/>
  <c r="C26" i="16" a="1"/>
  <c r="C26" i="16" s="1"/>
  <c r="F27" i="24" s="1"/>
  <c r="E28" i="16" a="1"/>
  <c r="E28" i="16" s="1"/>
  <c r="D31" i="16" a="1"/>
  <c r="D31" i="16" s="1"/>
  <c r="G32" i="24" s="1"/>
  <c r="C34" i="16" a="1"/>
  <c r="C34" i="16" s="1"/>
  <c r="F35" i="24" s="1"/>
  <c r="E36" i="16" a="1"/>
  <c r="E36" i="16" s="1"/>
  <c r="D39" i="16" a="1"/>
  <c r="D39" i="16" s="1"/>
  <c r="G40" i="24" s="1"/>
  <c r="C42" i="16" a="1"/>
  <c r="C42" i="16" s="1"/>
  <c r="F43" i="24" s="1"/>
  <c r="E44" i="16" a="1"/>
  <c r="E44" i="16" s="1"/>
  <c r="D47" i="16" a="1"/>
  <c r="D47" i="16" s="1"/>
  <c r="G48" i="24" s="1"/>
  <c r="C50" i="16" a="1"/>
  <c r="C50" i="16" s="1"/>
  <c r="F51" i="24" s="1"/>
  <c r="E52" i="16" a="1"/>
  <c r="E52" i="16" s="1"/>
  <c r="D55" i="16" a="1"/>
  <c r="D55" i="16" s="1"/>
  <c r="G56" i="24" s="1"/>
  <c r="C58" i="16" a="1"/>
  <c r="C58" i="16" s="1"/>
  <c r="F59" i="24" s="1"/>
  <c r="E60" i="16" a="1"/>
  <c r="E60" i="16" s="1"/>
  <c r="D63" i="16" a="1"/>
  <c r="D63" i="16" s="1"/>
  <c r="G64" i="24" s="1"/>
  <c r="C66" i="16" a="1"/>
  <c r="C66" i="16" s="1"/>
  <c r="F67" i="24" s="1"/>
  <c r="E68" i="16" a="1"/>
  <c r="E68" i="16" s="1"/>
  <c r="D71" i="16" a="1"/>
  <c r="D71" i="16" s="1"/>
  <c r="G72" i="24" s="1"/>
  <c r="C74" i="16" a="1"/>
  <c r="C74" i="16" s="1"/>
  <c r="F75" i="24" s="1"/>
  <c r="E76" i="16" a="1"/>
  <c r="E76" i="16" s="1"/>
  <c r="D79" i="16" a="1"/>
  <c r="D79" i="16" s="1"/>
  <c r="G80" i="24" s="1"/>
  <c r="C82" i="16" a="1"/>
  <c r="C82" i="16" s="1"/>
  <c r="F83" i="24" s="1"/>
  <c r="C87" i="16" a="1"/>
  <c r="C87" i="16" s="1"/>
  <c r="F88" i="24" s="1"/>
  <c r="E89" i="16" a="1"/>
  <c r="E89" i="16" s="1"/>
  <c r="C92" i="16" a="1"/>
  <c r="C92" i="16" s="1"/>
  <c r="F93" i="24" s="1"/>
  <c r="E94" i="16" a="1"/>
  <c r="E94" i="16" s="1"/>
  <c r="D97" i="16" a="1"/>
  <c r="D97" i="16" s="1"/>
  <c r="G98" i="24" s="1"/>
  <c r="C100" i="16" a="1"/>
  <c r="C100" i="16" s="1"/>
  <c r="F101" i="24" s="1"/>
  <c r="E102" i="16" a="1"/>
  <c r="E102" i="16" s="1"/>
  <c r="D105" i="16" a="1"/>
  <c r="D105" i="16" s="1"/>
  <c r="G106" i="24" s="1"/>
  <c r="C108" i="16" a="1"/>
  <c r="C108" i="16" s="1"/>
  <c r="F109" i="24" s="1"/>
  <c r="E110" i="16" a="1"/>
  <c r="E110" i="16" s="1"/>
  <c r="D113" i="16" a="1"/>
  <c r="D113" i="16" s="1"/>
  <c r="G114" i="24" s="1"/>
  <c r="C116" i="16" a="1"/>
  <c r="C116" i="16" s="1"/>
  <c r="F117" i="24" s="1"/>
  <c r="E118" i="16" a="1"/>
  <c r="E118" i="16" s="1"/>
  <c r="D5" i="17" a="1"/>
  <c r="D5" i="17" s="1"/>
  <c r="K6" i="24" s="1"/>
  <c r="C8" i="17" a="1"/>
  <c r="C8" i="17" s="1"/>
  <c r="J9" i="24" s="1"/>
  <c r="D10" i="17" a="1"/>
  <c r="D10" i="17" s="1"/>
  <c r="K11" i="24" s="1"/>
  <c r="C13" i="17" a="1"/>
  <c r="C13" i="17" s="1"/>
  <c r="J14" i="24" s="1"/>
  <c r="D15" i="17" a="1"/>
  <c r="D15" i="17" s="1"/>
  <c r="K16" i="24" s="1"/>
  <c r="C18" i="17" a="1"/>
  <c r="C18" i="17" s="1"/>
  <c r="J19" i="24" s="1"/>
  <c r="E20" i="17" a="1"/>
  <c r="E20" i="17" s="1"/>
  <c r="D23" i="17" a="1"/>
  <c r="D23" i="17" s="1"/>
  <c r="K24" i="24" s="1"/>
  <c r="C26" i="17" a="1"/>
  <c r="C26" i="17" s="1"/>
  <c r="J27" i="24" s="1"/>
  <c r="D28" i="17" a="1"/>
  <c r="D28" i="17" s="1"/>
  <c r="K29" i="24" s="1"/>
  <c r="E30" i="17" a="1"/>
  <c r="E30" i="17" s="1"/>
  <c r="E32" i="17" a="1"/>
  <c r="E32" i="17" s="1"/>
  <c r="D166" i="19" a="1"/>
  <c r="D166" i="19" s="1"/>
  <c r="Q167" i="24" s="1"/>
  <c r="D257" i="19" a="1"/>
  <c r="D257" i="19" s="1"/>
  <c r="Q258" i="24" s="1"/>
  <c r="E137" i="15" a="1"/>
  <c r="E137" i="15" s="1"/>
  <c r="B151" i="15" a="1"/>
  <c r="B151" i="15" s="1"/>
  <c r="D178" i="15" a="1"/>
  <c r="D178" i="15" s="1"/>
  <c r="C179" i="24" s="1"/>
  <c r="D194" i="15" a="1"/>
  <c r="D194" i="15" s="1"/>
  <c r="C195" i="24" s="1"/>
  <c r="D207" i="15" a="1"/>
  <c r="D207" i="15" s="1"/>
  <c r="C208" i="24" s="1"/>
  <c r="C239" i="15" a="1"/>
  <c r="C239" i="15" s="1"/>
  <c r="B240" i="24" s="1"/>
  <c r="C245" i="15" a="1"/>
  <c r="C245" i="15" s="1"/>
  <c r="B246" i="24" s="1"/>
  <c r="E248" i="15" a="1"/>
  <c r="E248" i="15" s="1"/>
  <c r="C250" i="15" a="1"/>
  <c r="C250" i="15" s="1"/>
  <c r="B251" i="24" s="1"/>
  <c r="D251" i="15" a="1"/>
  <c r="D251" i="15" s="1"/>
  <c r="C252" i="24" s="1"/>
  <c r="B253" i="15" a="1"/>
  <c r="B253" i="15" s="1"/>
  <c r="B256" i="15" a="1"/>
  <c r="B256" i="15" s="1"/>
  <c r="C257" i="15" a="1"/>
  <c r="C257" i="15" s="1"/>
  <c r="B258" i="24" s="1"/>
  <c r="D260" i="15" a="1"/>
  <c r="D260" i="15" s="1"/>
  <c r="C261" i="24" s="1"/>
  <c r="E261" i="15" a="1"/>
  <c r="E261" i="15" s="1"/>
  <c r="E264" i="15" a="1"/>
  <c r="E264" i="15" s="1"/>
  <c r="C266" i="15" a="1"/>
  <c r="C266" i="15" s="1"/>
  <c r="B267" i="24" s="1"/>
  <c r="D267" i="15" a="1"/>
  <c r="D267" i="15" s="1"/>
  <c r="C268" i="24" s="1"/>
  <c r="B269" i="15" a="1"/>
  <c r="B269" i="15" s="1"/>
  <c r="C5" i="16" a="1"/>
  <c r="C5" i="16" s="1"/>
  <c r="F6" i="24" s="1"/>
  <c r="E7" i="16" a="1"/>
  <c r="E7" i="16" s="1"/>
  <c r="D10" i="16" a="1"/>
  <c r="D10" i="16" s="1"/>
  <c r="G11" i="24" s="1"/>
  <c r="C13" i="16" a="1"/>
  <c r="C13" i="16" s="1"/>
  <c r="F14" i="24" s="1"/>
  <c r="E15" i="16" a="1"/>
  <c r="E15" i="16" s="1"/>
  <c r="D18" i="16" a="1"/>
  <c r="D18" i="16" s="1"/>
  <c r="G19" i="24" s="1"/>
  <c r="C21" i="16" a="1"/>
  <c r="C21" i="16" s="1"/>
  <c r="F22" i="24" s="1"/>
  <c r="E23" i="16" a="1"/>
  <c r="E23" i="16" s="1"/>
  <c r="D26" i="16" a="1"/>
  <c r="D26" i="16" s="1"/>
  <c r="G27" i="24" s="1"/>
  <c r="C29" i="16" a="1"/>
  <c r="C29" i="16" s="1"/>
  <c r="F30" i="24" s="1"/>
  <c r="E31" i="16" a="1"/>
  <c r="E31" i="16" s="1"/>
  <c r="D34" i="16" a="1"/>
  <c r="D34" i="16" s="1"/>
  <c r="G35" i="24" s="1"/>
  <c r="C37" i="16" a="1"/>
  <c r="C37" i="16" s="1"/>
  <c r="F38" i="24" s="1"/>
  <c r="E39" i="16" a="1"/>
  <c r="E39" i="16" s="1"/>
  <c r="D42" i="16" a="1"/>
  <c r="D42" i="16" s="1"/>
  <c r="G43" i="24" s="1"/>
  <c r="C45" i="16" a="1"/>
  <c r="C45" i="16" s="1"/>
  <c r="F46" i="24" s="1"/>
  <c r="E47" i="16" a="1"/>
  <c r="E47" i="16" s="1"/>
  <c r="D50" i="16" a="1"/>
  <c r="D50" i="16" s="1"/>
  <c r="G51" i="24" s="1"/>
  <c r="C53" i="16" a="1"/>
  <c r="C53" i="16" s="1"/>
  <c r="F54" i="24" s="1"/>
  <c r="E55" i="16" a="1"/>
  <c r="E55" i="16" s="1"/>
  <c r="D58" i="16" a="1"/>
  <c r="D58" i="16" s="1"/>
  <c r="G59" i="24" s="1"/>
  <c r="C61" i="16" a="1"/>
  <c r="C61" i="16" s="1"/>
  <c r="F62" i="24" s="1"/>
  <c r="E63" i="16" a="1"/>
  <c r="E63" i="16" s="1"/>
  <c r="D66" i="16" a="1"/>
  <c r="D66" i="16" s="1"/>
  <c r="G67" i="24" s="1"/>
  <c r="C69" i="16" a="1"/>
  <c r="C69" i="16" s="1"/>
  <c r="F70" i="24" s="1"/>
  <c r="E71" i="16" a="1"/>
  <c r="E71" i="16" s="1"/>
  <c r="D74" i="16" a="1"/>
  <c r="D74" i="16" s="1"/>
  <c r="G75" i="24" s="1"/>
  <c r="C77" i="16" a="1"/>
  <c r="C77" i="16" s="1"/>
  <c r="F78" i="24" s="1"/>
  <c r="E79" i="16" a="1"/>
  <c r="E79" i="16" s="1"/>
  <c r="D82" i="16" a="1"/>
  <c r="D82" i="16" s="1"/>
  <c r="G83" i="24" s="1"/>
  <c r="E84" i="16" a="1"/>
  <c r="E84" i="16" s="1"/>
  <c r="D87" i="16" a="1"/>
  <c r="D87" i="16" s="1"/>
  <c r="G88" i="24" s="1"/>
  <c r="C90" i="16" a="1"/>
  <c r="C90" i="16" s="1"/>
  <c r="F91" i="24" s="1"/>
  <c r="D92" i="16" a="1"/>
  <c r="D92" i="16" s="1"/>
  <c r="G93" i="24" s="1"/>
  <c r="C95" i="16" a="1"/>
  <c r="C95" i="16" s="1"/>
  <c r="F96" i="24" s="1"/>
  <c r="E97" i="16" a="1"/>
  <c r="E97" i="16" s="1"/>
  <c r="D100" i="16" a="1"/>
  <c r="D100" i="16" s="1"/>
  <c r="G101" i="24" s="1"/>
  <c r="C103" i="16" a="1"/>
  <c r="C103" i="16" s="1"/>
  <c r="F104" i="24" s="1"/>
  <c r="E105" i="16" a="1"/>
  <c r="E105" i="16" s="1"/>
  <c r="D108" i="16" a="1"/>
  <c r="D108" i="16" s="1"/>
  <c r="G109" i="24" s="1"/>
  <c r="C111" i="16" a="1"/>
  <c r="C111" i="16" s="1"/>
  <c r="F112" i="24" s="1"/>
  <c r="E113" i="16" a="1"/>
  <c r="E113" i="16" s="1"/>
  <c r="D116" i="16" a="1"/>
  <c r="D116" i="16" s="1"/>
  <c r="G117" i="24" s="1"/>
  <c r="C119" i="16" a="1"/>
  <c r="C119" i="16" s="1"/>
  <c r="F120" i="24" s="1"/>
  <c r="E5" i="17" a="1"/>
  <c r="E5" i="17" s="1"/>
  <c r="D8" i="17" a="1"/>
  <c r="D8" i="17" s="1"/>
  <c r="K9" i="24" s="1"/>
  <c r="E10" i="17" a="1"/>
  <c r="E10" i="17" s="1"/>
  <c r="D13" i="17" a="1"/>
  <c r="D13" i="17" s="1"/>
  <c r="K14" i="24" s="1"/>
  <c r="E15" i="17" a="1"/>
  <c r="E15" i="17" s="1"/>
  <c r="D18" i="17" a="1"/>
  <c r="D18" i="17" s="1"/>
  <c r="K19" i="24" s="1"/>
  <c r="C21" i="17" a="1"/>
  <c r="C21" i="17" s="1"/>
  <c r="J22" i="24" s="1"/>
  <c r="E23" i="17" a="1"/>
  <c r="E23" i="17" s="1"/>
  <c r="D26" i="17" a="1"/>
  <c r="D26" i="17" s="1"/>
  <c r="K27" i="24" s="1"/>
  <c r="C33" i="17" a="1"/>
  <c r="C33" i="17" s="1"/>
  <c r="J34" i="24" s="1"/>
  <c r="E35" i="17" a="1"/>
  <c r="E35" i="17" s="1"/>
  <c r="D38" i="17" a="1"/>
  <c r="D38" i="17" s="1"/>
  <c r="K39" i="24" s="1"/>
  <c r="C41" i="17" a="1"/>
  <c r="C41" i="17" s="1"/>
  <c r="J42" i="24" s="1"/>
  <c r="B181" i="19" a="1"/>
  <c r="B181" i="19" s="1"/>
  <c r="E263" i="19" a="1"/>
  <c r="E263" i="19" s="1"/>
  <c r="E139" i="15" a="1"/>
  <c r="E139" i="15" s="1"/>
  <c r="C165" i="15" a="1"/>
  <c r="C165" i="15" s="1"/>
  <c r="B166" i="24" s="1"/>
  <c r="D180" i="15" a="1"/>
  <c r="D180" i="15" s="1"/>
  <c r="C181" i="24" s="1"/>
  <c r="D196" i="15" a="1"/>
  <c r="D196" i="15" s="1"/>
  <c r="C197" i="24" s="1"/>
  <c r="B209" i="15" a="1"/>
  <c r="B209" i="15" s="1"/>
  <c r="E220" i="15" a="1"/>
  <c r="E220" i="15" s="1"/>
  <c r="D232" i="15" a="1"/>
  <c r="D232" i="15" s="1"/>
  <c r="C233" i="24" s="1"/>
  <c r="D239" i="15" a="1"/>
  <c r="D239" i="15" s="1"/>
  <c r="C240" i="24" s="1"/>
  <c r="D245" i="15" a="1"/>
  <c r="D245" i="15" s="1"/>
  <c r="C246" i="24" s="1"/>
  <c r="C247" i="15" a="1"/>
  <c r="C247" i="15" s="1"/>
  <c r="B248" i="24" s="1"/>
  <c r="D250" i="15" a="1"/>
  <c r="D250" i="15" s="1"/>
  <c r="C251" i="24" s="1"/>
  <c r="E251" i="15" a="1"/>
  <c r="E251" i="15" s="1"/>
  <c r="E254" i="15" a="1"/>
  <c r="E254" i="15" s="1"/>
  <c r="C256" i="15" a="1"/>
  <c r="C256" i="15" s="1"/>
  <c r="B257" i="24" s="1"/>
  <c r="D257" i="15" a="1"/>
  <c r="D257" i="15" s="1"/>
  <c r="C258" i="24" s="1"/>
  <c r="B259" i="15" a="1"/>
  <c r="B259" i="15" s="1"/>
  <c r="B262" i="15" a="1"/>
  <c r="B262" i="15" s="1"/>
  <c r="C263" i="15" a="1"/>
  <c r="C263" i="15" s="1"/>
  <c r="B264" i="24" s="1"/>
  <c r="D266" i="15" a="1"/>
  <c r="D266" i="15" s="1"/>
  <c r="C267" i="24" s="1"/>
  <c r="E267" i="15" a="1"/>
  <c r="E267" i="15" s="1"/>
  <c r="E270" i="15" a="1"/>
  <c r="E270" i="15" s="1"/>
  <c r="D5" i="16" a="1"/>
  <c r="D5" i="16" s="1"/>
  <c r="G6" i="24" s="1"/>
  <c r="C8" i="16" a="1"/>
  <c r="C8" i="16" s="1"/>
  <c r="F9" i="24" s="1"/>
  <c r="E10" i="16" a="1"/>
  <c r="E10" i="16" s="1"/>
  <c r="D13" i="16" a="1"/>
  <c r="D13" i="16" s="1"/>
  <c r="G14" i="24" s="1"/>
  <c r="C16" i="16" a="1"/>
  <c r="C16" i="16" s="1"/>
  <c r="F17" i="24" s="1"/>
  <c r="E18" i="16" a="1"/>
  <c r="E18" i="16" s="1"/>
  <c r="D21" i="16" a="1"/>
  <c r="D21" i="16" s="1"/>
  <c r="G22" i="24" s="1"/>
  <c r="C24" i="16" a="1"/>
  <c r="C24" i="16" s="1"/>
  <c r="F25" i="24" s="1"/>
  <c r="E26" i="16" a="1"/>
  <c r="E26" i="16" s="1"/>
  <c r="D29" i="16" a="1"/>
  <c r="D29" i="16" s="1"/>
  <c r="G30" i="24" s="1"/>
  <c r="C32" i="16" a="1"/>
  <c r="C32" i="16" s="1"/>
  <c r="F33" i="24" s="1"/>
  <c r="E34" i="16" a="1"/>
  <c r="E34" i="16" s="1"/>
  <c r="D37" i="16" a="1"/>
  <c r="D37" i="16" s="1"/>
  <c r="G38" i="24" s="1"/>
  <c r="C40" i="16" a="1"/>
  <c r="C40" i="16" s="1"/>
  <c r="F41" i="24" s="1"/>
  <c r="E42" i="16" a="1"/>
  <c r="E42" i="16" s="1"/>
  <c r="D45" i="16" a="1"/>
  <c r="D45" i="16" s="1"/>
  <c r="G46" i="24" s="1"/>
  <c r="C48" i="16" a="1"/>
  <c r="C48" i="16" s="1"/>
  <c r="F49" i="24" s="1"/>
  <c r="E50" i="16" a="1"/>
  <c r="E50" i="16" s="1"/>
  <c r="D53" i="16" a="1"/>
  <c r="D53" i="16" s="1"/>
  <c r="G54" i="24" s="1"/>
  <c r="C56" i="16" a="1"/>
  <c r="C56" i="16" s="1"/>
  <c r="F57" i="24" s="1"/>
  <c r="E58" i="16" a="1"/>
  <c r="E58" i="16" s="1"/>
  <c r="D61" i="16" a="1"/>
  <c r="D61" i="16" s="1"/>
  <c r="G62" i="24" s="1"/>
  <c r="C64" i="16" a="1"/>
  <c r="C64" i="16" s="1"/>
  <c r="F65" i="24" s="1"/>
  <c r="E66" i="16" a="1"/>
  <c r="E66" i="16" s="1"/>
  <c r="D69" i="16" a="1"/>
  <c r="D69" i="16" s="1"/>
  <c r="G70" i="24" s="1"/>
  <c r="C72" i="16" a="1"/>
  <c r="C72" i="16" s="1"/>
  <c r="F73" i="24" s="1"/>
  <c r="E74" i="16" a="1"/>
  <c r="E74" i="16" s="1"/>
  <c r="D77" i="16" a="1"/>
  <c r="D77" i="16" s="1"/>
  <c r="G78" i="24" s="1"/>
  <c r="C80" i="16" a="1"/>
  <c r="C80" i="16" s="1"/>
  <c r="F81" i="24" s="1"/>
  <c r="E82" i="16" a="1"/>
  <c r="E82" i="16" s="1"/>
  <c r="C85" i="16" a="1"/>
  <c r="C85" i="16" s="1"/>
  <c r="F86" i="24" s="1"/>
  <c r="E87" i="16" a="1"/>
  <c r="E87" i="16" s="1"/>
  <c r="D90" i="16" a="1"/>
  <c r="D90" i="16" s="1"/>
  <c r="G91" i="24" s="1"/>
  <c r="E92" i="16" a="1"/>
  <c r="E92" i="16" s="1"/>
  <c r="D95" i="16" a="1"/>
  <c r="D95" i="16" s="1"/>
  <c r="G96" i="24" s="1"/>
  <c r="C98" i="16" a="1"/>
  <c r="C98" i="16" s="1"/>
  <c r="F99" i="24" s="1"/>
  <c r="E100" i="16" a="1"/>
  <c r="E100" i="16" s="1"/>
  <c r="D103" i="16" a="1"/>
  <c r="D103" i="16" s="1"/>
  <c r="G104" i="24" s="1"/>
  <c r="C106" i="16" a="1"/>
  <c r="C106" i="16" s="1"/>
  <c r="F107" i="24" s="1"/>
  <c r="E108" i="16" a="1"/>
  <c r="E108" i="16" s="1"/>
  <c r="D111" i="16" a="1"/>
  <c r="D111" i="16" s="1"/>
  <c r="G112" i="24" s="1"/>
  <c r="C114" i="16" a="1"/>
  <c r="C114" i="16" s="1"/>
  <c r="F115" i="24" s="1"/>
  <c r="E116" i="16" a="1"/>
  <c r="E116" i="16" s="1"/>
  <c r="D119" i="16" a="1"/>
  <c r="D119" i="16" s="1"/>
  <c r="G120" i="24" s="1"/>
  <c r="C6" i="17" a="1"/>
  <c r="C6" i="17" s="1"/>
  <c r="J7" i="24" s="1"/>
  <c r="E8" i="17" a="1"/>
  <c r="E8" i="17" s="1"/>
  <c r="C11" i="17" a="1"/>
  <c r="C11" i="17" s="1"/>
  <c r="J12" i="24" s="1"/>
  <c r="E13" i="17" a="1"/>
  <c r="E13" i="17" s="1"/>
  <c r="C16" i="17" a="1"/>
  <c r="C16" i="17" s="1"/>
  <c r="J17" i="24" s="1"/>
  <c r="E18" i="17" a="1"/>
  <c r="E18" i="17" s="1"/>
  <c r="D21" i="17" a="1"/>
  <c r="D21" i="17" s="1"/>
  <c r="K22" i="24" s="1"/>
  <c r="C24" i="17" a="1"/>
  <c r="C24" i="17" s="1"/>
  <c r="J25" i="24" s="1"/>
  <c r="E26" i="17" a="1"/>
  <c r="E26" i="17" s="1"/>
  <c r="C194" i="19" a="1"/>
  <c r="C194" i="19" s="1"/>
  <c r="P195" i="24" s="1"/>
  <c r="D269" i="19" a="1"/>
  <c r="D269" i="19" s="1"/>
  <c r="Q270" i="24" s="1"/>
  <c r="B154" i="15" a="1"/>
  <c r="B154" i="15" s="1"/>
  <c r="B167" i="15" a="1"/>
  <c r="B167" i="15" s="1"/>
  <c r="D182" i="15" a="1"/>
  <c r="D182" i="15" s="1"/>
  <c r="C183" i="24" s="1"/>
  <c r="D198" i="15" a="1"/>
  <c r="D198" i="15" s="1"/>
  <c r="C199" i="24" s="1"/>
  <c r="C222" i="15" a="1"/>
  <c r="C222" i="15" s="1"/>
  <c r="B223" i="24" s="1"/>
  <c r="E233" i="15" a="1"/>
  <c r="E233" i="15" s="1"/>
  <c r="E243" i="15" a="1"/>
  <c r="E243" i="15" s="1"/>
  <c r="E245" i="15" a="1"/>
  <c r="E245" i="15" s="1"/>
  <c r="D247" i="15" a="1"/>
  <c r="D247" i="15" s="1"/>
  <c r="C248" i="24" s="1"/>
  <c r="B249" i="15" a="1"/>
  <c r="B249" i="15" s="1"/>
  <c r="B252" i="15" a="1"/>
  <c r="B252" i="15" s="1"/>
  <c r="C253" i="15" a="1"/>
  <c r="C253" i="15" s="1"/>
  <c r="B254" i="24" s="1"/>
  <c r="D256" i="15" a="1"/>
  <c r="D256" i="15" s="1"/>
  <c r="C257" i="24" s="1"/>
  <c r="E257" i="15" a="1"/>
  <c r="E257" i="15" s="1"/>
  <c r="E260" i="15" a="1"/>
  <c r="E260" i="15" s="1"/>
  <c r="C262" i="15" a="1"/>
  <c r="C262" i="15" s="1"/>
  <c r="B263" i="24" s="1"/>
  <c r="D263" i="15" a="1"/>
  <c r="D263" i="15" s="1"/>
  <c r="C264" i="24" s="1"/>
  <c r="B265" i="15" a="1"/>
  <c r="B265" i="15" s="1"/>
  <c r="B268" i="15" a="1"/>
  <c r="B268" i="15" s="1"/>
  <c r="C269" i="15" a="1"/>
  <c r="C269" i="15" s="1"/>
  <c r="B270" i="24" s="1"/>
  <c r="E5" i="16" a="1"/>
  <c r="E5" i="16" s="1"/>
  <c r="D8" i="16" a="1"/>
  <c r="D8" i="16" s="1"/>
  <c r="G9" i="24" s="1"/>
  <c r="C11" i="16" a="1"/>
  <c r="C11" i="16" s="1"/>
  <c r="F12" i="24" s="1"/>
  <c r="E13" i="16" a="1"/>
  <c r="E13" i="16" s="1"/>
  <c r="D16" i="16" a="1"/>
  <c r="D16" i="16" s="1"/>
  <c r="G17" i="24" s="1"/>
  <c r="C19" i="16" a="1"/>
  <c r="C19" i="16" s="1"/>
  <c r="F20" i="24" s="1"/>
  <c r="E21" i="16" a="1"/>
  <c r="E21" i="16" s="1"/>
  <c r="D24" i="16" a="1"/>
  <c r="D24" i="16" s="1"/>
  <c r="G25" i="24" s="1"/>
  <c r="C27" i="16" a="1"/>
  <c r="C27" i="16" s="1"/>
  <c r="F28" i="24" s="1"/>
  <c r="E29" i="16" a="1"/>
  <c r="E29" i="16" s="1"/>
  <c r="D32" i="16" a="1"/>
  <c r="D32" i="16" s="1"/>
  <c r="G33" i="24" s="1"/>
  <c r="C35" i="16" a="1"/>
  <c r="C35" i="16" s="1"/>
  <c r="F36" i="24" s="1"/>
  <c r="E37" i="16" a="1"/>
  <c r="E37" i="16" s="1"/>
  <c r="D40" i="16" a="1"/>
  <c r="D40" i="16" s="1"/>
  <c r="G41" i="24" s="1"/>
  <c r="C43" i="16" a="1"/>
  <c r="C43" i="16" s="1"/>
  <c r="F44" i="24" s="1"/>
  <c r="E45" i="16" a="1"/>
  <c r="E45" i="16" s="1"/>
  <c r="D48" i="16" a="1"/>
  <c r="D48" i="16" s="1"/>
  <c r="G49" i="24" s="1"/>
  <c r="C51" i="16" a="1"/>
  <c r="C51" i="16" s="1"/>
  <c r="F52" i="24" s="1"/>
  <c r="E53" i="16" a="1"/>
  <c r="E53" i="16" s="1"/>
  <c r="D56" i="16" a="1"/>
  <c r="D56" i="16" s="1"/>
  <c r="G57" i="24" s="1"/>
  <c r="C59" i="16" a="1"/>
  <c r="C59" i="16" s="1"/>
  <c r="F60" i="24" s="1"/>
  <c r="E61" i="16" a="1"/>
  <c r="E61" i="16" s="1"/>
  <c r="D64" i="16" a="1"/>
  <c r="D64" i="16" s="1"/>
  <c r="G65" i="24" s="1"/>
  <c r="C67" i="16" a="1"/>
  <c r="C67" i="16" s="1"/>
  <c r="F68" i="24" s="1"/>
  <c r="E69" i="16" a="1"/>
  <c r="E69" i="16" s="1"/>
  <c r="D72" i="16" a="1"/>
  <c r="D72" i="16" s="1"/>
  <c r="G73" i="24" s="1"/>
  <c r="C75" i="16" a="1"/>
  <c r="C75" i="16" s="1"/>
  <c r="F76" i="24" s="1"/>
  <c r="E77" i="16" a="1"/>
  <c r="E77" i="16" s="1"/>
  <c r="D80" i="16" a="1"/>
  <c r="D80" i="16" s="1"/>
  <c r="G81" i="24" s="1"/>
  <c r="C83" i="16" a="1"/>
  <c r="C83" i="16" s="1"/>
  <c r="F84" i="24" s="1"/>
  <c r="D85" i="16" a="1"/>
  <c r="D85" i="16" s="1"/>
  <c r="G86" i="24" s="1"/>
  <c r="C88" i="16" a="1"/>
  <c r="C88" i="16" s="1"/>
  <c r="F89" i="24" s="1"/>
  <c r="E90" i="16" a="1"/>
  <c r="E90" i="16" s="1"/>
  <c r="C93" i="16" a="1"/>
  <c r="C93" i="16" s="1"/>
  <c r="F94" i="24" s="1"/>
  <c r="E95" i="16" a="1"/>
  <c r="E95" i="16" s="1"/>
  <c r="D98" i="16" a="1"/>
  <c r="D98" i="16" s="1"/>
  <c r="G99" i="24" s="1"/>
  <c r="C101" i="16" a="1"/>
  <c r="C101" i="16" s="1"/>
  <c r="F102" i="24" s="1"/>
  <c r="E103" i="16" a="1"/>
  <c r="E103" i="16" s="1"/>
  <c r="D106" i="16" a="1"/>
  <c r="D106" i="16" s="1"/>
  <c r="G107" i="24" s="1"/>
  <c r="C109" i="16" a="1"/>
  <c r="C109" i="16" s="1"/>
  <c r="F110" i="24" s="1"/>
  <c r="E111" i="16" a="1"/>
  <c r="E111" i="16" s="1"/>
  <c r="D114" i="16" a="1"/>
  <c r="D114" i="16" s="1"/>
  <c r="G115" i="24" s="1"/>
  <c r="C117" i="16" a="1"/>
  <c r="C117" i="16" s="1"/>
  <c r="F118" i="24" s="1"/>
  <c r="E119" i="16" a="1"/>
  <c r="E119" i="16" s="1"/>
  <c r="D6" i="17" a="1"/>
  <c r="D6" i="17" s="1"/>
  <c r="K7" i="24" s="1"/>
  <c r="C9" i="17" a="1"/>
  <c r="C9" i="17" s="1"/>
  <c r="J10" i="24" s="1"/>
  <c r="D11" i="17" a="1"/>
  <c r="D11" i="17" s="1"/>
  <c r="K12" i="24" s="1"/>
  <c r="C14" i="17" a="1"/>
  <c r="C14" i="17" s="1"/>
  <c r="J15" i="24" s="1"/>
  <c r="D16" i="17" a="1"/>
  <c r="D16" i="17" s="1"/>
  <c r="K17" i="24" s="1"/>
  <c r="C19" i="17" a="1"/>
  <c r="C19" i="17" s="1"/>
  <c r="J20" i="24" s="1"/>
  <c r="E21" i="17" a="1"/>
  <c r="E21" i="17" s="1"/>
  <c r="D24" i="17" a="1"/>
  <c r="D24" i="17" s="1"/>
  <c r="K25" i="24" s="1"/>
  <c r="C27" i="17" a="1"/>
  <c r="C27" i="17" s="1"/>
  <c r="J28" i="24" s="1"/>
  <c r="C29" i="17" a="1"/>
  <c r="C29" i="17" s="1"/>
  <c r="J30" i="24" s="1"/>
  <c r="D184" i="15" a="1"/>
  <c r="D184" i="15" s="1"/>
  <c r="C185" i="24" s="1"/>
  <c r="E247" i="15" a="1"/>
  <c r="E247" i="15" s="1"/>
  <c r="C259" i="15" a="1"/>
  <c r="C259" i="15" s="1"/>
  <c r="B260" i="24" s="1"/>
  <c r="B271" i="15" a="1"/>
  <c r="B271" i="15" s="1"/>
  <c r="E24" i="16" a="1"/>
  <c r="E24" i="16" s="1"/>
  <c r="C46" i="16" a="1"/>
  <c r="C46" i="16" s="1"/>
  <c r="F47" i="24" s="1"/>
  <c r="D67" i="16" a="1"/>
  <c r="D67" i="16" s="1"/>
  <c r="G68" i="24" s="1"/>
  <c r="D88" i="16" a="1"/>
  <c r="D88" i="16" s="1"/>
  <c r="G89" i="24" s="1"/>
  <c r="D109" i="16" a="1"/>
  <c r="D109" i="16" s="1"/>
  <c r="G110" i="24" s="1"/>
  <c r="D14" i="17" a="1"/>
  <c r="D14" i="17" s="1"/>
  <c r="K15" i="24" s="1"/>
  <c r="E28" i="17" a="1"/>
  <c r="E28" i="17" s="1"/>
  <c r="D32" i="17" a="1"/>
  <c r="D32" i="17" s="1"/>
  <c r="K33" i="24" s="1"/>
  <c r="C36" i="17" a="1"/>
  <c r="C36" i="17" s="1"/>
  <c r="J37" i="24" s="1"/>
  <c r="C39" i="17" a="1"/>
  <c r="C39" i="17" s="1"/>
  <c r="J40" i="24" s="1"/>
  <c r="C42" i="17" a="1"/>
  <c r="C42" i="17" s="1"/>
  <c r="J43" i="24" s="1"/>
  <c r="D44" i="17" a="1"/>
  <c r="D44" i="17" s="1"/>
  <c r="K45" i="24" s="1"/>
  <c r="C47" i="17" a="1"/>
  <c r="C47" i="17" s="1"/>
  <c r="J48" i="24" s="1"/>
  <c r="E49" i="17" a="1"/>
  <c r="E49" i="17" s="1"/>
  <c r="D52" i="17" a="1"/>
  <c r="D52" i="17" s="1"/>
  <c r="K53" i="24" s="1"/>
  <c r="C55" i="17" a="1"/>
  <c r="C55" i="17" s="1"/>
  <c r="J56" i="24" s="1"/>
  <c r="D57" i="17" a="1"/>
  <c r="D57" i="17" s="1"/>
  <c r="K58" i="24" s="1"/>
  <c r="C60" i="17" a="1"/>
  <c r="C60" i="17" s="1"/>
  <c r="J61" i="24" s="1"/>
  <c r="E62" i="17" a="1"/>
  <c r="E62" i="17" s="1"/>
  <c r="D65" i="17" a="1"/>
  <c r="D65" i="17" s="1"/>
  <c r="K66" i="24" s="1"/>
  <c r="C68" i="17" a="1"/>
  <c r="C68" i="17" s="1"/>
  <c r="J69" i="24" s="1"/>
  <c r="E70" i="17" a="1"/>
  <c r="E70" i="17" s="1"/>
  <c r="D73" i="17" a="1"/>
  <c r="D73" i="17" s="1"/>
  <c r="K74" i="24" s="1"/>
  <c r="C76" i="17" a="1"/>
  <c r="C76" i="17" s="1"/>
  <c r="J77" i="24" s="1"/>
  <c r="D78" i="17" a="1"/>
  <c r="D78" i="17" s="1"/>
  <c r="K79" i="24" s="1"/>
  <c r="E80" i="17" a="1"/>
  <c r="E80" i="17" s="1"/>
  <c r="D83" i="17" a="1"/>
  <c r="D83" i="17" s="1"/>
  <c r="K84" i="24" s="1"/>
  <c r="E85" i="17" a="1"/>
  <c r="E85" i="17" s="1"/>
  <c r="D88" i="17" a="1"/>
  <c r="D88" i="17" s="1"/>
  <c r="K89" i="24" s="1"/>
  <c r="C91" i="17" a="1"/>
  <c r="C91" i="17" s="1"/>
  <c r="J92" i="24" s="1"/>
  <c r="E93" i="17" a="1"/>
  <c r="E93" i="17" s="1"/>
  <c r="E98" i="17" a="1"/>
  <c r="E98" i="17" s="1"/>
  <c r="E100" i="17" a="1"/>
  <c r="E100" i="17" s="1"/>
  <c r="C103" i="17" a="1"/>
  <c r="C103" i="17" s="1"/>
  <c r="J104" i="24" s="1"/>
  <c r="D105" i="17" a="1"/>
  <c r="D105" i="17" s="1"/>
  <c r="K106" i="24" s="1"/>
  <c r="E107" i="17" a="1"/>
  <c r="E107" i="17" s="1"/>
  <c r="C110" i="17" a="1"/>
  <c r="C110" i="17" s="1"/>
  <c r="J111" i="24" s="1"/>
  <c r="E112" i="17" a="1"/>
  <c r="E112" i="17" s="1"/>
  <c r="D115" i="17" a="1"/>
  <c r="D115" i="17" s="1"/>
  <c r="K116" i="24" s="1"/>
  <c r="C6" i="18" a="1"/>
  <c r="C6" i="18" s="1"/>
  <c r="M7" i="24" s="1"/>
  <c r="E8" i="18" a="1"/>
  <c r="E8" i="18" s="1"/>
  <c r="D11" i="18" a="1"/>
  <c r="D11" i="18" s="1"/>
  <c r="N12" i="24" s="1"/>
  <c r="C14" i="18" a="1"/>
  <c r="C14" i="18" s="1"/>
  <c r="M15" i="24" s="1"/>
  <c r="E16" i="18" a="1"/>
  <c r="E16" i="18" s="1"/>
  <c r="D19" i="18" a="1"/>
  <c r="D19" i="18" s="1"/>
  <c r="N20" i="24" s="1"/>
  <c r="C22" i="18" a="1"/>
  <c r="C22" i="18" s="1"/>
  <c r="M23" i="24" s="1"/>
  <c r="E24" i="18" a="1"/>
  <c r="E24" i="18" s="1"/>
  <c r="C27" i="18" a="1"/>
  <c r="C27" i="18" s="1"/>
  <c r="M28" i="24" s="1"/>
  <c r="E29" i="18" a="1"/>
  <c r="E29" i="18" s="1"/>
  <c r="C32" i="18" a="1"/>
  <c r="C32" i="18" s="1"/>
  <c r="M33" i="24" s="1"/>
  <c r="E34" i="18" a="1"/>
  <c r="E34" i="18" s="1"/>
  <c r="D37" i="18" a="1"/>
  <c r="D37" i="18" s="1"/>
  <c r="N38" i="24" s="1"/>
  <c r="C40" i="18" a="1"/>
  <c r="C40" i="18" s="1"/>
  <c r="M41" i="24" s="1"/>
  <c r="E42" i="18" a="1"/>
  <c r="E42" i="18" s="1"/>
  <c r="D45" i="18" a="1"/>
  <c r="D45" i="18" s="1"/>
  <c r="N46" i="24" s="1"/>
  <c r="E47" i="18" a="1"/>
  <c r="E47" i="18" s="1"/>
  <c r="C50" i="18" a="1"/>
  <c r="C50" i="18" s="1"/>
  <c r="M51" i="24" s="1"/>
  <c r="E52" i="18" a="1"/>
  <c r="E52" i="18" s="1"/>
  <c r="D55" i="18" a="1"/>
  <c r="D55" i="18" s="1"/>
  <c r="N56" i="24" s="1"/>
  <c r="C58" i="18" a="1"/>
  <c r="C58" i="18" s="1"/>
  <c r="M59" i="24" s="1"/>
  <c r="D60" i="18" a="1"/>
  <c r="D60" i="18" s="1"/>
  <c r="N61" i="24" s="1"/>
  <c r="D62" i="18" a="1"/>
  <c r="D62" i="18" s="1"/>
  <c r="N63" i="24" s="1"/>
  <c r="C65" i="18" a="1"/>
  <c r="C65" i="18" s="1"/>
  <c r="M66" i="24" s="1"/>
  <c r="E67" i="18" a="1"/>
  <c r="E67" i="18" s="1"/>
  <c r="E69" i="18" a="1"/>
  <c r="E69" i="18" s="1"/>
  <c r="D72" i="18" a="1"/>
  <c r="D72" i="18" s="1"/>
  <c r="N73" i="24" s="1"/>
  <c r="C75" i="18" a="1"/>
  <c r="C75" i="18" s="1"/>
  <c r="M76" i="24" s="1"/>
  <c r="D77" i="18" a="1"/>
  <c r="D77" i="18" s="1"/>
  <c r="N78" i="24" s="1"/>
  <c r="C80" i="18" a="1"/>
  <c r="C80" i="18" s="1"/>
  <c r="M81" i="24" s="1"/>
  <c r="C82" i="18" a="1"/>
  <c r="C82" i="18" s="1"/>
  <c r="M83" i="24" s="1"/>
  <c r="E84" i="18" a="1"/>
  <c r="E84" i="18" s="1"/>
  <c r="D87" i="18" a="1"/>
  <c r="D87" i="18" s="1"/>
  <c r="N88" i="24" s="1"/>
  <c r="D89" i="18" a="1"/>
  <c r="D89" i="18" s="1"/>
  <c r="N90" i="24" s="1"/>
  <c r="C94" i="18" a="1"/>
  <c r="C94" i="18" s="1"/>
  <c r="M95" i="24" s="1"/>
  <c r="D96" i="18" a="1"/>
  <c r="D96" i="18" s="1"/>
  <c r="N97" i="24" s="1"/>
  <c r="C99" i="18" a="1"/>
  <c r="C99" i="18" s="1"/>
  <c r="M100" i="24" s="1"/>
  <c r="E101" i="18" a="1"/>
  <c r="E101" i="18" s="1"/>
  <c r="D200" i="15" a="1"/>
  <c r="D200" i="15" s="1"/>
  <c r="C201" i="24" s="1"/>
  <c r="C6" i="16" a="1"/>
  <c r="C6" i="16" s="1"/>
  <c r="F7" i="24" s="1"/>
  <c r="D27" i="16" a="1"/>
  <c r="D27" i="16" s="1"/>
  <c r="G28" i="24" s="1"/>
  <c r="E48" i="16" a="1"/>
  <c r="E48" i="16" s="1"/>
  <c r="C70" i="16" a="1"/>
  <c r="C70" i="16" s="1"/>
  <c r="F71" i="24" s="1"/>
  <c r="C91" i="16" a="1"/>
  <c r="C91" i="16" s="1"/>
  <c r="F92" i="24" s="1"/>
  <c r="C112" i="16" a="1"/>
  <c r="C112" i="16" s="1"/>
  <c r="F113" i="24" s="1"/>
  <c r="E16" i="17" a="1"/>
  <c r="E16" i="17" s="1"/>
  <c r="D29" i="17" a="1"/>
  <c r="D29" i="17" s="1"/>
  <c r="K30" i="24" s="1"/>
  <c r="D33" i="17" a="1"/>
  <c r="D33" i="17" s="1"/>
  <c r="K34" i="24" s="1"/>
  <c r="D36" i="17" a="1"/>
  <c r="D36" i="17" s="1"/>
  <c r="K37" i="24" s="1"/>
  <c r="D39" i="17" a="1"/>
  <c r="D39" i="17" s="1"/>
  <c r="K40" i="24" s="1"/>
  <c r="D42" i="17" a="1"/>
  <c r="D42" i="17" s="1"/>
  <c r="K43" i="24" s="1"/>
  <c r="E44" i="17" a="1"/>
  <c r="E44" i="17" s="1"/>
  <c r="D47" i="17" a="1"/>
  <c r="D47" i="17" s="1"/>
  <c r="K48" i="24" s="1"/>
  <c r="C50" i="17" a="1"/>
  <c r="C50" i="17" s="1"/>
  <c r="J51" i="24" s="1"/>
  <c r="E52" i="17" a="1"/>
  <c r="E52" i="17" s="1"/>
  <c r="D55" i="17" a="1"/>
  <c r="D55" i="17" s="1"/>
  <c r="K56" i="24" s="1"/>
  <c r="E57" i="17" a="1"/>
  <c r="E57" i="17" s="1"/>
  <c r="D60" i="17" a="1"/>
  <c r="D60" i="17" s="1"/>
  <c r="K61" i="24" s="1"/>
  <c r="C63" i="17" a="1"/>
  <c r="C63" i="17" s="1"/>
  <c r="J64" i="24" s="1"/>
  <c r="E65" i="17" a="1"/>
  <c r="E65" i="17" s="1"/>
  <c r="D68" i="17" a="1"/>
  <c r="D68" i="17" s="1"/>
  <c r="K69" i="24" s="1"/>
  <c r="C71" i="17" a="1"/>
  <c r="C71" i="17" s="1"/>
  <c r="J72" i="24" s="1"/>
  <c r="E73" i="17" a="1"/>
  <c r="E73" i="17" s="1"/>
  <c r="D76" i="17" a="1"/>
  <c r="D76" i="17" s="1"/>
  <c r="K77" i="24" s="1"/>
  <c r="E78" i="17" a="1"/>
  <c r="E78" i="17" s="1"/>
  <c r="C81" i="17" a="1"/>
  <c r="C81" i="17" s="1"/>
  <c r="J82" i="24" s="1"/>
  <c r="E83" i="17" a="1"/>
  <c r="E83" i="17" s="1"/>
  <c r="C86" i="17" a="1"/>
  <c r="C86" i="17" s="1"/>
  <c r="J87" i="24" s="1"/>
  <c r="E88" i="17" a="1"/>
  <c r="E88" i="17" s="1"/>
  <c r="D91" i="17" a="1"/>
  <c r="D91" i="17" s="1"/>
  <c r="K92" i="24" s="1"/>
  <c r="C94" i="17" a="1"/>
  <c r="C94" i="17" s="1"/>
  <c r="J95" i="24" s="1"/>
  <c r="D96" i="17" a="1"/>
  <c r="D96" i="17" s="1"/>
  <c r="K97" i="24" s="1"/>
  <c r="C99" i="17" a="1"/>
  <c r="C99" i="17" s="1"/>
  <c r="J100" i="24" s="1"/>
  <c r="C101" i="17" a="1"/>
  <c r="C101" i="17" s="1"/>
  <c r="J102" i="24" s="1"/>
  <c r="D103" i="17" a="1"/>
  <c r="D103" i="17" s="1"/>
  <c r="K104" i="24" s="1"/>
  <c r="E105" i="17" a="1"/>
  <c r="E105" i="17" s="1"/>
  <c r="C108" i="17" a="1"/>
  <c r="C108" i="17" s="1"/>
  <c r="J109" i="24" s="1"/>
  <c r="D110" i="17" a="1"/>
  <c r="D110" i="17" s="1"/>
  <c r="K111" i="24" s="1"/>
  <c r="C113" i="17" a="1"/>
  <c r="C113" i="17" s="1"/>
  <c r="J114" i="24" s="1"/>
  <c r="E115" i="17" a="1"/>
  <c r="E115" i="17" s="1"/>
  <c r="E117" i="17" a="1"/>
  <c r="E117" i="17" s="1"/>
  <c r="E119" i="17" a="1"/>
  <c r="E119" i="17" s="1"/>
  <c r="D6" i="18" a="1"/>
  <c r="D6" i="18" s="1"/>
  <c r="N7" i="24" s="1"/>
  <c r="C9" i="18" a="1"/>
  <c r="C9" i="18" s="1"/>
  <c r="M10" i="24" s="1"/>
  <c r="E11" i="18" a="1"/>
  <c r="E11" i="18" s="1"/>
  <c r="D14" i="18" a="1"/>
  <c r="D14" i="18" s="1"/>
  <c r="N15" i="24" s="1"/>
  <c r="C17" i="18" a="1"/>
  <c r="C17" i="18" s="1"/>
  <c r="M18" i="24" s="1"/>
  <c r="E19" i="18" a="1"/>
  <c r="E19" i="18" s="1"/>
  <c r="D22" i="18" a="1"/>
  <c r="D22" i="18" s="1"/>
  <c r="N23" i="24" s="1"/>
  <c r="C25" i="18" a="1"/>
  <c r="C25" i="18" s="1"/>
  <c r="M26" i="24" s="1"/>
  <c r="D27" i="18" a="1"/>
  <c r="D27" i="18" s="1"/>
  <c r="N28" i="24" s="1"/>
  <c r="D32" i="18" a="1"/>
  <c r="D32" i="18" s="1"/>
  <c r="N33" i="24" s="1"/>
  <c r="C35" i="18" a="1"/>
  <c r="C35" i="18" s="1"/>
  <c r="M36" i="24" s="1"/>
  <c r="E37" i="18" a="1"/>
  <c r="E37" i="18" s="1"/>
  <c r="D40" i="18" a="1"/>
  <c r="D40" i="18" s="1"/>
  <c r="N41" i="24" s="1"/>
  <c r="C43" i="18" a="1"/>
  <c r="C43" i="18" s="1"/>
  <c r="M44" i="24" s="1"/>
  <c r="E45" i="18" a="1"/>
  <c r="E45" i="18" s="1"/>
  <c r="C48" i="18" a="1"/>
  <c r="C48" i="18" s="1"/>
  <c r="M49" i="24" s="1"/>
  <c r="D50" i="18" a="1"/>
  <c r="D50" i="18" s="1"/>
  <c r="N51" i="24" s="1"/>
  <c r="C53" i="18" a="1"/>
  <c r="C53" i="18" s="1"/>
  <c r="M54" i="24" s="1"/>
  <c r="E55" i="18" a="1"/>
  <c r="E55" i="18" s="1"/>
  <c r="E60" i="18" a="1"/>
  <c r="E60" i="18" s="1"/>
  <c r="E62" i="18" a="1"/>
  <c r="E62" i="18" s="1"/>
  <c r="D65" i="18" a="1"/>
  <c r="D65" i="18" s="1"/>
  <c r="N66" i="24" s="1"/>
  <c r="C68" i="18" a="1"/>
  <c r="C68" i="18" s="1"/>
  <c r="M69" i="24" s="1"/>
  <c r="C70" i="18" a="1"/>
  <c r="C70" i="18" s="1"/>
  <c r="M71" i="24" s="1"/>
  <c r="E72" i="18" a="1"/>
  <c r="E72" i="18" s="1"/>
  <c r="D75" i="18" a="1"/>
  <c r="D75" i="18" s="1"/>
  <c r="N76" i="24" s="1"/>
  <c r="E77" i="18" a="1"/>
  <c r="E77" i="18" s="1"/>
  <c r="D82" i="18" a="1"/>
  <c r="D82" i="18" s="1"/>
  <c r="N83" i="24" s="1"/>
  <c r="C85" i="18" a="1"/>
  <c r="C85" i="18" s="1"/>
  <c r="M86" i="24" s="1"/>
  <c r="E87" i="18" a="1"/>
  <c r="E87" i="18" s="1"/>
  <c r="E89" i="18" a="1"/>
  <c r="E89" i="18" s="1"/>
  <c r="E91" i="18" a="1"/>
  <c r="E91" i="18" s="1"/>
  <c r="D94" i="18" a="1"/>
  <c r="D94" i="18" s="1"/>
  <c r="N95" i="24" s="1"/>
  <c r="E96" i="18" a="1"/>
  <c r="E96" i="18" s="1"/>
  <c r="D99" i="18" a="1"/>
  <c r="D99" i="18" s="1"/>
  <c r="N100" i="24" s="1"/>
  <c r="C102" i="18" a="1"/>
  <c r="C102" i="18" s="1"/>
  <c r="M103" i="24" s="1"/>
  <c r="C104" i="18" a="1"/>
  <c r="C104" i="18" s="1"/>
  <c r="M105" i="24" s="1"/>
  <c r="E106" i="18" a="1"/>
  <c r="E106" i="18" s="1"/>
  <c r="E110" i="18" a="1"/>
  <c r="E110" i="18" s="1"/>
  <c r="B212" i="15" a="1"/>
  <c r="B212" i="15" s="1"/>
  <c r="E250" i="15" a="1"/>
  <c r="E250" i="15" s="1"/>
  <c r="D262" i="15" a="1"/>
  <c r="D262" i="15" s="1"/>
  <c r="C263" i="24" s="1"/>
  <c r="E8" i="16" a="1"/>
  <c r="E8" i="16" s="1"/>
  <c r="C30" i="16" a="1"/>
  <c r="C30" i="16" s="1"/>
  <c r="F31" i="24" s="1"/>
  <c r="D51" i="16" a="1"/>
  <c r="D51" i="16" s="1"/>
  <c r="G52" i="24" s="1"/>
  <c r="E72" i="16" a="1"/>
  <c r="E72" i="16" s="1"/>
  <c r="D93" i="16" a="1"/>
  <c r="D93" i="16" s="1"/>
  <c r="G94" i="24" s="1"/>
  <c r="E114" i="16" a="1"/>
  <c r="E114" i="16" s="1"/>
  <c r="D19" i="17" a="1"/>
  <c r="D19" i="17" s="1"/>
  <c r="K20" i="24" s="1"/>
  <c r="E29" i="17" a="1"/>
  <c r="E29" i="17" s="1"/>
  <c r="E33" i="17" a="1"/>
  <c r="E33" i="17" s="1"/>
  <c r="E36" i="17" a="1"/>
  <c r="E36" i="17" s="1"/>
  <c r="E39" i="17" a="1"/>
  <c r="E39" i="17" s="1"/>
  <c r="E42" i="17" a="1"/>
  <c r="E42" i="17" s="1"/>
  <c r="C45" i="17" a="1"/>
  <c r="C45" i="17" s="1"/>
  <c r="J46" i="24" s="1"/>
  <c r="E47" i="17" a="1"/>
  <c r="E47" i="17" s="1"/>
  <c r="D50" i="17" a="1"/>
  <c r="D50" i="17" s="1"/>
  <c r="K51" i="24" s="1"/>
  <c r="C53" i="17" a="1"/>
  <c r="C53" i="17" s="1"/>
  <c r="J54" i="24" s="1"/>
  <c r="C58" i="17" a="1"/>
  <c r="C58" i="17" s="1"/>
  <c r="J59" i="24" s="1"/>
  <c r="E60" i="17" a="1"/>
  <c r="E60" i="17" s="1"/>
  <c r="D63" i="17" a="1"/>
  <c r="D63" i="17" s="1"/>
  <c r="K64" i="24" s="1"/>
  <c r="C66" i="17" a="1"/>
  <c r="C66" i="17" s="1"/>
  <c r="J67" i="24" s="1"/>
  <c r="E68" i="17" a="1"/>
  <c r="E68" i="17" s="1"/>
  <c r="D71" i="17" a="1"/>
  <c r="D71" i="17" s="1"/>
  <c r="K72" i="24" s="1"/>
  <c r="C74" i="17" a="1"/>
  <c r="C74" i="17" s="1"/>
  <c r="J75" i="24" s="1"/>
  <c r="E76" i="17" a="1"/>
  <c r="E76" i="17" s="1"/>
  <c r="D81" i="17" a="1"/>
  <c r="D81" i="17" s="1"/>
  <c r="K82" i="24" s="1"/>
  <c r="C84" i="17" a="1"/>
  <c r="C84" i="17" s="1"/>
  <c r="J85" i="24" s="1"/>
  <c r="D86" i="17" a="1"/>
  <c r="D86" i="17" s="1"/>
  <c r="K87" i="24" s="1"/>
  <c r="C89" i="17" a="1"/>
  <c r="C89" i="17" s="1"/>
  <c r="J90" i="24" s="1"/>
  <c r="E91" i="17" a="1"/>
  <c r="E91" i="17" s="1"/>
  <c r="D94" i="17" a="1"/>
  <c r="D94" i="17" s="1"/>
  <c r="K95" i="24" s="1"/>
  <c r="E96" i="17" a="1"/>
  <c r="E96" i="17" s="1"/>
  <c r="D99" i="17" a="1"/>
  <c r="D99" i="17" s="1"/>
  <c r="K100" i="24" s="1"/>
  <c r="D101" i="17" a="1"/>
  <c r="D101" i="17" s="1"/>
  <c r="K102" i="24" s="1"/>
  <c r="D108" i="17" a="1"/>
  <c r="D108" i="17" s="1"/>
  <c r="K109" i="24" s="1"/>
  <c r="E110" i="17" a="1"/>
  <c r="E110" i="17" s="1"/>
  <c r="D113" i="17" a="1"/>
  <c r="D113" i="17" s="1"/>
  <c r="K114" i="24" s="1"/>
  <c r="C116" i="17" a="1"/>
  <c r="C116" i="17" s="1"/>
  <c r="J117" i="24" s="1"/>
  <c r="C118" i="17" a="1"/>
  <c r="C118" i="17" s="1"/>
  <c r="J119" i="24" s="1"/>
  <c r="C120" i="17" a="1"/>
  <c r="C120" i="17" s="1"/>
  <c r="J121" i="24" s="1"/>
  <c r="E6" i="18" a="1"/>
  <c r="E6" i="18" s="1"/>
  <c r="D9" i="18" a="1"/>
  <c r="D9" i="18" s="1"/>
  <c r="N10" i="24" s="1"/>
  <c r="C12" i="18" a="1"/>
  <c r="C12" i="18" s="1"/>
  <c r="M13" i="24" s="1"/>
  <c r="E14" i="18" a="1"/>
  <c r="E14" i="18" s="1"/>
  <c r="D17" i="18" a="1"/>
  <c r="D17" i="18" s="1"/>
  <c r="N18" i="24" s="1"/>
  <c r="C20" i="18" a="1"/>
  <c r="C20" i="18" s="1"/>
  <c r="M21" i="24" s="1"/>
  <c r="E22" i="18" a="1"/>
  <c r="E22" i="18" s="1"/>
  <c r="D25" i="18" a="1"/>
  <c r="D25" i="18" s="1"/>
  <c r="N26" i="24" s="1"/>
  <c r="E27" i="18" a="1"/>
  <c r="E27" i="18" s="1"/>
  <c r="C30" i="18" a="1"/>
  <c r="C30" i="18" s="1"/>
  <c r="M31" i="24" s="1"/>
  <c r="E32" i="18" a="1"/>
  <c r="E32" i="18" s="1"/>
  <c r="D35" i="18" a="1"/>
  <c r="D35" i="18" s="1"/>
  <c r="N36" i="24" s="1"/>
  <c r="C38" i="18" a="1"/>
  <c r="C38" i="18" s="1"/>
  <c r="M39" i="24" s="1"/>
  <c r="E40" i="18" a="1"/>
  <c r="E40" i="18" s="1"/>
  <c r="D43" i="18" a="1"/>
  <c r="D43" i="18" s="1"/>
  <c r="N44" i="24" s="1"/>
  <c r="C46" i="18" a="1"/>
  <c r="C46" i="18" s="1"/>
  <c r="M47" i="24" s="1"/>
  <c r="E50" i="18" a="1"/>
  <c r="E50" i="18" s="1"/>
  <c r="D53" i="18" a="1"/>
  <c r="D53" i="18" s="1"/>
  <c r="N54" i="24" s="1"/>
  <c r="C56" i="18" a="1"/>
  <c r="C56" i="18" s="1"/>
  <c r="M57" i="24" s="1"/>
  <c r="D58" i="18" a="1"/>
  <c r="D58" i="18" s="1"/>
  <c r="N59" i="24" s="1"/>
  <c r="C61" i="18" a="1"/>
  <c r="C61" i="18" s="1"/>
  <c r="M62" i="24" s="1"/>
  <c r="C63" i="18" a="1"/>
  <c r="C63" i="18" s="1"/>
  <c r="M64" i="24" s="1"/>
  <c r="E65" i="18" a="1"/>
  <c r="E65" i="18" s="1"/>
  <c r="D68" i="18" a="1"/>
  <c r="D68" i="18" s="1"/>
  <c r="N69" i="24" s="1"/>
  <c r="D70" i="18" a="1"/>
  <c r="D70" i="18" s="1"/>
  <c r="N71" i="24" s="1"/>
  <c r="C73" i="18" a="1"/>
  <c r="C73" i="18" s="1"/>
  <c r="M74" i="24" s="1"/>
  <c r="E75" i="18" a="1"/>
  <c r="E75" i="18" s="1"/>
  <c r="C78" i="18" a="1"/>
  <c r="C78" i="18" s="1"/>
  <c r="M79" i="24" s="1"/>
  <c r="D80" i="18" a="1"/>
  <c r="D80" i="18" s="1"/>
  <c r="N81" i="24" s="1"/>
  <c r="E82" i="18" a="1"/>
  <c r="E82" i="18" s="1"/>
  <c r="D85" i="18" a="1"/>
  <c r="D85" i="18" s="1"/>
  <c r="N86" i="24" s="1"/>
  <c r="C88" i="18" a="1"/>
  <c r="C88" i="18" s="1"/>
  <c r="M89" i="24" s="1"/>
  <c r="C90" i="18" a="1"/>
  <c r="C90" i="18" s="1"/>
  <c r="M91" i="24" s="1"/>
  <c r="C92" i="18" a="1"/>
  <c r="C92" i="18" s="1"/>
  <c r="M93" i="24" s="1"/>
  <c r="C97" i="18" a="1"/>
  <c r="C97" i="18" s="1"/>
  <c r="M98" i="24" s="1"/>
  <c r="E99" i="18" a="1"/>
  <c r="E99" i="18" s="1"/>
  <c r="D104" i="18" a="1"/>
  <c r="D104" i="18" s="1"/>
  <c r="N105" i="24" s="1"/>
  <c r="C107" i="18" a="1"/>
  <c r="C107" i="18" s="1"/>
  <c r="M108" i="24" s="1"/>
  <c r="C109" i="18" a="1"/>
  <c r="C109" i="18" s="1"/>
  <c r="M110" i="24" s="1"/>
  <c r="D208" i="19" a="1"/>
  <c r="D208" i="19" s="1"/>
  <c r="Q209" i="24" s="1"/>
  <c r="D223" i="15" a="1"/>
  <c r="D223" i="15" s="1"/>
  <c r="C224" i="24" s="1"/>
  <c r="C252" i="15" a="1"/>
  <c r="C252" i="15" s="1"/>
  <c r="B253" i="24" s="1"/>
  <c r="E263" i="15" a="1"/>
  <c r="E263" i="15" s="1"/>
  <c r="D11" i="16" a="1"/>
  <c r="D11" i="16" s="1"/>
  <c r="G12" i="24" s="1"/>
  <c r="E32" i="16" a="1"/>
  <c r="E32" i="16" s="1"/>
  <c r="C54" i="16" a="1"/>
  <c r="C54" i="16" s="1"/>
  <c r="F55" i="24" s="1"/>
  <c r="D75" i="16" a="1"/>
  <c r="D75" i="16" s="1"/>
  <c r="G76" i="24" s="1"/>
  <c r="C96" i="16" a="1"/>
  <c r="C96" i="16" s="1"/>
  <c r="F97" i="24" s="1"/>
  <c r="D117" i="16" a="1"/>
  <c r="D117" i="16" s="1"/>
  <c r="G118" i="24" s="1"/>
  <c r="C22" i="17" a="1"/>
  <c r="C22" i="17" s="1"/>
  <c r="J23" i="24" s="1"/>
  <c r="D30" i="17" a="1"/>
  <c r="D30" i="17" s="1"/>
  <c r="K31" i="24" s="1"/>
  <c r="C34" i="17" a="1"/>
  <c r="C34" i="17" s="1"/>
  <c r="J35" i="24" s="1"/>
  <c r="C37" i="17" a="1"/>
  <c r="C37" i="17" s="1"/>
  <c r="J38" i="24" s="1"/>
  <c r="C40" i="17" a="1"/>
  <c r="C40" i="17" s="1"/>
  <c r="J41" i="24" s="1"/>
  <c r="D45" i="17" a="1"/>
  <c r="D45" i="17" s="1"/>
  <c r="K46" i="24" s="1"/>
  <c r="C48" i="17" a="1"/>
  <c r="C48" i="17" s="1"/>
  <c r="J49" i="24" s="1"/>
  <c r="E50" i="17" a="1"/>
  <c r="E50" i="17" s="1"/>
  <c r="D53" i="17" a="1"/>
  <c r="D53" i="17" s="1"/>
  <c r="K54" i="24" s="1"/>
  <c r="E55" i="17" a="1"/>
  <c r="E55" i="17" s="1"/>
  <c r="D58" i="17" a="1"/>
  <c r="D58" i="17" s="1"/>
  <c r="K59" i="24" s="1"/>
  <c r="C61" i="17" a="1"/>
  <c r="C61" i="17" s="1"/>
  <c r="J62" i="24" s="1"/>
  <c r="E63" i="17" a="1"/>
  <c r="E63" i="17" s="1"/>
  <c r="D66" i="17" a="1"/>
  <c r="D66" i="17" s="1"/>
  <c r="K67" i="24" s="1"/>
  <c r="C69" i="17" a="1"/>
  <c r="C69" i="17" s="1"/>
  <c r="J70" i="24" s="1"/>
  <c r="E71" i="17" a="1"/>
  <c r="E71" i="17" s="1"/>
  <c r="D74" i="17" a="1"/>
  <c r="D74" i="17" s="1"/>
  <c r="K75" i="24" s="1"/>
  <c r="C79" i="17" a="1"/>
  <c r="C79" i="17" s="1"/>
  <c r="J80" i="24" s="1"/>
  <c r="E81" i="17" a="1"/>
  <c r="E81" i="17" s="1"/>
  <c r="D84" i="17" a="1"/>
  <c r="D84" i="17" s="1"/>
  <c r="K85" i="24" s="1"/>
  <c r="E86" i="17" a="1"/>
  <c r="E86" i="17" s="1"/>
  <c r="D89" i="17" a="1"/>
  <c r="D89" i="17" s="1"/>
  <c r="K90" i="24" s="1"/>
  <c r="C92" i="17" a="1"/>
  <c r="C92" i="17" s="1"/>
  <c r="J93" i="24" s="1"/>
  <c r="E94" i="17" a="1"/>
  <c r="E94" i="17" s="1"/>
  <c r="C97" i="17" a="1"/>
  <c r="C97" i="17" s="1"/>
  <c r="J98" i="24" s="1"/>
  <c r="E99" i="17" a="1"/>
  <c r="E99" i="17" s="1"/>
  <c r="E101" i="17" a="1"/>
  <c r="E101" i="17" s="1"/>
  <c r="E103" i="17" a="1"/>
  <c r="E103" i="17" s="1"/>
  <c r="C106" i="17" a="1"/>
  <c r="C106" i="17" s="1"/>
  <c r="J107" i="24" s="1"/>
  <c r="E108" i="17" a="1"/>
  <c r="E108" i="17" s="1"/>
  <c r="C111" i="17" a="1"/>
  <c r="C111" i="17" s="1"/>
  <c r="J112" i="24" s="1"/>
  <c r="E113" i="17" a="1"/>
  <c r="E113" i="17" s="1"/>
  <c r="D116" i="17" a="1"/>
  <c r="D116" i="17" s="1"/>
  <c r="K117" i="24" s="1"/>
  <c r="D118" i="17" a="1"/>
  <c r="D118" i="17" s="1"/>
  <c r="K119" i="24" s="1"/>
  <c r="D120" i="17" a="1"/>
  <c r="D120" i="17" s="1"/>
  <c r="K121" i="24" s="1"/>
  <c r="C7" i="18" a="1"/>
  <c r="C7" i="18" s="1"/>
  <c r="M8" i="24" s="1"/>
  <c r="E9" i="18" a="1"/>
  <c r="E9" i="18" s="1"/>
  <c r="D12" i="18" a="1"/>
  <c r="D12" i="18" s="1"/>
  <c r="N13" i="24" s="1"/>
  <c r="C15" i="18" a="1"/>
  <c r="C15" i="18" s="1"/>
  <c r="M16" i="24" s="1"/>
  <c r="E17" i="18" a="1"/>
  <c r="E17" i="18" s="1"/>
  <c r="D20" i="18" a="1"/>
  <c r="D20" i="18" s="1"/>
  <c r="N21" i="24" s="1"/>
  <c r="C23" i="18" a="1"/>
  <c r="C23" i="18" s="1"/>
  <c r="M24" i="24" s="1"/>
  <c r="E25" i="18" a="1"/>
  <c r="E25" i="18" s="1"/>
  <c r="C28" i="18" a="1"/>
  <c r="C28" i="18" s="1"/>
  <c r="M29" i="24" s="1"/>
  <c r="D30" i="18" a="1"/>
  <c r="D30" i="18" s="1"/>
  <c r="N31" i="24" s="1"/>
  <c r="C33" i="18" a="1"/>
  <c r="C33" i="18" s="1"/>
  <c r="M34" i="24" s="1"/>
  <c r="E35" i="18" a="1"/>
  <c r="E35" i="18" s="1"/>
  <c r="D38" i="18" a="1"/>
  <c r="D38" i="18" s="1"/>
  <c r="N39" i="24" s="1"/>
  <c r="C41" i="18" a="1"/>
  <c r="C41" i="18" s="1"/>
  <c r="M42" i="24" s="1"/>
  <c r="E43" i="18" a="1"/>
  <c r="E43" i="18" s="1"/>
  <c r="D46" i="18" a="1"/>
  <c r="D46" i="18" s="1"/>
  <c r="N47" i="24" s="1"/>
  <c r="D48" i="18" a="1"/>
  <c r="D48" i="18" s="1"/>
  <c r="N49" i="24" s="1"/>
  <c r="C51" i="18" a="1"/>
  <c r="C51" i="18" s="1"/>
  <c r="M52" i="24" s="1"/>
  <c r="E53" i="18" a="1"/>
  <c r="E53" i="18" s="1"/>
  <c r="D56" i="18" a="1"/>
  <c r="D56" i="18" s="1"/>
  <c r="N57" i="24" s="1"/>
  <c r="E58" i="18" a="1"/>
  <c r="E58" i="18" s="1"/>
  <c r="D61" i="18" a="1"/>
  <c r="D61" i="18" s="1"/>
  <c r="N62" i="24" s="1"/>
  <c r="D63" i="18" a="1"/>
  <c r="D63" i="18" s="1"/>
  <c r="N64" i="24" s="1"/>
  <c r="C66" i="18" a="1"/>
  <c r="C66" i="18" s="1"/>
  <c r="M67" i="24" s="1"/>
  <c r="E70" i="18" a="1"/>
  <c r="E70" i="18" s="1"/>
  <c r="D73" i="18" a="1"/>
  <c r="D73" i="18" s="1"/>
  <c r="N74" i="24" s="1"/>
  <c r="C76" i="18" a="1"/>
  <c r="C76" i="18" s="1"/>
  <c r="M77" i="24" s="1"/>
  <c r="D78" i="18" a="1"/>
  <c r="D78" i="18" s="1"/>
  <c r="N79" i="24" s="1"/>
  <c r="E80" i="18" a="1"/>
  <c r="E80" i="18" s="1"/>
  <c r="C83" i="18" a="1"/>
  <c r="C83" i="18" s="1"/>
  <c r="M84" i="24" s="1"/>
  <c r="E85" i="18" a="1"/>
  <c r="E85" i="18" s="1"/>
  <c r="D88" i="18" a="1"/>
  <c r="D88" i="18" s="1"/>
  <c r="N89" i="24" s="1"/>
  <c r="D90" i="18" a="1"/>
  <c r="D90" i="18" s="1"/>
  <c r="N91" i="24" s="1"/>
  <c r="D92" i="18" a="1"/>
  <c r="D92" i="18" s="1"/>
  <c r="N93" i="24" s="1"/>
  <c r="E94" i="18" a="1"/>
  <c r="E94" i="18" s="1"/>
  <c r="D97" i="18" a="1"/>
  <c r="D97" i="18" s="1"/>
  <c r="N98" i="24" s="1"/>
  <c r="C100" i="18" a="1"/>
  <c r="C100" i="18" s="1"/>
  <c r="M101" i="24" s="1"/>
  <c r="E122" i="15" a="1"/>
  <c r="E122" i="15" s="1"/>
  <c r="D253" i="15" a="1"/>
  <c r="D253" i="15" s="1"/>
  <c r="C254" i="24" s="1"/>
  <c r="C14" i="16" a="1"/>
  <c r="C14" i="16" s="1"/>
  <c r="F15" i="24" s="1"/>
  <c r="D35" i="16" a="1"/>
  <c r="D35" i="16" s="1"/>
  <c r="G36" i="24" s="1"/>
  <c r="E56" i="16" a="1"/>
  <c r="E56" i="16" s="1"/>
  <c r="C78" i="16" a="1"/>
  <c r="C78" i="16" s="1"/>
  <c r="F79" i="24" s="1"/>
  <c r="E98" i="16" a="1"/>
  <c r="E98" i="16" s="1"/>
  <c r="C120" i="16" a="1"/>
  <c r="C120" i="16" s="1"/>
  <c r="F121" i="24" s="1"/>
  <c r="E24" i="17" a="1"/>
  <c r="E24" i="17" s="1"/>
  <c r="C31" i="17" a="1"/>
  <c r="C31" i="17" s="1"/>
  <c r="J32" i="24" s="1"/>
  <c r="D34" i="17" a="1"/>
  <c r="D34" i="17" s="1"/>
  <c r="K35" i="24" s="1"/>
  <c r="D37" i="17" a="1"/>
  <c r="D37" i="17" s="1"/>
  <c r="K38" i="24" s="1"/>
  <c r="D40" i="17" a="1"/>
  <c r="D40" i="17" s="1"/>
  <c r="K41" i="24" s="1"/>
  <c r="C43" i="17" a="1"/>
  <c r="C43" i="17" s="1"/>
  <c r="J44" i="24" s="1"/>
  <c r="E45" i="17" a="1"/>
  <c r="E45" i="17" s="1"/>
  <c r="D48" i="17" a="1"/>
  <c r="D48" i="17" s="1"/>
  <c r="K49" i="24" s="1"/>
  <c r="C51" i="17" a="1"/>
  <c r="C51" i="17" s="1"/>
  <c r="J52" i="24" s="1"/>
  <c r="E53" i="17" a="1"/>
  <c r="E53" i="17" s="1"/>
  <c r="C56" i="17" a="1"/>
  <c r="C56" i="17" s="1"/>
  <c r="J57" i="24" s="1"/>
  <c r="E58" i="17" a="1"/>
  <c r="E58" i="17" s="1"/>
  <c r="D61" i="17" a="1"/>
  <c r="D61" i="17" s="1"/>
  <c r="K62" i="24" s="1"/>
  <c r="C64" i="17" a="1"/>
  <c r="C64" i="17" s="1"/>
  <c r="J65" i="24" s="1"/>
  <c r="E66" i="17" a="1"/>
  <c r="E66" i="17" s="1"/>
  <c r="D69" i="17" a="1"/>
  <c r="D69" i="17" s="1"/>
  <c r="K70" i="24" s="1"/>
  <c r="C72" i="17" a="1"/>
  <c r="C72" i="17" s="1"/>
  <c r="J73" i="24" s="1"/>
  <c r="E74" i="17" a="1"/>
  <c r="E74" i="17" s="1"/>
  <c r="C77" i="17" a="1"/>
  <c r="C77" i="17" s="1"/>
  <c r="J78" i="24" s="1"/>
  <c r="D79" i="17" a="1"/>
  <c r="D79" i="17" s="1"/>
  <c r="K80" i="24" s="1"/>
  <c r="C82" i="17" a="1"/>
  <c r="C82" i="17" s="1"/>
  <c r="J83" i="24" s="1"/>
  <c r="E84" i="17" a="1"/>
  <c r="E84" i="17" s="1"/>
  <c r="C87" i="17" a="1"/>
  <c r="C87" i="17" s="1"/>
  <c r="J88" i="24" s="1"/>
  <c r="E89" i="17" a="1"/>
  <c r="E89" i="17" s="1"/>
  <c r="D92" i="17" a="1"/>
  <c r="D92" i="17" s="1"/>
  <c r="K93" i="24" s="1"/>
  <c r="C95" i="17" a="1"/>
  <c r="C95" i="17" s="1"/>
  <c r="J96" i="24" s="1"/>
  <c r="D97" i="17" a="1"/>
  <c r="D97" i="17" s="1"/>
  <c r="K98" i="24" s="1"/>
  <c r="C100" i="17" a="1"/>
  <c r="C100" i="17" s="1"/>
  <c r="J101" i="24" s="1"/>
  <c r="C102" i="17" a="1"/>
  <c r="C102" i="17" s="1"/>
  <c r="J103" i="24" s="1"/>
  <c r="C104" i="17" a="1"/>
  <c r="C104" i="17" s="1"/>
  <c r="J105" i="24" s="1"/>
  <c r="D106" i="17" a="1"/>
  <c r="D106" i="17" s="1"/>
  <c r="K107" i="24" s="1"/>
  <c r="C109" i="17" a="1"/>
  <c r="C109" i="17" s="1"/>
  <c r="J110" i="24" s="1"/>
  <c r="D111" i="17" a="1"/>
  <c r="D111" i="17" s="1"/>
  <c r="K112" i="24" s="1"/>
  <c r="C114" i="17" a="1"/>
  <c r="C114" i="17" s="1"/>
  <c r="J115" i="24" s="1"/>
  <c r="E116" i="17" a="1"/>
  <c r="E116" i="17" s="1"/>
  <c r="E118" i="17" a="1"/>
  <c r="E118" i="17" s="1"/>
  <c r="E120" i="17" a="1"/>
  <c r="E120" i="17" s="1"/>
  <c r="D7" i="18" a="1"/>
  <c r="D7" i="18" s="1"/>
  <c r="N8" i="24" s="1"/>
  <c r="C10" i="18" a="1"/>
  <c r="C10" i="18" s="1"/>
  <c r="M11" i="24" s="1"/>
  <c r="E12" i="18" a="1"/>
  <c r="E12" i="18" s="1"/>
  <c r="D15" i="18" a="1"/>
  <c r="D15" i="18" s="1"/>
  <c r="N16" i="24" s="1"/>
  <c r="C18" i="18" a="1"/>
  <c r="C18" i="18" s="1"/>
  <c r="M19" i="24" s="1"/>
  <c r="E20" i="18" a="1"/>
  <c r="E20" i="18" s="1"/>
  <c r="D23" i="18" a="1"/>
  <c r="D23" i="18" s="1"/>
  <c r="N24" i="24" s="1"/>
  <c r="C26" i="18" a="1"/>
  <c r="C26" i="18" s="1"/>
  <c r="M27" i="24" s="1"/>
  <c r="D28" i="18" a="1"/>
  <c r="D28" i="18" s="1"/>
  <c r="N29" i="24" s="1"/>
  <c r="E30" i="18" a="1"/>
  <c r="E30" i="18" s="1"/>
  <c r="D33" i="18" a="1"/>
  <c r="D33" i="18" s="1"/>
  <c r="N34" i="24" s="1"/>
  <c r="C36" i="18" a="1"/>
  <c r="C36" i="18" s="1"/>
  <c r="M37" i="24" s="1"/>
  <c r="E38" i="18" a="1"/>
  <c r="E38" i="18" s="1"/>
  <c r="D41" i="18" a="1"/>
  <c r="D41" i="18" s="1"/>
  <c r="N42" i="24" s="1"/>
  <c r="C44" i="18" a="1"/>
  <c r="C44" i="18" s="1"/>
  <c r="M45" i="24" s="1"/>
  <c r="E46" i="18" a="1"/>
  <c r="E46" i="18" s="1"/>
  <c r="E48" i="18" a="1"/>
  <c r="E48" i="18" s="1"/>
  <c r="D51" i="18" a="1"/>
  <c r="D51" i="18" s="1"/>
  <c r="N52" i="24" s="1"/>
  <c r="C54" i="18" a="1"/>
  <c r="C54" i="18" s="1"/>
  <c r="M55" i="24" s="1"/>
  <c r="E56" i="18" a="1"/>
  <c r="E56" i="18" s="1"/>
  <c r="C59" i="18" a="1"/>
  <c r="C59" i="18" s="1"/>
  <c r="M60" i="24" s="1"/>
  <c r="E63" i="18" a="1"/>
  <c r="E63" i="18" s="1"/>
  <c r="D66" i="18" a="1"/>
  <c r="D66" i="18" s="1"/>
  <c r="N67" i="24" s="1"/>
  <c r="E68" i="18" a="1"/>
  <c r="E68" i="18" s="1"/>
  <c r="C71" i="18" a="1"/>
  <c r="C71" i="18" s="1"/>
  <c r="M72" i="24" s="1"/>
  <c r="E73" i="18" a="1"/>
  <c r="E73" i="18" s="1"/>
  <c r="E78" i="18" a="1"/>
  <c r="E78" i="18" s="1"/>
  <c r="C81" i="18" a="1"/>
  <c r="C81" i="18" s="1"/>
  <c r="M82" i="24" s="1"/>
  <c r="D83" i="18" a="1"/>
  <c r="D83" i="18" s="1"/>
  <c r="N84" i="24" s="1"/>
  <c r="C86" i="18" a="1"/>
  <c r="C86" i="18" s="1"/>
  <c r="M87" i="24" s="1"/>
  <c r="E92" i="18" a="1"/>
  <c r="E92" i="18" s="1"/>
  <c r="C95" i="18" a="1"/>
  <c r="C95" i="18" s="1"/>
  <c r="M96" i="24" s="1"/>
  <c r="E97" i="18" a="1"/>
  <c r="E97" i="18" s="1"/>
  <c r="D100" i="18" a="1"/>
  <c r="D100" i="18" s="1"/>
  <c r="N101" i="24" s="1"/>
  <c r="C105" i="18" a="1"/>
  <c r="C105" i="18" s="1"/>
  <c r="M106" i="24" s="1"/>
  <c r="D107" i="18" a="1"/>
  <c r="D107" i="18" s="1"/>
  <c r="N108" i="24" s="1"/>
  <c r="B241" i="15" a="1"/>
  <c r="B241" i="15" s="1"/>
  <c r="B255" i="15" a="1"/>
  <c r="B255" i="15" s="1"/>
  <c r="E266" i="15" a="1"/>
  <c r="E266" i="15" s="1"/>
  <c r="E16" i="16" a="1"/>
  <c r="E16" i="16" s="1"/>
  <c r="C38" i="16" a="1"/>
  <c r="C38" i="16" s="1"/>
  <c r="F39" i="24" s="1"/>
  <c r="D59" i="16" a="1"/>
  <c r="D59" i="16" s="1"/>
  <c r="G60" i="24" s="1"/>
  <c r="E80" i="16" a="1"/>
  <c r="E80" i="16" s="1"/>
  <c r="D101" i="16" a="1"/>
  <c r="D101" i="16" s="1"/>
  <c r="G102" i="24" s="1"/>
  <c r="E6" i="17" a="1"/>
  <c r="E6" i="17" s="1"/>
  <c r="E25" i="17" a="1"/>
  <c r="E25" i="17" s="1"/>
  <c r="D31" i="17" a="1"/>
  <c r="D31" i="17" s="1"/>
  <c r="K32" i="24" s="1"/>
  <c r="E34" i="17" a="1"/>
  <c r="E34" i="17" s="1"/>
  <c r="E37" i="17" a="1"/>
  <c r="E37" i="17" s="1"/>
  <c r="E40" i="17" a="1"/>
  <c r="E40" i="17" s="1"/>
  <c r="D43" i="17" a="1"/>
  <c r="D43" i="17" s="1"/>
  <c r="K44" i="24" s="1"/>
  <c r="C46" i="17" a="1"/>
  <c r="C46" i="17" s="1"/>
  <c r="J47" i="24" s="1"/>
  <c r="E48" i="17" a="1"/>
  <c r="E48" i="17" s="1"/>
  <c r="D51" i="17" a="1"/>
  <c r="D51" i="17" s="1"/>
  <c r="K52" i="24" s="1"/>
  <c r="C54" i="17" a="1"/>
  <c r="C54" i="17" s="1"/>
  <c r="J55" i="24" s="1"/>
  <c r="D56" i="17" a="1"/>
  <c r="D56" i="17" s="1"/>
  <c r="K57" i="24" s="1"/>
  <c r="C59" i="17" a="1"/>
  <c r="C59" i="17" s="1"/>
  <c r="J60" i="24" s="1"/>
  <c r="E61" i="17" a="1"/>
  <c r="E61" i="17" s="1"/>
  <c r="D64" i="17" a="1"/>
  <c r="D64" i="17" s="1"/>
  <c r="K65" i="24" s="1"/>
  <c r="C67" i="17" a="1"/>
  <c r="C67" i="17" s="1"/>
  <c r="J68" i="24" s="1"/>
  <c r="E69" i="17" a="1"/>
  <c r="E69" i="17" s="1"/>
  <c r="D72" i="17" a="1"/>
  <c r="D72" i="17" s="1"/>
  <c r="K73" i="24" s="1"/>
  <c r="C75" i="17" a="1"/>
  <c r="C75" i="17" s="1"/>
  <c r="J76" i="24" s="1"/>
  <c r="D77" i="17" a="1"/>
  <c r="D77" i="17" s="1"/>
  <c r="K78" i="24" s="1"/>
  <c r="E79" i="17" a="1"/>
  <c r="E79" i="17" s="1"/>
  <c r="D82" i="17" a="1"/>
  <c r="D82" i="17" s="1"/>
  <c r="K83" i="24" s="1"/>
  <c r="C85" i="17" a="1"/>
  <c r="C85" i="17" s="1"/>
  <c r="J86" i="24" s="1"/>
  <c r="D87" i="17" a="1"/>
  <c r="D87" i="17" s="1"/>
  <c r="K88" i="24" s="1"/>
  <c r="C90" i="17" a="1"/>
  <c r="C90" i="17" s="1"/>
  <c r="J91" i="24" s="1"/>
  <c r="E92" i="17" a="1"/>
  <c r="E92" i="17" s="1"/>
  <c r="D95" i="17" a="1"/>
  <c r="D95" i="17" s="1"/>
  <c r="K96" i="24" s="1"/>
  <c r="E97" i="17" a="1"/>
  <c r="E97" i="17" s="1"/>
  <c r="D104" i="17" a="1"/>
  <c r="D104" i="17" s="1"/>
  <c r="K105" i="24" s="1"/>
  <c r="E106" i="17" a="1"/>
  <c r="E106" i="17" s="1"/>
  <c r="D109" i="17" a="1"/>
  <c r="D109" i="17" s="1"/>
  <c r="K110" i="24" s="1"/>
  <c r="E111" i="17" a="1"/>
  <c r="E111" i="17" s="1"/>
  <c r="D114" i="17" a="1"/>
  <c r="D114" i="17" s="1"/>
  <c r="K115" i="24" s="1"/>
  <c r="C5" i="18" a="1"/>
  <c r="C5" i="18" s="1"/>
  <c r="M6" i="24" s="1"/>
  <c r="E7" i="18" a="1"/>
  <c r="E7" i="18" s="1"/>
  <c r="D10" i="18" a="1"/>
  <c r="D10" i="18" s="1"/>
  <c r="N11" i="24" s="1"/>
  <c r="C13" i="18" a="1"/>
  <c r="C13" i="18" s="1"/>
  <c r="M14" i="24" s="1"/>
  <c r="E15" i="18" a="1"/>
  <c r="E15" i="18" s="1"/>
  <c r="D18" i="18" a="1"/>
  <c r="D18" i="18" s="1"/>
  <c r="N19" i="24" s="1"/>
  <c r="C21" i="18" a="1"/>
  <c r="C21" i="18" s="1"/>
  <c r="M22" i="24" s="1"/>
  <c r="E23" i="18" a="1"/>
  <c r="E23" i="18" s="1"/>
  <c r="D26" i="18" a="1"/>
  <c r="D26" i="18" s="1"/>
  <c r="N27" i="24" s="1"/>
  <c r="E28" i="18" a="1"/>
  <c r="E28" i="18" s="1"/>
  <c r="C31" i="18" a="1"/>
  <c r="C31" i="18" s="1"/>
  <c r="M32" i="24" s="1"/>
  <c r="E33" i="18" a="1"/>
  <c r="E33" i="18" s="1"/>
  <c r="D36" i="18" a="1"/>
  <c r="D36" i="18" s="1"/>
  <c r="N37" i="24" s="1"/>
  <c r="C39" i="18" a="1"/>
  <c r="C39" i="18" s="1"/>
  <c r="M40" i="24" s="1"/>
  <c r="E41" i="18" a="1"/>
  <c r="E41" i="18" s="1"/>
  <c r="D44" i="18" a="1"/>
  <c r="D44" i="18" s="1"/>
  <c r="N45" i="24" s="1"/>
  <c r="C47" i="18" a="1"/>
  <c r="C47" i="18" s="1"/>
  <c r="M48" i="24" s="1"/>
  <c r="C49" i="18" a="1"/>
  <c r="C49" i="18" s="1"/>
  <c r="M50" i="24" s="1"/>
  <c r="E51" i="18" a="1"/>
  <c r="E51" i="18" s="1"/>
  <c r="D54" i="18" a="1"/>
  <c r="D54" i="18" s="1"/>
  <c r="N55" i="24" s="1"/>
  <c r="C57" i="18" a="1"/>
  <c r="C57" i="18" s="1"/>
  <c r="M58" i="24" s="1"/>
  <c r="D59" i="18" a="1"/>
  <c r="D59" i="18" s="1"/>
  <c r="N60" i="24" s="1"/>
  <c r="E61" i="18" a="1"/>
  <c r="E61" i="18" s="1"/>
  <c r="C64" i="18" a="1"/>
  <c r="C64" i="18" s="1"/>
  <c r="M65" i="24" s="1"/>
  <c r="E66" i="18" a="1"/>
  <c r="E66" i="18" s="1"/>
  <c r="C69" i="18" a="1"/>
  <c r="C69" i="18" s="1"/>
  <c r="M70" i="24" s="1"/>
  <c r="D71" i="18" a="1"/>
  <c r="D71" i="18" s="1"/>
  <c r="N72" i="24" s="1"/>
  <c r="C74" i="18" a="1"/>
  <c r="C74" i="18" s="1"/>
  <c r="M75" i="24" s="1"/>
  <c r="D76" i="18" a="1"/>
  <c r="D76" i="18" s="1"/>
  <c r="N77" i="24" s="1"/>
  <c r="C79" i="18" a="1"/>
  <c r="C79" i="18" s="1"/>
  <c r="M80" i="24" s="1"/>
  <c r="D81" i="18" a="1"/>
  <c r="D81" i="18" s="1"/>
  <c r="N82" i="24" s="1"/>
  <c r="E83" i="18" a="1"/>
  <c r="E83" i="18" s="1"/>
  <c r="D86" i="18" a="1"/>
  <c r="D86" i="18" s="1"/>
  <c r="N87" i="24" s="1"/>
  <c r="E88" i="18" a="1"/>
  <c r="E88" i="18" s="1"/>
  <c r="E90" i="18" a="1"/>
  <c r="E90" i="18" s="1"/>
  <c r="C93" i="18" a="1"/>
  <c r="C93" i="18" s="1"/>
  <c r="M94" i="24" s="1"/>
  <c r="D95" i="18" a="1"/>
  <c r="D95" i="18" s="1"/>
  <c r="N96" i="24" s="1"/>
  <c r="C98" i="18" a="1"/>
  <c r="C98" i="18" s="1"/>
  <c r="M99" i="24" s="1"/>
  <c r="E100" i="18" a="1"/>
  <c r="E100" i="18" s="1"/>
  <c r="B244" i="15" a="1"/>
  <c r="B244" i="15" s="1"/>
  <c r="C268" i="15" a="1"/>
  <c r="C268" i="15" s="1"/>
  <c r="B269" i="24" s="1"/>
  <c r="D19" i="16" a="1"/>
  <c r="D19" i="16" s="1"/>
  <c r="G20" i="24" s="1"/>
  <c r="E40" i="16" a="1"/>
  <c r="E40" i="16" s="1"/>
  <c r="C62" i="16" a="1"/>
  <c r="C62" i="16" s="1"/>
  <c r="F63" i="24" s="1"/>
  <c r="D83" i="16" a="1"/>
  <c r="D83" i="16" s="1"/>
  <c r="G84" i="24" s="1"/>
  <c r="C104" i="16" a="1"/>
  <c r="C104" i="16" s="1"/>
  <c r="F105" i="24" s="1"/>
  <c r="D9" i="17" a="1"/>
  <c r="D9" i="17" s="1"/>
  <c r="K10" i="24" s="1"/>
  <c r="D27" i="17" a="1"/>
  <c r="D27" i="17" s="1"/>
  <c r="K28" i="24" s="1"/>
  <c r="C35" i="17" a="1"/>
  <c r="C35" i="17" s="1"/>
  <c r="J36" i="24" s="1"/>
  <c r="C38" i="17" a="1"/>
  <c r="C38" i="17" s="1"/>
  <c r="J39" i="24" s="1"/>
  <c r="D41" i="17" a="1"/>
  <c r="D41" i="17" s="1"/>
  <c r="K42" i="24" s="1"/>
  <c r="E43" i="17" a="1"/>
  <c r="E43" i="17" s="1"/>
  <c r="D46" i="17" a="1"/>
  <c r="D46" i="17" s="1"/>
  <c r="K47" i="24" s="1"/>
  <c r="C49" i="17" a="1"/>
  <c r="C49" i="17" s="1"/>
  <c r="J50" i="24" s="1"/>
  <c r="E51" i="17" a="1"/>
  <c r="E51" i="17" s="1"/>
  <c r="D54" i="17" a="1"/>
  <c r="D54" i="17" s="1"/>
  <c r="K55" i="24" s="1"/>
  <c r="E56" i="17" a="1"/>
  <c r="E56" i="17" s="1"/>
  <c r="D59" i="17" a="1"/>
  <c r="D59" i="17" s="1"/>
  <c r="K60" i="24" s="1"/>
  <c r="C62" i="17" a="1"/>
  <c r="C62" i="17" s="1"/>
  <c r="J63" i="24" s="1"/>
  <c r="E64" i="17" a="1"/>
  <c r="E64" i="17" s="1"/>
  <c r="D67" i="17" a="1"/>
  <c r="D67" i="17" s="1"/>
  <c r="K68" i="24" s="1"/>
  <c r="C70" i="17" a="1"/>
  <c r="C70" i="17" s="1"/>
  <c r="J71" i="24" s="1"/>
  <c r="E72" i="17" a="1"/>
  <c r="E72" i="17" s="1"/>
  <c r="D75" i="17" a="1"/>
  <c r="D75" i="17" s="1"/>
  <c r="K76" i="24" s="1"/>
  <c r="E77" i="17" a="1"/>
  <c r="E77" i="17" s="1"/>
  <c r="C80" i="17" a="1"/>
  <c r="C80" i="17" s="1"/>
  <c r="J81" i="24" s="1"/>
  <c r="E82" i="17" a="1"/>
  <c r="E82" i="17" s="1"/>
  <c r="D85" i="17" a="1"/>
  <c r="D85" i="17" s="1"/>
  <c r="K86" i="24" s="1"/>
  <c r="E87" i="17" a="1"/>
  <c r="E87" i="17" s="1"/>
  <c r="D90" i="17" a="1"/>
  <c r="D90" i="17" s="1"/>
  <c r="K91" i="24" s="1"/>
  <c r="C93" i="17" a="1"/>
  <c r="C93" i="17" s="1"/>
  <c r="J94" i="24" s="1"/>
  <c r="E95" i="17" a="1"/>
  <c r="E95" i="17" s="1"/>
  <c r="C98" i="17" a="1"/>
  <c r="C98" i="17" s="1"/>
  <c r="J99" i="24" s="1"/>
  <c r="D100" i="17" a="1"/>
  <c r="D100" i="17" s="1"/>
  <c r="K101" i="24" s="1"/>
  <c r="D102" i="17" a="1"/>
  <c r="D102" i="17" s="1"/>
  <c r="K103" i="24" s="1"/>
  <c r="E104" i="17" a="1"/>
  <c r="E104" i="17" s="1"/>
  <c r="C107" i="17" a="1"/>
  <c r="C107" i="17" s="1"/>
  <c r="J108" i="24" s="1"/>
  <c r="E109" i="17" a="1"/>
  <c r="E109" i="17" s="1"/>
  <c r="C112" i="17" a="1"/>
  <c r="C112" i="17" s="1"/>
  <c r="J113" i="24" s="1"/>
  <c r="E114" i="17" a="1"/>
  <c r="E114" i="17" s="1"/>
  <c r="C117" i="17" a="1"/>
  <c r="C117" i="17" s="1"/>
  <c r="J118" i="24" s="1"/>
  <c r="C119" i="17" a="1"/>
  <c r="C119" i="17" s="1"/>
  <c r="J120" i="24" s="1"/>
  <c r="D5" i="18" a="1"/>
  <c r="D5" i="18" s="1"/>
  <c r="N6" i="24" s="1"/>
  <c r="C8" i="18" a="1"/>
  <c r="C8" i="18" s="1"/>
  <c r="M9" i="24" s="1"/>
  <c r="E10" i="18" a="1"/>
  <c r="E10" i="18" s="1"/>
  <c r="D13" i="18" a="1"/>
  <c r="D13" i="18" s="1"/>
  <c r="N14" i="24" s="1"/>
  <c r="C16" i="18" a="1"/>
  <c r="C16" i="18" s="1"/>
  <c r="M17" i="24" s="1"/>
  <c r="E18" i="18" a="1"/>
  <c r="E18" i="18" s="1"/>
  <c r="D21" i="18" a="1"/>
  <c r="D21" i="18" s="1"/>
  <c r="N22" i="24" s="1"/>
  <c r="C24" i="18" a="1"/>
  <c r="C24" i="18" s="1"/>
  <c r="M25" i="24" s="1"/>
  <c r="E26" i="18" a="1"/>
  <c r="E26" i="18" s="1"/>
  <c r="C29" i="18" a="1"/>
  <c r="C29" i="18" s="1"/>
  <c r="M30" i="24" s="1"/>
  <c r="D31" i="18" a="1"/>
  <c r="D31" i="18" s="1"/>
  <c r="N32" i="24" s="1"/>
  <c r="C34" i="18" a="1"/>
  <c r="C34" i="18" s="1"/>
  <c r="M35" i="24" s="1"/>
  <c r="E36" i="18" a="1"/>
  <c r="E36" i="18" s="1"/>
  <c r="D39" i="18" a="1"/>
  <c r="D39" i="18" s="1"/>
  <c r="N40" i="24" s="1"/>
  <c r="C42" i="18" a="1"/>
  <c r="C42" i="18" s="1"/>
  <c r="M43" i="24" s="1"/>
  <c r="D43" i="16" a="1"/>
  <c r="D43" i="16" s="1"/>
  <c r="G44" i="24" s="1"/>
  <c r="E38" i="17" a="1"/>
  <c r="E38" i="17" s="1"/>
  <c r="E59" i="17" a="1"/>
  <c r="E59" i="17" s="1"/>
  <c r="D80" i="17" a="1"/>
  <c r="D80" i="17" s="1"/>
  <c r="K81" i="24" s="1"/>
  <c r="D119" i="17" a="1"/>
  <c r="D119" i="17" s="1"/>
  <c r="K120" i="24" s="1"/>
  <c r="D24" i="18" a="1"/>
  <c r="D24" i="18" s="1"/>
  <c r="N25" i="24" s="1"/>
  <c r="E44" i="18" a="1"/>
  <c r="E44" i="18" s="1"/>
  <c r="E54" i="18" a="1"/>
  <c r="E54" i="18" s="1"/>
  <c r="D64" i="18" a="1"/>
  <c r="D64" i="18" s="1"/>
  <c r="N65" i="24" s="1"/>
  <c r="D74" i="18" a="1"/>
  <c r="D74" i="18" s="1"/>
  <c r="N75" i="24" s="1"/>
  <c r="C84" i="18" a="1"/>
  <c r="C84" i="18" s="1"/>
  <c r="M85" i="24" s="1"/>
  <c r="D93" i="18" a="1"/>
  <c r="D93" i="18" s="1"/>
  <c r="N94" i="24" s="1"/>
  <c r="D102" i="18" a="1"/>
  <c r="D102" i="18" s="1"/>
  <c r="N103" i="24" s="1"/>
  <c r="C106" i="18" a="1"/>
  <c r="C106" i="18" s="1"/>
  <c r="M107" i="24" s="1"/>
  <c r="D109" i="18" a="1"/>
  <c r="D109" i="18" s="1"/>
  <c r="N110" i="24" s="1"/>
  <c r="C112" i="18" a="1"/>
  <c r="C112" i="18" s="1"/>
  <c r="M113" i="24" s="1"/>
  <c r="D114" i="18" a="1"/>
  <c r="D114" i="18" s="1"/>
  <c r="N115" i="24" s="1"/>
  <c r="E116" i="18" a="1"/>
  <c r="E116" i="18" s="1"/>
  <c r="D119" i="18" a="1"/>
  <c r="D119" i="18" s="1"/>
  <c r="N120" i="24" s="1"/>
  <c r="C6" i="19" a="1"/>
  <c r="C6" i="19" s="1"/>
  <c r="P7" i="24" s="1"/>
  <c r="E8" i="19" a="1"/>
  <c r="E8" i="19" s="1"/>
  <c r="D11" i="19" a="1"/>
  <c r="D11" i="19" s="1"/>
  <c r="Q12" i="24" s="1"/>
  <c r="C14" i="19" a="1"/>
  <c r="C14" i="19" s="1"/>
  <c r="P15" i="24" s="1"/>
  <c r="E16" i="19" a="1"/>
  <c r="E16" i="19" s="1"/>
  <c r="C19" i="19" a="1"/>
  <c r="C19" i="19" s="1"/>
  <c r="P20" i="24" s="1"/>
  <c r="D21" i="19" a="1"/>
  <c r="D21" i="19" s="1"/>
  <c r="Q22" i="24" s="1"/>
  <c r="C24" i="19" a="1"/>
  <c r="C24" i="19" s="1"/>
  <c r="P25" i="24" s="1"/>
  <c r="D26" i="19" a="1"/>
  <c r="D26" i="19" s="1"/>
  <c r="Q27" i="24" s="1"/>
  <c r="C29" i="19" a="1"/>
  <c r="C29" i="19" s="1"/>
  <c r="P30" i="24" s="1"/>
  <c r="E31" i="19" a="1"/>
  <c r="E31" i="19" s="1"/>
  <c r="E36" i="19" a="1"/>
  <c r="E36" i="19" s="1"/>
  <c r="D39" i="19" a="1"/>
  <c r="D39" i="19" s="1"/>
  <c r="Q40" i="24" s="1"/>
  <c r="C42" i="19" a="1"/>
  <c r="C42" i="19" s="1"/>
  <c r="P43" i="24" s="1"/>
  <c r="E44" i="19" a="1"/>
  <c r="E44" i="19" s="1"/>
  <c r="D47" i="19" a="1"/>
  <c r="D47" i="19" s="1"/>
  <c r="Q48" i="24" s="1"/>
  <c r="C50" i="19" a="1"/>
  <c r="C50" i="19" s="1"/>
  <c r="P51" i="24" s="1"/>
  <c r="E52" i="19" a="1"/>
  <c r="E52" i="19" s="1"/>
  <c r="C55" i="19" a="1"/>
  <c r="C55" i="19" s="1"/>
  <c r="P56" i="24" s="1"/>
  <c r="E57" i="19" a="1"/>
  <c r="E57" i="19" s="1"/>
  <c r="D60" i="19" a="1"/>
  <c r="D60" i="19" s="1"/>
  <c r="Q61" i="24" s="1"/>
  <c r="C63" i="19" a="1"/>
  <c r="C63" i="19" s="1"/>
  <c r="P64" i="24" s="1"/>
  <c r="D65" i="19" a="1"/>
  <c r="D65" i="19" s="1"/>
  <c r="Q66" i="24" s="1"/>
  <c r="C68" i="19" a="1"/>
  <c r="C68" i="19" s="1"/>
  <c r="P69" i="24" s="1"/>
  <c r="D70" i="19" a="1"/>
  <c r="D70" i="19" s="1"/>
  <c r="Q71" i="24" s="1"/>
  <c r="C73" i="19" a="1"/>
  <c r="C73" i="19" s="1"/>
  <c r="P74" i="24" s="1"/>
  <c r="E75" i="19" a="1"/>
  <c r="E75" i="19" s="1"/>
  <c r="D78" i="19" a="1"/>
  <c r="D78" i="19" s="1"/>
  <c r="Q79" i="24" s="1"/>
  <c r="C81" i="19" a="1"/>
  <c r="C81" i="19" s="1"/>
  <c r="P82" i="24" s="1"/>
  <c r="E83" i="19" a="1"/>
  <c r="E83" i="19" s="1"/>
  <c r="C86" i="19" a="1"/>
  <c r="C86" i="19" s="1"/>
  <c r="P87" i="24" s="1"/>
  <c r="D88" i="19" a="1"/>
  <c r="D88" i="19" s="1"/>
  <c r="Q89" i="24" s="1"/>
  <c r="D90" i="19" a="1"/>
  <c r="D90" i="19" s="1"/>
  <c r="Q91" i="24" s="1"/>
  <c r="E92" i="19" a="1"/>
  <c r="E92" i="19" s="1"/>
  <c r="D95" i="19" a="1"/>
  <c r="D95" i="19" s="1"/>
  <c r="Q96" i="24" s="1"/>
  <c r="C98" i="19" a="1"/>
  <c r="C98" i="19" s="1"/>
  <c r="P99" i="24" s="1"/>
  <c r="E100" i="19" a="1"/>
  <c r="E100" i="19" s="1"/>
  <c r="D103" i="19" a="1"/>
  <c r="D103" i="19" s="1"/>
  <c r="Q104" i="24" s="1"/>
  <c r="C106" i="19" a="1"/>
  <c r="C106" i="19" s="1"/>
  <c r="P107" i="24" s="1"/>
  <c r="E108" i="19" a="1"/>
  <c r="E108" i="19" s="1"/>
  <c r="C111" i="19" a="1"/>
  <c r="C111" i="19" s="1"/>
  <c r="P112" i="24" s="1"/>
  <c r="D113" i="19" a="1"/>
  <c r="D113" i="19" s="1"/>
  <c r="Q114" i="24" s="1"/>
  <c r="C116" i="19" a="1"/>
  <c r="C116" i="19" s="1"/>
  <c r="P117" i="24" s="1"/>
  <c r="E118" i="19" a="1"/>
  <c r="E118" i="19" s="1"/>
  <c r="C5" i="15" a="1"/>
  <c r="C5" i="15" s="1"/>
  <c r="B6" i="24" s="1"/>
  <c r="D7" i="15" a="1"/>
  <c r="D7" i="15" s="1"/>
  <c r="C8" i="24" s="1"/>
  <c r="C10" i="15" a="1"/>
  <c r="C10" i="15" s="1"/>
  <c r="B11" i="24" s="1"/>
  <c r="D12" i="15" a="1"/>
  <c r="D12" i="15" s="1"/>
  <c r="C13" i="24" s="1"/>
  <c r="E14" i="15" a="1"/>
  <c r="E14" i="15" s="1"/>
  <c r="C17" i="15" a="1"/>
  <c r="C17" i="15" s="1"/>
  <c r="B18" i="24" s="1"/>
  <c r="E19" i="15" a="1"/>
  <c r="E19" i="15" s="1"/>
  <c r="E26" i="15" a="1"/>
  <c r="E26" i="15" s="1"/>
  <c r="C29" i="15" a="1"/>
  <c r="C29" i="15" s="1"/>
  <c r="B30" i="24" s="1"/>
  <c r="E31" i="15" a="1"/>
  <c r="E31" i="15" s="1"/>
  <c r="C34" i="15" a="1"/>
  <c r="C34" i="15" s="1"/>
  <c r="B35" i="24" s="1"/>
  <c r="C36" i="15" a="1"/>
  <c r="C36" i="15" s="1"/>
  <c r="B37" i="24" s="1"/>
  <c r="D38" i="15" a="1"/>
  <c r="D38" i="15" s="1"/>
  <c r="C39" i="24" s="1"/>
  <c r="C41" i="15" a="1"/>
  <c r="C41" i="15" s="1"/>
  <c r="B42" i="24" s="1"/>
  <c r="C48" i="15" a="1"/>
  <c r="C48" i="15" s="1"/>
  <c r="B49" i="24" s="1"/>
  <c r="D50" i="15" a="1"/>
  <c r="D50" i="15" s="1"/>
  <c r="C51" i="24" s="1"/>
  <c r="C53" i="15" a="1"/>
  <c r="C53" i="15" s="1"/>
  <c r="B54" i="24" s="1"/>
  <c r="D55" i="15" a="1"/>
  <c r="D55" i="15" s="1"/>
  <c r="C56" i="24" s="1"/>
  <c r="D57" i="15" a="1"/>
  <c r="D57" i="15" s="1"/>
  <c r="C58" i="24" s="1"/>
  <c r="E59" i="15" a="1"/>
  <c r="E59" i="15" s="1"/>
  <c r="E61" i="15" a="1"/>
  <c r="E61" i="15" s="1"/>
  <c r="D64" i="15" a="1"/>
  <c r="D64" i="15" s="1"/>
  <c r="C65" i="24" s="1"/>
  <c r="C67" i="15" a="1"/>
  <c r="C67" i="15" s="1"/>
  <c r="B68" i="24" s="1"/>
  <c r="E69" i="15" a="1"/>
  <c r="E69" i="15" s="1"/>
  <c r="D72" i="15" a="1"/>
  <c r="D72" i="15" s="1"/>
  <c r="C73" i="24" s="1"/>
  <c r="C75" i="15" a="1"/>
  <c r="C75" i="15" s="1"/>
  <c r="B76" i="24" s="1"/>
  <c r="E77" i="15" a="1"/>
  <c r="E77" i="15" s="1"/>
  <c r="D80" i="15" a="1"/>
  <c r="D80" i="15" s="1"/>
  <c r="C81" i="24" s="1"/>
  <c r="C83" i="15" a="1"/>
  <c r="C83" i="15" s="1"/>
  <c r="B84" i="24" s="1"/>
  <c r="E85" i="15" a="1"/>
  <c r="E85" i="15" s="1"/>
  <c r="D88" i="15" a="1"/>
  <c r="D88" i="15" s="1"/>
  <c r="C89" i="24" s="1"/>
  <c r="C91" i="15" a="1"/>
  <c r="C91" i="15" s="1"/>
  <c r="B92" i="24" s="1"/>
  <c r="E93" i="15" a="1"/>
  <c r="E93" i="15" s="1"/>
  <c r="D96" i="15" a="1"/>
  <c r="D96" i="15" s="1"/>
  <c r="C97" i="24" s="1"/>
  <c r="C99" i="15" a="1"/>
  <c r="C99" i="15" s="1"/>
  <c r="B100" i="24" s="1"/>
  <c r="E101" i="15" a="1"/>
  <c r="E101" i="15" s="1"/>
  <c r="D104" i="15" a="1"/>
  <c r="D104" i="15" s="1"/>
  <c r="C105" i="24" s="1"/>
  <c r="C107" i="15" a="1"/>
  <c r="C107" i="15" s="1"/>
  <c r="B108" i="24" s="1"/>
  <c r="E109" i="15" a="1"/>
  <c r="E109" i="15" s="1"/>
  <c r="D112" i="15" a="1"/>
  <c r="D112" i="15" s="1"/>
  <c r="C113" i="24" s="1"/>
  <c r="C115" i="15" a="1"/>
  <c r="C115" i="15" s="1"/>
  <c r="B116" i="24" s="1"/>
  <c r="E117" i="15" a="1"/>
  <c r="E117" i="15" s="1"/>
  <c r="D120" i="15" a="1"/>
  <c r="D120" i="15" s="1"/>
  <c r="C121" i="24" s="1"/>
  <c r="B53" i="16" a="1"/>
  <c r="B53" i="16" s="1"/>
  <c r="B61" i="16" a="1"/>
  <c r="B61" i="16" s="1"/>
  <c r="B69" i="16" a="1"/>
  <c r="B69" i="16" s="1"/>
  <c r="B77" i="16" a="1"/>
  <c r="B77" i="16" s="1"/>
  <c r="B85" i="16" a="1"/>
  <c r="B85" i="16" s="1"/>
  <c r="B93" i="16" a="1"/>
  <c r="B93" i="16" s="1"/>
  <c r="B101" i="16" a="1"/>
  <c r="B101" i="16" s="1"/>
  <c r="B107" i="16" a="1"/>
  <c r="B107" i="16" s="1"/>
  <c r="B115" i="16" a="1"/>
  <c r="B115" i="16" s="1"/>
  <c r="B49" i="17" a="1"/>
  <c r="B49" i="17" s="1"/>
  <c r="B57" i="17" a="1"/>
  <c r="B57" i="17" s="1"/>
  <c r="B64" i="17" a="1"/>
  <c r="B64" i="17" s="1"/>
  <c r="B71" i="17" a="1"/>
  <c r="B71" i="17" s="1"/>
  <c r="B78" i="17" a="1"/>
  <c r="B78" i="17" s="1"/>
  <c r="B86" i="17" a="1"/>
  <c r="B86" i="17" s="1"/>
  <c r="B93" i="17" a="1"/>
  <c r="B93" i="17" s="1"/>
  <c r="B100" i="17" a="1"/>
  <c r="B100" i="17" s="1"/>
  <c r="B108" i="17" a="1"/>
  <c r="B108" i="17" s="1"/>
  <c r="B116" i="17" a="1"/>
  <c r="B116" i="17" s="1"/>
  <c r="B50" i="18" a="1"/>
  <c r="B50" i="18" s="1"/>
  <c r="B58" i="18" a="1"/>
  <c r="B58" i="18" s="1"/>
  <c r="B66" i="18" a="1"/>
  <c r="B66" i="18" s="1"/>
  <c r="B74" i="18" a="1"/>
  <c r="B74" i="18" s="1"/>
  <c r="B82" i="18" a="1"/>
  <c r="B82" i="18" s="1"/>
  <c r="B89" i="18" a="1"/>
  <c r="B89" i="18" s="1"/>
  <c r="B95" i="18" a="1"/>
  <c r="B95" i="18" s="1"/>
  <c r="B103" i="18" a="1"/>
  <c r="B103" i="18" s="1"/>
  <c r="B111" i="18" a="1"/>
  <c r="B111" i="18" s="1"/>
  <c r="B119" i="18" a="1"/>
  <c r="B119" i="18" s="1"/>
  <c r="B52" i="19" a="1"/>
  <c r="B52" i="19" s="1"/>
  <c r="B59" i="19" a="1"/>
  <c r="B59" i="19" s="1"/>
  <c r="B67" i="19" a="1"/>
  <c r="B67" i="19" s="1"/>
  <c r="B75" i="19" a="1"/>
  <c r="B75" i="19" s="1"/>
  <c r="B83" i="19" a="1"/>
  <c r="B83" i="19" s="1"/>
  <c r="B91" i="19" a="1"/>
  <c r="B91" i="19" s="1"/>
  <c r="B99" i="19" a="1"/>
  <c r="B99" i="19" s="1"/>
  <c r="B105" i="19" a="1"/>
  <c r="B105" i="19" s="1"/>
  <c r="B112" i="19" a="1"/>
  <c r="B112" i="19" s="1"/>
  <c r="B120" i="19" a="1"/>
  <c r="B120" i="19" s="1"/>
  <c r="B53" i="15" a="1"/>
  <c r="B53" i="15" s="1"/>
  <c r="B61" i="15" a="1"/>
  <c r="B61" i="15" s="1"/>
  <c r="B68" i="15" a="1"/>
  <c r="B68" i="15" s="1"/>
  <c r="B76" i="15" a="1"/>
  <c r="B76" i="15" s="1"/>
  <c r="B83" i="15" a="1"/>
  <c r="B83" i="15" s="1"/>
  <c r="B91" i="15" a="1"/>
  <c r="B91" i="15" s="1"/>
  <c r="B98" i="15" a="1"/>
  <c r="B98" i="15" s="1"/>
  <c r="B105" i="15" a="1"/>
  <c r="B105" i="15" s="1"/>
  <c r="B119" i="15" a="1"/>
  <c r="B119" i="15" s="1"/>
  <c r="E64" i="16" a="1"/>
  <c r="E64" i="16" s="1"/>
  <c r="E41" i="17" a="1"/>
  <c r="E41" i="17" s="1"/>
  <c r="D62" i="17" a="1"/>
  <c r="D62" i="17" s="1"/>
  <c r="K63" i="24" s="1"/>
  <c r="C83" i="17" a="1"/>
  <c r="C83" i="17" s="1"/>
  <c r="J84" i="24" s="1"/>
  <c r="E102" i="17" a="1"/>
  <c r="E102" i="17" s="1"/>
  <c r="E5" i="18" a="1"/>
  <c r="E5" i="18" s="1"/>
  <c r="C45" i="18" a="1"/>
  <c r="C45" i="18" s="1"/>
  <c r="M46" i="24" s="1"/>
  <c r="C55" i="18" a="1"/>
  <c r="C55" i="18" s="1"/>
  <c r="M56" i="24" s="1"/>
  <c r="E64" i="18" a="1"/>
  <c r="E64" i="18" s="1"/>
  <c r="E74" i="18" a="1"/>
  <c r="E74" i="18" s="1"/>
  <c r="D84" i="18" a="1"/>
  <c r="D84" i="18" s="1"/>
  <c r="N85" i="24" s="1"/>
  <c r="E93" i="18" a="1"/>
  <c r="E93" i="18" s="1"/>
  <c r="E102" i="18" a="1"/>
  <c r="E102" i="18" s="1"/>
  <c r="D106" i="18" a="1"/>
  <c r="D106" i="18" s="1"/>
  <c r="N107" i="24" s="1"/>
  <c r="E109" i="18" a="1"/>
  <c r="E109" i="18" s="1"/>
  <c r="D112" i="18" a="1"/>
  <c r="D112" i="18" s="1"/>
  <c r="N113" i="24" s="1"/>
  <c r="E114" i="18" a="1"/>
  <c r="E114" i="18" s="1"/>
  <c r="C117" i="18" a="1"/>
  <c r="C117" i="18" s="1"/>
  <c r="M118" i="24" s="1"/>
  <c r="E119" i="18" a="1"/>
  <c r="E119" i="18" s="1"/>
  <c r="D6" i="19" a="1"/>
  <c r="D6" i="19" s="1"/>
  <c r="Q7" i="24" s="1"/>
  <c r="C9" i="19" a="1"/>
  <c r="C9" i="19" s="1"/>
  <c r="P10" i="24" s="1"/>
  <c r="E11" i="19" a="1"/>
  <c r="E11" i="19" s="1"/>
  <c r="D14" i="19" a="1"/>
  <c r="D14" i="19" s="1"/>
  <c r="Q15" i="24" s="1"/>
  <c r="C17" i="19" a="1"/>
  <c r="C17" i="19" s="1"/>
  <c r="P18" i="24" s="1"/>
  <c r="D19" i="19" a="1"/>
  <c r="D19" i="19" s="1"/>
  <c r="Q20" i="24" s="1"/>
  <c r="E21" i="19" a="1"/>
  <c r="E21" i="19" s="1"/>
  <c r="D24" i="19" a="1"/>
  <c r="D24" i="19" s="1"/>
  <c r="Q25" i="24" s="1"/>
  <c r="E26" i="19" a="1"/>
  <c r="E26" i="19" s="1"/>
  <c r="D29" i="19" a="1"/>
  <c r="D29" i="19" s="1"/>
  <c r="Q30" i="24" s="1"/>
  <c r="C32" i="19" a="1"/>
  <c r="C32" i="19" s="1"/>
  <c r="P33" i="24" s="1"/>
  <c r="D34" i="19" a="1"/>
  <c r="D34" i="19" s="1"/>
  <c r="Q35" i="24" s="1"/>
  <c r="C37" i="19" a="1"/>
  <c r="C37" i="19" s="1"/>
  <c r="P38" i="24" s="1"/>
  <c r="E39" i="19" a="1"/>
  <c r="E39" i="19" s="1"/>
  <c r="D42" i="19" a="1"/>
  <c r="D42" i="19" s="1"/>
  <c r="Q43" i="24" s="1"/>
  <c r="C45" i="19" a="1"/>
  <c r="C45" i="19" s="1"/>
  <c r="P46" i="24" s="1"/>
  <c r="E47" i="19" a="1"/>
  <c r="E47" i="19" s="1"/>
  <c r="D50" i="19" a="1"/>
  <c r="D50" i="19" s="1"/>
  <c r="Q51" i="24" s="1"/>
  <c r="C53" i="19" a="1"/>
  <c r="C53" i="19" s="1"/>
  <c r="P54" i="24" s="1"/>
  <c r="D55" i="19" a="1"/>
  <c r="D55" i="19" s="1"/>
  <c r="Q56" i="24" s="1"/>
  <c r="C58" i="19" a="1"/>
  <c r="C58" i="19" s="1"/>
  <c r="P59" i="24" s="1"/>
  <c r="E60" i="19" a="1"/>
  <c r="E60" i="19" s="1"/>
  <c r="D63" i="19" a="1"/>
  <c r="D63" i="19" s="1"/>
  <c r="Q64" i="24" s="1"/>
  <c r="E65" i="19" a="1"/>
  <c r="E65" i="19" s="1"/>
  <c r="E70" i="19" a="1"/>
  <c r="E70" i="19" s="1"/>
  <c r="D73" i="19" a="1"/>
  <c r="D73" i="19" s="1"/>
  <c r="Q74" i="24" s="1"/>
  <c r="C76" i="19" a="1"/>
  <c r="C76" i="19" s="1"/>
  <c r="P77" i="24" s="1"/>
  <c r="E78" i="19" a="1"/>
  <c r="E78" i="19" s="1"/>
  <c r="D81" i="19" a="1"/>
  <c r="D81" i="19" s="1"/>
  <c r="Q82" i="24" s="1"/>
  <c r="C84" i="19" a="1"/>
  <c r="C84" i="19" s="1"/>
  <c r="P85" i="24" s="1"/>
  <c r="D86" i="19" a="1"/>
  <c r="D86" i="19" s="1"/>
  <c r="Q87" i="24" s="1"/>
  <c r="E90" i="19" a="1"/>
  <c r="E90" i="19" s="1"/>
  <c r="C93" i="19" a="1"/>
  <c r="C93" i="19" s="1"/>
  <c r="P94" i="24" s="1"/>
  <c r="E95" i="19" a="1"/>
  <c r="E95" i="19" s="1"/>
  <c r="D98" i="19" a="1"/>
  <c r="D98" i="19" s="1"/>
  <c r="Q99" i="24" s="1"/>
  <c r="C101" i="19" a="1"/>
  <c r="C101" i="19" s="1"/>
  <c r="P102" i="24" s="1"/>
  <c r="E103" i="19" a="1"/>
  <c r="E103" i="19" s="1"/>
  <c r="D106" i="19" a="1"/>
  <c r="D106" i="19" s="1"/>
  <c r="Q107" i="24" s="1"/>
  <c r="C109" i="19" a="1"/>
  <c r="C109" i="19" s="1"/>
  <c r="P110" i="24" s="1"/>
  <c r="D111" i="19" a="1"/>
  <c r="D111" i="19" s="1"/>
  <c r="Q112" i="24" s="1"/>
  <c r="E113" i="19" a="1"/>
  <c r="E113" i="19" s="1"/>
  <c r="D116" i="19" a="1"/>
  <c r="D116" i="19" s="1"/>
  <c r="Q117" i="24" s="1"/>
  <c r="C119" i="19" a="1"/>
  <c r="C119" i="19" s="1"/>
  <c r="P120" i="24" s="1"/>
  <c r="D5" i="15" a="1"/>
  <c r="D5" i="15" s="1"/>
  <c r="C6" i="24" s="1"/>
  <c r="E7" i="15" a="1"/>
  <c r="E7" i="15" s="1"/>
  <c r="D10" i="15" a="1"/>
  <c r="D10" i="15" s="1"/>
  <c r="C11" i="24" s="1"/>
  <c r="E12" i="15" a="1"/>
  <c r="E12" i="15" s="1"/>
  <c r="C15" i="15" a="1"/>
  <c r="C15" i="15" s="1"/>
  <c r="B16" i="24" s="1"/>
  <c r="D17" i="15" a="1"/>
  <c r="D17" i="15" s="1"/>
  <c r="C18" i="24" s="1"/>
  <c r="C20" i="15" a="1"/>
  <c r="C20" i="15" s="1"/>
  <c r="B21" i="24" s="1"/>
  <c r="D22" i="15" a="1"/>
  <c r="D22" i="15" s="1"/>
  <c r="C23" i="24" s="1"/>
  <c r="E24" i="15" a="1"/>
  <c r="E24" i="15" s="1"/>
  <c r="C27" i="15" a="1"/>
  <c r="C27" i="15" s="1"/>
  <c r="B28" i="24" s="1"/>
  <c r="D29" i="15" a="1"/>
  <c r="D29" i="15" s="1"/>
  <c r="C30" i="24" s="1"/>
  <c r="C32" i="15" a="1"/>
  <c r="C32" i="15" s="1"/>
  <c r="B33" i="24" s="1"/>
  <c r="D34" i="15" a="1"/>
  <c r="D34" i="15" s="1"/>
  <c r="C35" i="24" s="1"/>
  <c r="D36" i="15" a="1"/>
  <c r="D36" i="15" s="1"/>
  <c r="C37" i="24" s="1"/>
  <c r="E38" i="15" a="1"/>
  <c r="E38" i="15" s="1"/>
  <c r="D41" i="15" a="1"/>
  <c r="D41" i="15" s="1"/>
  <c r="C42" i="24" s="1"/>
  <c r="E43" i="15" a="1"/>
  <c r="E43" i="15" s="1"/>
  <c r="C46" i="15" a="1"/>
  <c r="C46" i="15" s="1"/>
  <c r="B47" i="24" s="1"/>
  <c r="D48" i="15" a="1"/>
  <c r="D48" i="15" s="1"/>
  <c r="C49" i="24" s="1"/>
  <c r="E50" i="15" a="1"/>
  <c r="E50" i="15" s="1"/>
  <c r="D53" i="15" a="1"/>
  <c r="D53" i="15" s="1"/>
  <c r="C54" i="24" s="1"/>
  <c r="E55" i="15" a="1"/>
  <c r="E55" i="15" s="1"/>
  <c r="E57" i="15" a="1"/>
  <c r="E57" i="15" s="1"/>
  <c r="C60" i="15" a="1"/>
  <c r="C60" i="15" s="1"/>
  <c r="B61" i="24" s="1"/>
  <c r="C62" i="15" a="1"/>
  <c r="C62" i="15" s="1"/>
  <c r="B63" i="24" s="1"/>
  <c r="E64" i="15" a="1"/>
  <c r="E64" i="15" s="1"/>
  <c r="D67" i="15" a="1"/>
  <c r="D67" i="15" s="1"/>
  <c r="C68" i="24" s="1"/>
  <c r="C70" i="15" a="1"/>
  <c r="C70" i="15" s="1"/>
  <c r="B71" i="24" s="1"/>
  <c r="E72" i="15" a="1"/>
  <c r="E72" i="15" s="1"/>
  <c r="D75" i="15" a="1"/>
  <c r="D75" i="15" s="1"/>
  <c r="C76" i="24" s="1"/>
  <c r="C78" i="15" a="1"/>
  <c r="C78" i="15" s="1"/>
  <c r="B79" i="24" s="1"/>
  <c r="E80" i="15" a="1"/>
  <c r="E80" i="15" s="1"/>
  <c r="D83" i="15" a="1"/>
  <c r="D83" i="15" s="1"/>
  <c r="C84" i="24" s="1"/>
  <c r="C86" i="15" a="1"/>
  <c r="C86" i="15" s="1"/>
  <c r="B87" i="24" s="1"/>
  <c r="E88" i="15" a="1"/>
  <c r="E88" i="15" s="1"/>
  <c r="D91" i="15" a="1"/>
  <c r="D91" i="15" s="1"/>
  <c r="C92" i="24" s="1"/>
  <c r="C94" i="15" a="1"/>
  <c r="C94" i="15" s="1"/>
  <c r="B95" i="24" s="1"/>
  <c r="E96" i="15" a="1"/>
  <c r="E96" i="15" s="1"/>
  <c r="D99" i="15" a="1"/>
  <c r="D99" i="15" s="1"/>
  <c r="C100" i="24" s="1"/>
  <c r="C102" i="15" a="1"/>
  <c r="C102" i="15" s="1"/>
  <c r="B103" i="24" s="1"/>
  <c r="E104" i="15" a="1"/>
  <c r="E104" i="15" s="1"/>
  <c r="D107" i="15" a="1"/>
  <c r="D107" i="15" s="1"/>
  <c r="C108" i="24" s="1"/>
  <c r="C110" i="15" a="1"/>
  <c r="C110" i="15" s="1"/>
  <c r="B111" i="24" s="1"/>
  <c r="E112" i="15" a="1"/>
  <c r="E112" i="15" s="1"/>
  <c r="D115" i="15" a="1"/>
  <c r="D115" i="15" s="1"/>
  <c r="C116" i="24" s="1"/>
  <c r="C118" i="15" a="1"/>
  <c r="C118" i="15" s="1"/>
  <c r="B119" i="24" s="1"/>
  <c r="E120" i="15" a="1"/>
  <c r="E120" i="15" s="1"/>
  <c r="B54" i="16" a="1"/>
  <c r="B54" i="16" s="1"/>
  <c r="B62" i="16" a="1"/>
  <c r="B62" i="16" s="1"/>
  <c r="B70" i="16" a="1"/>
  <c r="B70" i="16" s="1"/>
  <c r="B78" i="16" a="1"/>
  <c r="B78" i="16" s="1"/>
  <c r="B86" i="16" a="1"/>
  <c r="B86" i="16" s="1"/>
  <c r="B94" i="16" a="1"/>
  <c r="B94" i="16" s="1"/>
  <c r="B102" i="16" a="1"/>
  <c r="B102" i="16" s="1"/>
  <c r="B108" i="16" a="1"/>
  <c r="B108" i="16" s="1"/>
  <c r="B116" i="16" a="1"/>
  <c r="B116" i="16" s="1"/>
  <c r="B50" i="17" a="1"/>
  <c r="B50" i="17" s="1"/>
  <c r="B58" i="17" a="1"/>
  <c r="B58" i="17" s="1"/>
  <c r="B65" i="17" a="1"/>
  <c r="B65" i="17" s="1"/>
  <c r="B72" i="17" a="1"/>
  <c r="B72" i="17" s="1"/>
  <c r="B79" i="17" a="1"/>
  <c r="B79" i="17" s="1"/>
  <c r="B87" i="17" a="1"/>
  <c r="B87" i="17" s="1"/>
  <c r="B94" i="17" a="1"/>
  <c r="B94" i="17" s="1"/>
  <c r="B101" i="17" a="1"/>
  <c r="B101" i="17" s="1"/>
  <c r="B109" i="17" a="1"/>
  <c r="B109" i="17" s="1"/>
  <c r="B117" i="17" a="1"/>
  <c r="B117" i="17" s="1"/>
  <c r="B51" i="18" a="1"/>
  <c r="B51" i="18" s="1"/>
  <c r="B59" i="18" a="1"/>
  <c r="B59" i="18" s="1"/>
  <c r="B67" i="18" a="1"/>
  <c r="B67" i="18" s="1"/>
  <c r="B75" i="18" a="1"/>
  <c r="B75" i="18" s="1"/>
  <c r="B90" i="18" a="1"/>
  <c r="B90" i="18" s="1"/>
  <c r="B96" i="18" a="1"/>
  <c r="B96" i="18" s="1"/>
  <c r="B104" i="18" a="1"/>
  <c r="B104" i="18" s="1"/>
  <c r="B112" i="18" a="1"/>
  <c r="B112" i="18" s="1"/>
  <c r="B120" i="18" a="1"/>
  <c r="B120" i="18" s="1"/>
  <c r="B60" i="19" a="1"/>
  <c r="B60" i="19" s="1"/>
  <c r="B68" i="19" a="1"/>
  <c r="B68" i="19" s="1"/>
  <c r="B76" i="19" a="1"/>
  <c r="B76" i="19" s="1"/>
  <c r="B84" i="19" a="1"/>
  <c r="B84" i="19" s="1"/>
  <c r="B92" i="19" a="1"/>
  <c r="B92" i="19" s="1"/>
  <c r="B100" i="19" a="1"/>
  <c r="B100" i="19" s="1"/>
  <c r="B106" i="19" a="1"/>
  <c r="B106" i="19" s="1"/>
  <c r="B113" i="19" a="1"/>
  <c r="B113" i="19" s="1"/>
  <c r="B47" i="15" a="1"/>
  <c r="B47" i="15" s="1"/>
  <c r="B54" i="15" a="1"/>
  <c r="B54" i="15" s="1"/>
  <c r="B69" i="15" a="1"/>
  <c r="B69" i="15" s="1"/>
  <c r="E85" i="16" a="1"/>
  <c r="E85" i="16" s="1"/>
  <c r="C44" i="17" a="1"/>
  <c r="C44" i="17" s="1"/>
  <c r="J45" i="24" s="1"/>
  <c r="C65" i="17" a="1"/>
  <c r="C65" i="17" s="1"/>
  <c r="J66" i="24" s="1"/>
  <c r="C105" i="17" a="1"/>
  <c r="C105" i="17" s="1"/>
  <c r="J106" i="24" s="1"/>
  <c r="D8" i="18" a="1"/>
  <c r="D8" i="18" s="1"/>
  <c r="N9" i="24" s="1"/>
  <c r="D29" i="18" a="1"/>
  <c r="D29" i="18" s="1"/>
  <c r="N30" i="24" s="1"/>
  <c r="D57" i="18" a="1"/>
  <c r="D57" i="18" s="1"/>
  <c r="N58" i="24" s="1"/>
  <c r="C67" i="18" a="1"/>
  <c r="C67" i="18" s="1"/>
  <c r="M68" i="24" s="1"/>
  <c r="E76" i="18" a="1"/>
  <c r="E76" i="18" s="1"/>
  <c r="E86" i="18" a="1"/>
  <c r="E86" i="18" s="1"/>
  <c r="E95" i="18" a="1"/>
  <c r="E95" i="18" s="1"/>
  <c r="C103" i="18" a="1"/>
  <c r="C103" i="18" s="1"/>
  <c r="M104" i="24" s="1"/>
  <c r="C110" i="18" a="1"/>
  <c r="C110" i="18" s="1"/>
  <c r="M111" i="24" s="1"/>
  <c r="C115" i="18" a="1"/>
  <c r="C115" i="18" s="1"/>
  <c r="M116" i="24" s="1"/>
  <c r="D117" i="18" a="1"/>
  <c r="D117" i="18" s="1"/>
  <c r="N118" i="24" s="1"/>
  <c r="C120" i="18" a="1"/>
  <c r="C120" i="18" s="1"/>
  <c r="M121" i="24" s="1"/>
  <c r="E6" i="19" a="1"/>
  <c r="E6" i="19" s="1"/>
  <c r="D9" i="19" a="1"/>
  <c r="D9" i="19" s="1"/>
  <c r="Q10" i="24" s="1"/>
  <c r="C12" i="19" a="1"/>
  <c r="C12" i="19" s="1"/>
  <c r="P13" i="24" s="1"/>
  <c r="E14" i="19" a="1"/>
  <c r="E14" i="19" s="1"/>
  <c r="D17" i="19" a="1"/>
  <c r="D17" i="19" s="1"/>
  <c r="Q18" i="24" s="1"/>
  <c r="E19" i="19" a="1"/>
  <c r="E19" i="19" s="1"/>
  <c r="C22" i="19" a="1"/>
  <c r="C22" i="19" s="1"/>
  <c r="P23" i="24" s="1"/>
  <c r="C27" i="19" a="1"/>
  <c r="C27" i="19" s="1"/>
  <c r="P28" i="24" s="1"/>
  <c r="E29" i="19" a="1"/>
  <c r="E29" i="19" s="1"/>
  <c r="D32" i="19" a="1"/>
  <c r="D32" i="19" s="1"/>
  <c r="Q33" i="24" s="1"/>
  <c r="E34" i="19" a="1"/>
  <c r="E34" i="19" s="1"/>
  <c r="D37" i="19" a="1"/>
  <c r="D37" i="19" s="1"/>
  <c r="Q38" i="24" s="1"/>
  <c r="C40" i="19" a="1"/>
  <c r="C40" i="19" s="1"/>
  <c r="P41" i="24" s="1"/>
  <c r="E42" i="19" a="1"/>
  <c r="E42" i="19" s="1"/>
  <c r="D45" i="19" a="1"/>
  <c r="D45" i="19" s="1"/>
  <c r="Q46" i="24" s="1"/>
  <c r="C48" i="19" a="1"/>
  <c r="C48" i="19" s="1"/>
  <c r="P49" i="24" s="1"/>
  <c r="E50" i="19" a="1"/>
  <c r="E50" i="19" s="1"/>
  <c r="D53" i="19" a="1"/>
  <c r="D53" i="19" s="1"/>
  <c r="Q54" i="24" s="1"/>
  <c r="E55" i="19" a="1"/>
  <c r="E55" i="19" s="1"/>
  <c r="D58" i="19" a="1"/>
  <c r="D58" i="19" s="1"/>
  <c r="Q59" i="24" s="1"/>
  <c r="C61" i="19" a="1"/>
  <c r="C61" i="19" s="1"/>
  <c r="P62" i="24" s="1"/>
  <c r="C66" i="19" a="1"/>
  <c r="C66" i="19" s="1"/>
  <c r="P67" i="24" s="1"/>
  <c r="D68" i="19" a="1"/>
  <c r="D68" i="19" s="1"/>
  <c r="Q69" i="24" s="1"/>
  <c r="C71" i="19" a="1"/>
  <c r="C71" i="19" s="1"/>
  <c r="P72" i="24" s="1"/>
  <c r="E73" i="19" a="1"/>
  <c r="E73" i="19" s="1"/>
  <c r="D76" i="19" a="1"/>
  <c r="D76" i="19" s="1"/>
  <c r="Q77" i="24" s="1"/>
  <c r="C79" i="19" a="1"/>
  <c r="C79" i="19" s="1"/>
  <c r="P80" i="24" s="1"/>
  <c r="E81" i="19" a="1"/>
  <c r="E81" i="19" s="1"/>
  <c r="D84" i="19" a="1"/>
  <c r="D84" i="19" s="1"/>
  <c r="Q85" i="24" s="1"/>
  <c r="E86" i="19" a="1"/>
  <c r="E86" i="19" s="1"/>
  <c r="E88" i="19" a="1"/>
  <c r="E88" i="19" s="1"/>
  <c r="C91" i="19" a="1"/>
  <c r="C91" i="19" s="1"/>
  <c r="P92" i="24" s="1"/>
  <c r="D93" i="19" a="1"/>
  <c r="D93" i="19" s="1"/>
  <c r="Q94" i="24" s="1"/>
  <c r="C96" i="19" a="1"/>
  <c r="C96" i="19" s="1"/>
  <c r="P97" i="24" s="1"/>
  <c r="E98" i="19" a="1"/>
  <c r="E98" i="19" s="1"/>
  <c r="D101" i="19" a="1"/>
  <c r="D101" i="19" s="1"/>
  <c r="Q102" i="24" s="1"/>
  <c r="C104" i="19" a="1"/>
  <c r="C104" i="19" s="1"/>
  <c r="P105" i="24" s="1"/>
  <c r="E106" i="19" a="1"/>
  <c r="E106" i="19" s="1"/>
  <c r="C114" i="19" a="1"/>
  <c r="C114" i="19" s="1"/>
  <c r="P115" i="24" s="1"/>
  <c r="E116" i="19" a="1"/>
  <c r="E116" i="19" s="1"/>
  <c r="D119" i="19" a="1"/>
  <c r="D119" i="19" s="1"/>
  <c r="Q120" i="24" s="1"/>
  <c r="E5" i="15" a="1"/>
  <c r="E5" i="15" s="1"/>
  <c r="C8" i="15" a="1"/>
  <c r="C8" i="15" s="1"/>
  <c r="B9" i="24" s="1"/>
  <c r="E10" i="15" a="1"/>
  <c r="E10" i="15" s="1"/>
  <c r="C13" i="15" a="1"/>
  <c r="C13" i="15" s="1"/>
  <c r="B14" i="24" s="1"/>
  <c r="D15" i="15" a="1"/>
  <c r="D15" i="15" s="1"/>
  <c r="C16" i="24" s="1"/>
  <c r="E17" i="15" a="1"/>
  <c r="E17" i="15" s="1"/>
  <c r="D20" i="15" a="1"/>
  <c r="D20" i="15" s="1"/>
  <c r="C21" i="24" s="1"/>
  <c r="E22" i="15" a="1"/>
  <c r="E22" i="15" s="1"/>
  <c r="C25" i="15" a="1"/>
  <c r="C25" i="15" s="1"/>
  <c r="B26" i="24" s="1"/>
  <c r="D27" i="15" a="1"/>
  <c r="D27" i="15" s="1"/>
  <c r="C28" i="24" s="1"/>
  <c r="E29" i="15" a="1"/>
  <c r="E29" i="15" s="1"/>
  <c r="D32" i="15" a="1"/>
  <c r="D32" i="15" s="1"/>
  <c r="C33" i="24" s="1"/>
  <c r="E34" i="15" a="1"/>
  <c r="E34" i="15" s="1"/>
  <c r="E36" i="15" a="1"/>
  <c r="E36" i="15" s="1"/>
  <c r="C39" i="15" a="1"/>
  <c r="C39" i="15" s="1"/>
  <c r="B40" i="24" s="1"/>
  <c r="E41" i="15" a="1"/>
  <c r="E41" i="15" s="1"/>
  <c r="C44" i="15" a="1"/>
  <c r="C44" i="15" s="1"/>
  <c r="B45" i="24" s="1"/>
  <c r="D46" i="15" a="1"/>
  <c r="D46" i="15" s="1"/>
  <c r="C47" i="24" s="1"/>
  <c r="E48" i="15" a="1"/>
  <c r="E48" i="15" s="1"/>
  <c r="C51" i="15" a="1"/>
  <c r="C51" i="15" s="1"/>
  <c r="B52" i="24" s="1"/>
  <c r="E53" i="15" a="1"/>
  <c r="E53" i="15" s="1"/>
  <c r="C56" i="15" a="1"/>
  <c r="C56" i="15" s="1"/>
  <c r="B57" i="24" s="1"/>
  <c r="C58" i="15" a="1"/>
  <c r="C58" i="15" s="1"/>
  <c r="B59" i="24" s="1"/>
  <c r="D62" i="15" a="1"/>
  <c r="D62" i="15" s="1"/>
  <c r="C63" i="24" s="1"/>
  <c r="C65" i="15" a="1"/>
  <c r="C65" i="15" s="1"/>
  <c r="B66" i="24" s="1"/>
  <c r="E67" i="15" a="1"/>
  <c r="E67" i="15" s="1"/>
  <c r="D70" i="15" a="1"/>
  <c r="D70" i="15" s="1"/>
  <c r="C71" i="24" s="1"/>
  <c r="C73" i="15" a="1"/>
  <c r="C73" i="15" s="1"/>
  <c r="B74" i="24" s="1"/>
  <c r="E75" i="15" a="1"/>
  <c r="E75" i="15" s="1"/>
  <c r="D78" i="15" a="1"/>
  <c r="D78" i="15" s="1"/>
  <c r="C79" i="24" s="1"/>
  <c r="C81" i="15" a="1"/>
  <c r="C81" i="15" s="1"/>
  <c r="B82" i="24" s="1"/>
  <c r="E83" i="15" a="1"/>
  <c r="E83" i="15" s="1"/>
  <c r="D86" i="15" a="1"/>
  <c r="D86" i="15" s="1"/>
  <c r="C87" i="24" s="1"/>
  <c r="C89" i="15" a="1"/>
  <c r="C89" i="15" s="1"/>
  <c r="B90" i="24" s="1"/>
  <c r="E91" i="15" a="1"/>
  <c r="E91" i="15" s="1"/>
  <c r="D94" i="15" a="1"/>
  <c r="D94" i="15" s="1"/>
  <c r="C95" i="24" s="1"/>
  <c r="C97" i="15" a="1"/>
  <c r="C97" i="15" s="1"/>
  <c r="B98" i="24" s="1"/>
  <c r="E99" i="15" a="1"/>
  <c r="E99" i="15" s="1"/>
  <c r="D102" i="15" a="1"/>
  <c r="D102" i="15" s="1"/>
  <c r="C103" i="24" s="1"/>
  <c r="C105" i="15" a="1"/>
  <c r="C105" i="15" s="1"/>
  <c r="B106" i="24" s="1"/>
  <c r="E107" i="15" a="1"/>
  <c r="E107" i="15" s="1"/>
  <c r="D110" i="15" a="1"/>
  <c r="D110" i="15" s="1"/>
  <c r="C111" i="24" s="1"/>
  <c r="C113" i="15" a="1"/>
  <c r="C113" i="15" s="1"/>
  <c r="B114" i="24" s="1"/>
  <c r="E115" i="15" a="1"/>
  <c r="E115" i="15" s="1"/>
  <c r="D118" i="15" a="1"/>
  <c r="D118" i="15" s="1"/>
  <c r="C119" i="24" s="1"/>
  <c r="B47" i="16" a="1"/>
  <c r="B47" i="16" s="1"/>
  <c r="B55" i="16" a="1"/>
  <c r="B55" i="16" s="1"/>
  <c r="B63" i="16" a="1"/>
  <c r="B63" i="16" s="1"/>
  <c r="B71" i="16" a="1"/>
  <c r="B71" i="16" s="1"/>
  <c r="B79" i="16" a="1"/>
  <c r="B79" i="16" s="1"/>
  <c r="B87" i="16" a="1"/>
  <c r="B87" i="16" s="1"/>
  <c r="B95" i="16" a="1"/>
  <c r="B95" i="16" s="1"/>
  <c r="B109" i="16" a="1"/>
  <c r="B109" i="16" s="1"/>
  <c r="B117" i="16" a="1"/>
  <c r="B117" i="16" s="1"/>
  <c r="B51" i="17" a="1"/>
  <c r="B51" i="17" s="1"/>
  <c r="B59" i="17" a="1"/>
  <c r="B59" i="17" s="1"/>
  <c r="B66" i="17" a="1"/>
  <c r="B66" i="17" s="1"/>
  <c r="B80" i="17" a="1"/>
  <c r="B80" i="17" s="1"/>
  <c r="B88" i="17" a="1"/>
  <c r="B88" i="17" s="1"/>
  <c r="B95" i="17" a="1"/>
  <c r="B95" i="17" s="1"/>
  <c r="B102" i="17" a="1"/>
  <c r="B102" i="17" s="1"/>
  <c r="B110" i="17" a="1"/>
  <c r="B110" i="17" s="1"/>
  <c r="B118" i="17" a="1"/>
  <c r="B118" i="17" s="1"/>
  <c r="B52" i="18" a="1"/>
  <c r="B52" i="18" s="1"/>
  <c r="B60" i="18" a="1"/>
  <c r="B60" i="18" s="1"/>
  <c r="B68" i="18" a="1"/>
  <c r="B68" i="18" s="1"/>
  <c r="B76" i="18" a="1"/>
  <c r="B76" i="18" s="1"/>
  <c r="B83" i="18" a="1"/>
  <c r="B83" i="18" s="1"/>
  <c r="B97" i="18" a="1"/>
  <c r="B97" i="18" s="1"/>
  <c r="B105" i="18" a="1"/>
  <c r="B105" i="18" s="1"/>
  <c r="B113" i="18" a="1"/>
  <c r="B113" i="18" s="1"/>
  <c r="B47" i="19" a="1"/>
  <c r="B47" i="19" s="1"/>
  <c r="B53" i="19" a="1"/>
  <c r="B53" i="19" s="1"/>
  <c r="B61" i="19" a="1"/>
  <c r="B61" i="19" s="1"/>
  <c r="B69" i="19" a="1"/>
  <c r="B69" i="19" s="1"/>
  <c r="B77" i="19" a="1"/>
  <c r="B77" i="19" s="1"/>
  <c r="B85" i="19" a="1"/>
  <c r="B85" i="19" s="1"/>
  <c r="B93" i="19" a="1"/>
  <c r="B93" i="19" s="1"/>
  <c r="B101" i="19" a="1"/>
  <c r="B101" i="19" s="1"/>
  <c r="B107" i="19" a="1"/>
  <c r="B107" i="19" s="1"/>
  <c r="B114" i="19" a="1"/>
  <c r="B114" i="19" s="1"/>
  <c r="B48" i="15" a="1"/>
  <c r="B48" i="15" s="1"/>
  <c r="B55" i="15" a="1"/>
  <c r="B55" i="15" s="1"/>
  <c r="B62" i="15" a="1"/>
  <c r="B62" i="15" s="1"/>
  <c r="B70" i="15" a="1"/>
  <c r="B70" i="15" s="1"/>
  <c r="B78" i="15" a="1"/>
  <c r="B78" i="15" s="1"/>
  <c r="B85" i="15" a="1"/>
  <c r="B85" i="15" s="1"/>
  <c r="B93" i="15" a="1"/>
  <c r="B93" i="15" s="1"/>
  <c r="B100" i="15" a="1"/>
  <c r="B100" i="15" s="1"/>
  <c r="B107" i="15" a="1"/>
  <c r="B107" i="15" s="1"/>
  <c r="B114" i="15" a="1"/>
  <c r="B114" i="15" s="1"/>
  <c r="B6" i="16" a="1"/>
  <c r="B6" i="16" s="1"/>
  <c r="B14" i="16" a="1"/>
  <c r="B14" i="16" s="1"/>
  <c r="B21" i="16" a="1"/>
  <c r="B21" i="16" s="1"/>
  <c r="B29" i="16" a="1"/>
  <c r="B29" i="16" s="1"/>
  <c r="B37" i="16" a="1"/>
  <c r="B37" i="16" s="1"/>
  <c r="B45" i="16" a="1"/>
  <c r="B45" i="16" s="1"/>
  <c r="B12" i="17" a="1"/>
  <c r="B12" i="17" s="1"/>
  <c r="B19" i="17" a="1"/>
  <c r="B19" i="17" s="1"/>
  <c r="B25" i="17" a="1"/>
  <c r="B25" i="17" s="1"/>
  <c r="D168" i="15" a="1"/>
  <c r="D168" i="15" s="1"/>
  <c r="C169" i="24" s="1"/>
  <c r="E106" i="16" a="1"/>
  <c r="E106" i="16" s="1"/>
  <c r="E46" i="17" a="1"/>
  <c r="E46" i="17" s="1"/>
  <c r="E67" i="17" a="1"/>
  <c r="E67" i="17" s="1"/>
  <c r="C88" i="17" a="1"/>
  <c r="C88" i="17" s="1"/>
  <c r="J89" i="24" s="1"/>
  <c r="D107" i="17" a="1"/>
  <c r="D107" i="17" s="1"/>
  <c r="K108" i="24" s="1"/>
  <c r="C11" i="18" a="1"/>
  <c r="C11" i="18" s="1"/>
  <c r="M12" i="24" s="1"/>
  <c r="E31" i="18" a="1"/>
  <c r="E31" i="18" s="1"/>
  <c r="D47" i="18" a="1"/>
  <c r="D47" i="18" s="1"/>
  <c r="N48" i="24" s="1"/>
  <c r="E57" i="18" a="1"/>
  <c r="E57" i="18" s="1"/>
  <c r="D67" i="18" a="1"/>
  <c r="D67" i="18" s="1"/>
  <c r="N68" i="24" s="1"/>
  <c r="C77" i="18" a="1"/>
  <c r="C77" i="18" s="1"/>
  <c r="M78" i="24" s="1"/>
  <c r="C87" i="18" a="1"/>
  <c r="C87" i="18" s="1"/>
  <c r="M88" i="24" s="1"/>
  <c r="C96" i="18" a="1"/>
  <c r="C96" i="18" s="1"/>
  <c r="M97" i="24" s="1"/>
  <c r="D103" i="18" a="1"/>
  <c r="D103" i="18" s="1"/>
  <c r="N104" i="24" s="1"/>
  <c r="E107" i="18" a="1"/>
  <c r="E107" i="18" s="1"/>
  <c r="E112" i="18" a="1"/>
  <c r="E112" i="18" s="1"/>
  <c r="D115" i="18" a="1"/>
  <c r="D115" i="18" s="1"/>
  <c r="N116" i="24" s="1"/>
  <c r="E117" i="18" a="1"/>
  <c r="E117" i="18" s="1"/>
  <c r="D120" i="18" a="1"/>
  <c r="D120" i="18" s="1"/>
  <c r="N121" i="24" s="1"/>
  <c r="C7" i="19" a="1"/>
  <c r="C7" i="19" s="1"/>
  <c r="P8" i="24" s="1"/>
  <c r="E9" i="19" a="1"/>
  <c r="E9" i="19" s="1"/>
  <c r="D12" i="19" a="1"/>
  <c r="D12" i="19" s="1"/>
  <c r="Q13" i="24" s="1"/>
  <c r="C15" i="19" a="1"/>
  <c r="C15" i="19" s="1"/>
  <c r="P16" i="24" s="1"/>
  <c r="C20" i="19" a="1"/>
  <c r="C20" i="19" s="1"/>
  <c r="P21" i="24" s="1"/>
  <c r="D22" i="19" a="1"/>
  <c r="D22" i="19" s="1"/>
  <c r="Q23" i="24" s="1"/>
  <c r="E24" i="19" a="1"/>
  <c r="E24" i="19" s="1"/>
  <c r="D27" i="19" a="1"/>
  <c r="D27" i="19" s="1"/>
  <c r="Q28" i="24" s="1"/>
  <c r="C30" i="19" a="1"/>
  <c r="C30" i="19" s="1"/>
  <c r="P31" i="24" s="1"/>
  <c r="E32" i="19" a="1"/>
  <c r="E32" i="19" s="1"/>
  <c r="C35" i="19" a="1"/>
  <c r="C35" i="19" s="1"/>
  <c r="P36" i="24" s="1"/>
  <c r="E37" i="19" a="1"/>
  <c r="E37" i="19" s="1"/>
  <c r="D40" i="19" a="1"/>
  <c r="D40" i="19" s="1"/>
  <c r="Q41" i="24" s="1"/>
  <c r="C43" i="19" a="1"/>
  <c r="C43" i="19" s="1"/>
  <c r="P44" i="24" s="1"/>
  <c r="E45" i="19" a="1"/>
  <c r="E45" i="19" s="1"/>
  <c r="D48" i="19" a="1"/>
  <c r="D48" i="19" s="1"/>
  <c r="Q49" i="24" s="1"/>
  <c r="C51" i="19" a="1"/>
  <c r="C51" i="19" s="1"/>
  <c r="P52" i="24" s="1"/>
  <c r="C56" i="19" a="1"/>
  <c r="C56" i="19" s="1"/>
  <c r="P57" i="24" s="1"/>
  <c r="E58" i="19" a="1"/>
  <c r="E58" i="19" s="1"/>
  <c r="D61" i="19" a="1"/>
  <c r="D61" i="19" s="1"/>
  <c r="Q62" i="24" s="1"/>
  <c r="E63" i="19" a="1"/>
  <c r="E63" i="19" s="1"/>
  <c r="D66" i="19" a="1"/>
  <c r="D66" i="19" s="1"/>
  <c r="Q67" i="24" s="1"/>
  <c r="E68" i="19" a="1"/>
  <c r="E68" i="19" s="1"/>
  <c r="D71" i="19" a="1"/>
  <c r="D71" i="19" s="1"/>
  <c r="Q72" i="24" s="1"/>
  <c r="C74" i="19" a="1"/>
  <c r="C74" i="19" s="1"/>
  <c r="P75" i="24" s="1"/>
  <c r="E76" i="19" a="1"/>
  <c r="E76" i="19" s="1"/>
  <c r="D79" i="19" a="1"/>
  <c r="D79" i="19" s="1"/>
  <c r="Q80" i="24" s="1"/>
  <c r="C82" i="19" a="1"/>
  <c r="C82" i="19" s="1"/>
  <c r="P83" i="24" s="1"/>
  <c r="C87" i="19" a="1"/>
  <c r="C87" i="19" s="1"/>
  <c r="P88" i="24" s="1"/>
  <c r="C89" i="19" a="1"/>
  <c r="C89" i="19" s="1"/>
  <c r="P90" i="24" s="1"/>
  <c r="D91" i="19" a="1"/>
  <c r="D91" i="19" s="1"/>
  <c r="Q92" i="24" s="1"/>
  <c r="E93" i="19" a="1"/>
  <c r="E93" i="19" s="1"/>
  <c r="D96" i="19" a="1"/>
  <c r="D96" i="19" s="1"/>
  <c r="Q97" i="24" s="1"/>
  <c r="C99" i="19" a="1"/>
  <c r="C99" i="19" s="1"/>
  <c r="P100" i="24" s="1"/>
  <c r="E101" i="19" a="1"/>
  <c r="E101" i="19" s="1"/>
  <c r="D104" i="19" a="1"/>
  <c r="D104" i="19" s="1"/>
  <c r="Q105" i="24" s="1"/>
  <c r="C107" i="19" a="1"/>
  <c r="C107" i="19" s="1"/>
  <c r="P108" i="24" s="1"/>
  <c r="D109" i="19" a="1"/>
  <c r="D109" i="19" s="1"/>
  <c r="Q110" i="24" s="1"/>
  <c r="E111" i="19" a="1"/>
  <c r="E111" i="19" s="1"/>
  <c r="D114" i="19" a="1"/>
  <c r="D114" i="19" s="1"/>
  <c r="Q115" i="24" s="1"/>
  <c r="C117" i="19" a="1"/>
  <c r="C117" i="19" s="1"/>
  <c r="P118" i="24" s="1"/>
  <c r="C6" i="15" a="1"/>
  <c r="C6" i="15" s="1"/>
  <c r="B7" i="24" s="1"/>
  <c r="D8" i="15" a="1"/>
  <c r="D8" i="15" s="1"/>
  <c r="C9" i="24" s="1"/>
  <c r="C11" i="15" a="1"/>
  <c r="C11" i="15" s="1"/>
  <c r="B12" i="24" s="1"/>
  <c r="D13" i="15" a="1"/>
  <c r="D13" i="15" s="1"/>
  <c r="C14" i="24" s="1"/>
  <c r="E15" i="15" a="1"/>
  <c r="E15" i="15" s="1"/>
  <c r="C18" i="15" a="1"/>
  <c r="C18" i="15" s="1"/>
  <c r="B19" i="24" s="1"/>
  <c r="E20" i="15" a="1"/>
  <c r="E20" i="15" s="1"/>
  <c r="C23" i="15" a="1"/>
  <c r="C23" i="15" s="1"/>
  <c r="B24" i="24" s="1"/>
  <c r="C30" i="15" a="1"/>
  <c r="C30" i="15" s="1"/>
  <c r="B31" i="24" s="1"/>
  <c r="E32" i="15" a="1"/>
  <c r="E32" i="15" s="1"/>
  <c r="C35" i="15" a="1"/>
  <c r="C35" i="15" s="1"/>
  <c r="B36" i="24" s="1"/>
  <c r="C37" i="15" a="1"/>
  <c r="C37" i="15" s="1"/>
  <c r="B38" i="24" s="1"/>
  <c r="D39" i="15" a="1"/>
  <c r="D39" i="15" s="1"/>
  <c r="C40" i="24" s="1"/>
  <c r="C42" i="15" a="1"/>
  <c r="C42" i="15" s="1"/>
  <c r="B43" i="24" s="1"/>
  <c r="D44" i="15" a="1"/>
  <c r="D44" i="15" s="1"/>
  <c r="C45" i="24" s="1"/>
  <c r="D51" i="15" a="1"/>
  <c r="D51" i="15" s="1"/>
  <c r="C52" i="24" s="1"/>
  <c r="C54" i="15" a="1"/>
  <c r="C54" i="15" s="1"/>
  <c r="B55" i="24" s="1"/>
  <c r="D56" i="15" a="1"/>
  <c r="D56" i="15" s="1"/>
  <c r="C57" i="24" s="1"/>
  <c r="D58" i="15" a="1"/>
  <c r="D58" i="15" s="1"/>
  <c r="C59" i="24" s="1"/>
  <c r="D60" i="15" a="1"/>
  <c r="D60" i="15" s="1"/>
  <c r="C61" i="24" s="1"/>
  <c r="E62" i="15" a="1"/>
  <c r="E62" i="15" s="1"/>
  <c r="D65" i="15" a="1"/>
  <c r="D65" i="15" s="1"/>
  <c r="C66" i="24" s="1"/>
  <c r="C68" i="15" a="1"/>
  <c r="C68" i="15" s="1"/>
  <c r="B69" i="24" s="1"/>
  <c r="E70" i="15" a="1"/>
  <c r="E70" i="15" s="1"/>
  <c r="D73" i="15" a="1"/>
  <c r="D73" i="15" s="1"/>
  <c r="C74" i="24" s="1"/>
  <c r="C76" i="15" a="1"/>
  <c r="C76" i="15" s="1"/>
  <c r="B77" i="24" s="1"/>
  <c r="E78" i="15" a="1"/>
  <c r="E78" i="15" s="1"/>
  <c r="D81" i="15" a="1"/>
  <c r="D81" i="15" s="1"/>
  <c r="C82" i="24" s="1"/>
  <c r="C84" i="15" a="1"/>
  <c r="C84" i="15" s="1"/>
  <c r="B85" i="24" s="1"/>
  <c r="E86" i="15" a="1"/>
  <c r="E86" i="15" s="1"/>
  <c r="D89" i="15" a="1"/>
  <c r="D89" i="15" s="1"/>
  <c r="C90" i="24" s="1"/>
  <c r="C92" i="15" a="1"/>
  <c r="C92" i="15" s="1"/>
  <c r="B93" i="24" s="1"/>
  <c r="E94" i="15" a="1"/>
  <c r="E94" i="15" s="1"/>
  <c r="D97" i="15" a="1"/>
  <c r="D97" i="15" s="1"/>
  <c r="C98" i="24" s="1"/>
  <c r="C100" i="15" a="1"/>
  <c r="C100" i="15" s="1"/>
  <c r="B101" i="24" s="1"/>
  <c r="E102" i="15" a="1"/>
  <c r="E102" i="15" s="1"/>
  <c r="D105" i="15" a="1"/>
  <c r="D105" i="15" s="1"/>
  <c r="C106" i="24" s="1"/>
  <c r="C108" i="15" a="1"/>
  <c r="C108" i="15" s="1"/>
  <c r="B109" i="24" s="1"/>
  <c r="E110" i="15" a="1"/>
  <c r="E110" i="15" s="1"/>
  <c r="D113" i="15" a="1"/>
  <c r="D113" i="15" s="1"/>
  <c r="C114" i="24" s="1"/>
  <c r="C116" i="15" a="1"/>
  <c r="C116" i="15" s="1"/>
  <c r="B117" i="24" s="1"/>
  <c r="E118" i="15" a="1"/>
  <c r="E118" i="15" s="1"/>
  <c r="B48" i="16" a="1"/>
  <c r="B48" i="16" s="1"/>
  <c r="B56" i="16" a="1"/>
  <c r="B56" i="16" s="1"/>
  <c r="B64" i="16" a="1"/>
  <c r="B64" i="16" s="1"/>
  <c r="B72" i="16" a="1"/>
  <c r="B72" i="16" s="1"/>
  <c r="B80" i="16" a="1"/>
  <c r="B80" i="16" s="1"/>
  <c r="B88" i="16" a="1"/>
  <c r="B88" i="16" s="1"/>
  <c r="B96" i="16" a="1"/>
  <c r="B96" i="16" s="1"/>
  <c r="B103" i="16" a="1"/>
  <c r="B103" i="16" s="1"/>
  <c r="B110" i="16" a="1"/>
  <c r="B110" i="16" s="1"/>
  <c r="B118" i="16" a="1"/>
  <c r="B118" i="16" s="1"/>
  <c r="B52" i="17" a="1"/>
  <c r="B52" i="17" s="1"/>
  <c r="B60" i="17" a="1"/>
  <c r="B60" i="17" s="1"/>
  <c r="B67" i="17" a="1"/>
  <c r="B67" i="17" s="1"/>
  <c r="B73" i="17" a="1"/>
  <c r="B73" i="17" s="1"/>
  <c r="B81" i="17" a="1"/>
  <c r="B81" i="17" s="1"/>
  <c r="B89" i="17" a="1"/>
  <c r="B89" i="17" s="1"/>
  <c r="B96" i="17" a="1"/>
  <c r="B96" i="17" s="1"/>
  <c r="B103" i="17" a="1"/>
  <c r="B103" i="17" s="1"/>
  <c r="B111" i="17" a="1"/>
  <c r="B111" i="17" s="1"/>
  <c r="B119" i="17" a="1"/>
  <c r="B119" i="17" s="1"/>
  <c r="B53" i="18" a="1"/>
  <c r="B53" i="18" s="1"/>
  <c r="B61" i="18" a="1"/>
  <c r="B61" i="18" s="1"/>
  <c r="B69" i="18" a="1"/>
  <c r="B69" i="18" s="1"/>
  <c r="B77" i="18" a="1"/>
  <c r="B77" i="18" s="1"/>
  <c r="B84" i="18" a="1"/>
  <c r="B84" i="18" s="1"/>
  <c r="B91" i="18" a="1"/>
  <c r="B91" i="18" s="1"/>
  <c r="B98" i="18" a="1"/>
  <c r="B98" i="18" s="1"/>
  <c r="B106" i="18" a="1"/>
  <c r="B106" i="18" s="1"/>
  <c r="B114" i="18" a="1"/>
  <c r="B114" i="18" s="1"/>
  <c r="B48" i="19" a="1"/>
  <c r="B48" i="19" s="1"/>
  <c r="B54" i="19" a="1"/>
  <c r="B54" i="19" s="1"/>
  <c r="B62" i="19" a="1"/>
  <c r="B62" i="19" s="1"/>
  <c r="B70" i="19" a="1"/>
  <c r="B70" i="19" s="1"/>
  <c r="B78" i="19" a="1"/>
  <c r="B78" i="19" s="1"/>
  <c r="B86" i="19" a="1"/>
  <c r="B86" i="19" s="1"/>
  <c r="B94" i="19" a="1"/>
  <c r="B94" i="19" s="1"/>
  <c r="B102" i="19" a="1"/>
  <c r="B102" i="19" s="1"/>
  <c r="B108" i="19" a="1"/>
  <c r="B108" i="19" s="1"/>
  <c r="B115" i="19" a="1"/>
  <c r="B115" i="19" s="1"/>
  <c r="B49" i="15" a="1"/>
  <c r="B49" i="15" s="1"/>
  <c r="B56" i="15" a="1"/>
  <c r="B56" i="15" s="1"/>
  <c r="B63" i="15" a="1"/>
  <c r="B63" i="15" s="1"/>
  <c r="B71" i="15" a="1"/>
  <c r="B71" i="15" s="1"/>
  <c r="B79" i="15" a="1"/>
  <c r="B79" i="15" s="1"/>
  <c r="B86" i="15" a="1"/>
  <c r="B86" i="15" s="1"/>
  <c r="B94" i="15" a="1"/>
  <c r="B94" i="15" s="1"/>
  <c r="B108" i="15" a="1"/>
  <c r="B108" i="15" s="1"/>
  <c r="B115" i="15" a="1"/>
  <c r="B115" i="15" s="1"/>
  <c r="B7" i="16" a="1"/>
  <c r="B7" i="16" s="1"/>
  <c r="B15" i="16" a="1"/>
  <c r="B15" i="16" s="1"/>
  <c r="B22" i="16" a="1"/>
  <c r="B22" i="16" s="1"/>
  <c r="B30" i="16" a="1"/>
  <c r="B30" i="16" s="1"/>
  <c r="B38" i="16" a="1"/>
  <c r="B38" i="16" s="1"/>
  <c r="C246" i="15" a="1"/>
  <c r="C246" i="15" s="1"/>
  <c r="B247" i="24" s="1"/>
  <c r="E11" i="17" a="1"/>
  <c r="E11" i="17" s="1"/>
  <c r="D49" i="17" a="1"/>
  <c r="D49" i="17" s="1"/>
  <c r="K50" i="24" s="1"/>
  <c r="D70" i="17" a="1"/>
  <c r="D70" i="17" s="1"/>
  <c r="K71" i="24" s="1"/>
  <c r="E90" i="17" a="1"/>
  <c r="E90" i="17" s="1"/>
  <c r="E13" i="18" a="1"/>
  <c r="E13" i="18" s="1"/>
  <c r="D34" i="18" a="1"/>
  <c r="D34" i="18" s="1"/>
  <c r="N35" i="24" s="1"/>
  <c r="D49" i="18" a="1"/>
  <c r="D49" i="18" s="1"/>
  <c r="N50" i="24" s="1"/>
  <c r="E59" i="18" a="1"/>
  <c r="E59" i="18" s="1"/>
  <c r="D69" i="18" a="1"/>
  <c r="D69" i="18" s="1"/>
  <c r="N70" i="24" s="1"/>
  <c r="D79" i="18" a="1"/>
  <c r="D79" i="18" s="1"/>
  <c r="N80" i="24" s="1"/>
  <c r="D98" i="18" a="1"/>
  <c r="D98" i="18" s="1"/>
  <c r="N99" i="24" s="1"/>
  <c r="E103" i="18" a="1"/>
  <c r="E103" i="18" s="1"/>
  <c r="C108" i="18" a="1"/>
  <c r="C108" i="18" s="1"/>
  <c r="M109" i="24" s="1"/>
  <c r="D110" i="18" a="1"/>
  <c r="D110" i="18" s="1"/>
  <c r="N111" i="24" s="1"/>
  <c r="C113" i="18" a="1"/>
  <c r="C113" i="18" s="1"/>
  <c r="M114" i="24" s="1"/>
  <c r="E115" i="18" a="1"/>
  <c r="E115" i="18" s="1"/>
  <c r="C118" i="18" a="1"/>
  <c r="C118" i="18" s="1"/>
  <c r="M119" i="24" s="1"/>
  <c r="E120" i="18" a="1"/>
  <c r="E120" i="18" s="1"/>
  <c r="D7" i="19" a="1"/>
  <c r="D7" i="19" s="1"/>
  <c r="Q8" i="24" s="1"/>
  <c r="C10" i="19" a="1"/>
  <c r="C10" i="19" s="1"/>
  <c r="P11" i="24" s="1"/>
  <c r="E12" i="19" a="1"/>
  <c r="E12" i="19" s="1"/>
  <c r="D15" i="19" a="1"/>
  <c r="D15" i="19" s="1"/>
  <c r="Q16" i="24" s="1"/>
  <c r="E17" i="19" a="1"/>
  <c r="E17" i="19" s="1"/>
  <c r="D20" i="19" a="1"/>
  <c r="D20" i="19" s="1"/>
  <c r="Q21" i="24" s="1"/>
  <c r="E22" i="19" a="1"/>
  <c r="E22" i="19" s="1"/>
  <c r="C25" i="19" a="1"/>
  <c r="C25" i="19" s="1"/>
  <c r="P26" i="24" s="1"/>
  <c r="E27" i="19" a="1"/>
  <c r="E27" i="19" s="1"/>
  <c r="D30" i="19" a="1"/>
  <c r="D30" i="19" s="1"/>
  <c r="Q31" i="24" s="1"/>
  <c r="C33" i="19" a="1"/>
  <c r="C33" i="19" s="1"/>
  <c r="P34" i="24" s="1"/>
  <c r="D35" i="19" a="1"/>
  <c r="D35" i="19" s="1"/>
  <c r="Q36" i="24" s="1"/>
  <c r="C38" i="19" a="1"/>
  <c r="C38" i="19" s="1"/>
  <c r="P39" i="24" s="1"/>
  <c r="E40" i="19" a="1"/>
  <c r="E40" i="19" s="1"/>
  <c r="D43" i="19" a="1"/>
  <c r="D43" i="19" s="1"/>
  <c r="Q44" i="24" s="1"/>
  <c r="C46" i="19" a="1"/>
  <c r="C46" i="19" s="1"/>
  <c r="P47" i="24" s="1"/>
  <c r="E48" i="19" a="1"/>
  <c r="E48" i="19" s="1"/>
  <c r="D51" i="19" a="1"/>
  <c r="D51" i="19" s="1"/>
  <c r="Q52" i="24" s="1"/>
  <c r="E53" i="19" a="1"/>
  <c r="E53" i="19" s="1"/>
  <c r="D56" i="19" a="1"/>
  <c r="D56" i="19" s="1"/>
  <c r="Q57" i="24" s="1"/>
  <c r="C59" i="19" a="1"/>
  <c r="C59" i="19" s="1"/>
  <c r="P60" i="24" s="1"/>
  <c r="E61" i="19" a="1"/>
  <c r="E61" i="19" s="1"/>
  <c r="C64" i="19" a="1"/>
  <c r="C64" i="19" s="1"/>
  <c r="P65" i="24" s="1"/>
  <c r="E66" i="19" a="1"/>
  <c r="E66" i="19" s="1"/>
  <c r="C69" i="19" a="1"/>
  <c r="C69" i="19" s="1"/>
  <c r="P70" i="24" s="1"/>
  <c r="E71" i="19" a="1"/>
  <c r="E71" i="19" s="1"/>
  <c r="D74" i="19" a="1"/>
  <c r="D74" i="19" s="1"/>
  <c r="Q75" i="24" s="1"/>
  <c r="C77" i="19" a="1"/>
  <c r="C77" i="19" s="1"/>
  <c r="P78" i="24" s="1"/>
  <c r="E79" i="19" a="1"/>
  <c r="E79" i="19" s="1"/>
  <c r="D82" i="19" a="1"/>
  <c r="D82" i="19" s="1"/>
  <c r="Q83" i="24" s="1"/>
  <c r="E84" i="19" a="1"/>
  <c r="E84" i="19" s="1"/>
  <c r="D87" i="19" a="1"/>
  <c r="D87" i="19" s="1"/>
  <c r="Q88" i="24" s="1"/>
  <c r="D89" i="19" a="1"/>
  <c r="D89" i="19" s="1"/>
  <c r="Q90" i="24" s="1"/>
  <c r="E91" i="19" a="1"/>
  <c r="E91" i="19" s="1"/>
  <c r="C94" i="19" a="1"/>
  <c r="C94" i="19" s="1"/>
  <c r="P95" i="24" s="1"/>
  <c r="E96" i="19" a="1"/>
  <c r="E96" i="19" s="1"/>
  <c r="D99" i="19" a="1"/>
  <c r="D99" i="19" s="1"/>
  <c r="Q100" i="24" s="1"/>
  <c r="C102" i="19" a="1"/>
  <c r="C102" i="19" s="1"/>
  <c r="P103" i="24" s="1"/>
  <c r="E104" i="19" a="1"/>
  <c r="E104" i="19" s="1"/>
  <c r="D107" i="19" a="1"/>
  <c r="D107" i="19" s="1"/>
  <c r="Q108" i="24" s="1"/>
  <c r="E109" i="19" a="1"/>
  <c r="E109" i="19" s="1"/>
  <c r="C112" i="19" a="1"/>
  <c r="C112" i="19" s="1"/>
  <c r="P113" i="24" s="1"/>
  <c r="E114" i="19" a="1"/>
  <c r="E114" i="19" s="1"/>
  <c r="D117" i="19" a="1"/>
  <c r="D117" i="19" s="1"/>
  <c r="Q118" i="24" s="1"/>
  <c r="E119" i="19" a="1"/>
  <c r="E119" i="19" s="1"/>
  <c r="E8" i="15" a="1"/>
  <c r="E8" i="15" s="1"/>
  <c r="D11" i="15" a="1"/>
  <c r="D11" i="15" s="1"/>
  <c r="C12" i="24" s="1"/>
  <c r="E13" i="15" a="1"/>
  <c r="E13" i="15" s="1"/>
  <c r="C16" i="15" a="1"/>
  <c r="C16" i="15" s="1"/>
  <c r="B17" i="24" s="1"/>
  <c r="D18" i="15" a="1"/>
  <c r="D18" i="15" s="1"/>
  <c r="C19" i="24" s="1"/>
  <c r="C21" i="15" a="1"/>
  <c r="C21" i="15" s="1"/>
  <c r="B22" i="24" s="1"/>
  <c r="D23" i="15" a="1"/>
  <c r="D23" i="15" s="1"/>
  <c r="C24" i="24" s="1"/>
  <c r="D25" i="15" a="1"/>
  <c r="D25" i="15" s="1"/>
  <c r="C26" i="24" s="1"/>
  <c r="E27" i="15" a="1"/>
  <c r="E27" i="15" s="1"/>
  <c r="D30" i="15" a="1"/>
  <c r="D30" i="15" s="1"/>
  <c r="C31" i="24" s="1"/>
  <c r="D37" i="15" a="1"/>
  <c r="D37" i="15" s="1"/>
  <c r="C38" i="24" s="1"/>
  <c r="E39" i="15" a="1"/>
  <c r="E39" i="15" s="1"/>
  <c r="D42" i="15" a="1"/>
  <c r="D42" i="15" s="1"/>
  <c r="C43" i="24" s="1"/>
  <c r="E44" i="15" a="1"/>
  <c r="E44" i="15" s="1"/>
  <c r="E46" i="15" a="1"/>
  <c r="E46" i="15" s="1"/>
  <c r="C49" i="15" a="1"/>
  <c r="C49" i="15" s="1"/>
  <c r="B50" i="24" s="1"/>
  <c r="E51" i="15" a="1"/>
  <c r="E51" i="15" s="1"/>
  <c r="E58" i="15" a="1"/>
  <c r="E58" i="15" s="1"/>
  <c r="E60" i="15" a="1"/>
  <c r="E60" i="15" s="1"/>
  <c r="C63" i="15" a="1"/>
  <c r="C63" i="15" s="1"/>
  <c r="B64" i="24" s="1"/>
  <c r="E65" i="15" a="1"/>
  <c r="E65" i="15" s="1"/>
  <c r="D68" i="15" a="1"/>
  <c r="D68" i="15" s="1"/>
  <c r="C69" i="24" s="1"/>
  <c r="C71" i="15" a="1"/>
  <c r="C71" i="15" s="1"/>
  <c r="B72" i="24" s="1"/>
  <c r="E73" i="15" a="1"/>
  <c r="E73" i="15" s="1"/>
  <c r="D76" i="15" a="1"/>
  <c r="D76" i="15" s="1"/>
  <c r="C77" i="24" s="1"/>
  <c r="C79" i="15" a="1"/>
  <c r="C79" i="15" s="1"/>
  <c r="B80" i="24" s="1"/>
  <c r="E81" i="15" a="1"/>
  <c r="E81" i="15" s="1"/>
  <c r="D84" i="15" a="1"/>
  <c r="D84" i="15" s="1"/>
  <c r="C85" i="24" s="1"/>
  <c r="C87" i="15" a="1"/>
  <c r="C87" i="15" s="1"/>
  <c r="B88" i="24" s="1"/>
  <c r="E89" i="15" a="1"/>
  <c r="E89" i="15" s="1"/>
  <c r="D92" i="15" a="1"/>
  <c r="D92" i="15" s="1"/>
  <c r="C93" i="24" s="1"/>
  <c r="C95" i="15" a="1"/>
  <c r="C95" i="15" s="1"/>
  <c r="B96" i="24" s="1"/>
  <c r="E97" i="15" a="1"/>
  <c r="E97" i="15" s="1"/>
  <c r="D100" i="15" a="1"/>
  <c r="D100" i="15" s="1"/>
  <c r="C101" i="24" s="1"/>
  <c r="C103" i="15" a="1"/>
  <c r="C103" i="15" s="1"/>
  <c r="B104" i="24" s="1"/>
  <c r="E105" i="15" a="1"/>
  <c r="E105" i="15" s="1"/>
  <c r="D108" i="15" a="1"/>
  <c r="D108" i="15" s="1"/>
  <c r="C109" i="24" s="1"/>
  <c r="C111" i="15" a="1"/>
  <c r="C111" i="15" s="1"/>
  <c r="B112" i="24" s="1"/>
  <c r="E113" i="15" a="1"/>
  <c r="E113" i="15" s="1"/>
  <c r="D116" i="15" a="1"/>
  <c r="D116" i="15" s="1"/>
  <c r="C117" i="24" s="1"/>
  <c r="C119" i="15" a="1"/>
  <c r="C119" i="15" s="1"/>
  <c r="B120" i="24" s="1"/>
  <c r="B49" i="16" a="1"/>
  <c r="B49" i="16" s="1"/>
  <c r="B57" i="16" a="1"/>
  <c r="B57" i="16" s="1"/>
  <c r="B65" i="16" a="1"/>
  <c r="B65" i="16" s="1"/>
  <c r="B73" i="16" a="1"/>
  <c r="B73" i="16" s="1"/>
  <c r="B81" i="16" a="1"/>
  <c r="B81" i="16" s="1"/>
  <c r="B89" i="16" a="1"/>
  <c r="B89" i="16" s="1"/>
  <c r="B97" i="16" a="1"/>
  <c r="B97" i="16" s="1"/>
  <c r="B104" i="16" a="1"/>
  <c r="B104" i="16" s="1"/>
  <c r="B111" i="16" a="1"/>
  <c r="B111" i="16" s="1"/>
  <c r="B119" i="16" a="1"/>
  <c r="B119" i="16" s="1"/>
  <c r="B53" i="17" a="1"/>
  <c r="B53" i="17" s="1"/>
  <c r="B68" i="17" a="1"/>
  <c r="B68" i="17" s="1"/>
  <c r="B74" i="17" a="1"/>
  <c r="B74" i="17" s="1"/>
  <c r="B82" i="17" a="1"/>
  <c r="B82" i="17" s="1"/>
  <c r="B90" i="17" a="1"/>
  <c r="B90" i="17" s="1"/>
  <c r="B104" i="17" a="1"/>
  <c r="B104" i="17" s="1"/>
  <c r="B112" i="17" a="1"/>
  <c r="B112" i="17" s="1"/>
  <c r="B120" i="17" a="1"/>
  <c r="B120" i="17" s="1"/>
  <c r="B54" i="18" a="1"/>
  <c r="B54" i="18" s="1"/>
  <c r="B62" i="18" a="1"/>
  <c r="B62" i="18" s="1"/>
  <c r="B70" i="18" a="1"/>
  <c r="B70" i="18" s="1"/>
  <c r="B78" i="18" a="1"/>
  <c r="B78" i="18" s="1"/>
  <c r="B85" i="18" a="1"/>
  <c r="B85" i="18" s="1"/>
  <c r="B92" i="18" a="1"/>
  <c r="B92" i="18" s="1"/>
  <c r="B99" i="18" a="1"/>
  <c r="B99" i="18" s="1"/>
  <c r="B107" i="18" a="1"/>
  <c r="B107" i="18" s="1"/>
  <c r="B115" i="18" a="1"/>
  <c r="B115" i="18" s="1"/>
  <c r="B55" i="19" a="1"/>
  <c r="B55" i="19" s="1"/>
  <c r="B63" i="19" a="1"/>
  <c r="B63" i="19" s="1"/>
  <c r="B71" i="19" a="1"/>
  <c r="B71" i="19" s="1"/>
  <c r="B79" i="19" a="1"/>
  <c r="B79" i="19" s="1"/>
  <c r="B87" i="19" a="1"/>
  <c r="B87" i="19" s="1"/>
  <c r="B95" i="19" a="1"/>
  <c r="B95" i="19" s="1"/>
  <c r="B103" i="19" a="1"/>
  <c r="B103" i="19" s="1"/>
  <c r="B116" i="19" a="1"/>
  <c r="B116" i="19" s="1"/>
  <c r="B50" i="15" a="1"/>
  <c r="B50" i="15" s="1"/>
  <c r="B57" i="15" a="1"/>
  <c r="B57" i="15" s="1"/>
  <c r="B64" i="15" a="1"/>
  <c r="B64" i="15" s="1"/>
  <c r="B72" i="15" a="1"/>
  <c r="B72" i="15" s="1"/>
  <c r="B80" i="15" a="1"/>
  <c r="B80" i="15" s="1"/>
  <c r="B87" i="15" a="1"/>
  <c r="B87" i="15" s="1"/>
  <c r="B95" i="15" a="1"/>
  <c r="B95" i="15" s="1"/>
  <c r="B101" i="15" a="1"/>
  <c r="B101" i="15" s="1"/>
  <c r="B109" i="15" a="1"/>
  <c r="B109" i="15" s="1"/>
  <c r="B116" i="15" a="1"/>
  <c r="B116" i="15" s="1"/>
  <c r="B8" i="16" a="1"/>
  <c r="B8" i="16" s="1"/>
  <c r="B16" i="16" a="1"/>
  <c r="B16" i="16" s="1"/>
  <c r="B258" i="15" a="1"/>
  <c r="B258" i="15" s="1"/>
  <c r="C52" i="17" a="1"/>
  <c r="C52" i="17" s="1"/>
  <c r="J53" i="24" s="1"/>
  <c r="C73" i="17" a="1"/>
  <c r="C73" i="17" s="1"/>
  <c r="J74" i="24" s="1"/>
  <c r="D93" i="17" a="1"/>
  <c r="D93" i="17" s="1"/>
  <c r="K94" i="24" s="1"/>
  <c r="D112" i="17" a="1"/>
  <c r="D112" i="17" s="1"/>
  <c r="K113" i="24" s="1"/>
  <c r="D16" i="18" a="1"/>
  <c r="D16" i="18" s="1"/>
  <c r="N17" i="24" s="1"/>
  <c r="C37" i="18" a="1"/>
  <c r="C37" i="18" s="1"/>
  <c r="M38" i="24" s="1"/>
  <c r="E49" i="18" a="1"/>
  <c r="E49" i="18" s="1"/>
  <c r="C60" i="18" a="1"/>
  <c r="C60" i="18" s="1"/>
  <c r="M61" i="24" s="1"/>
  <c r="E79" i="18" a="1"/>
  <c r="E79" i="18" s="1"/>
  <c r="C89" i="18" a="1"/>
  <c r="C89" i="18" s="1"/>
  <c r="M90" i="24" s="1"/>
  <c r="E98" i="18" a="1"/>
  <c r="E98" i="18" s="1"/>
  <c r="E104" i="18" a="1"/>
  <c r="E104" i="18" s="1"/>
  <c r="D108" i="18" a="1"/>
  <c r="D108" i="18" s="1"/>
  <c r="N109" i="24" s="1"/>
  <c r="C111" i="18" a="1"/>
  <c r="C111" i="18" s="1"/>
  <c r="M112" i="24" s="1"/>
  <c r="D113" i="18" a="1"/>
  <c r="D113" i="18" s="1"/>
  <c r="N114" i="24" s="1"/>
  <c r="D118" i="18" a="1"/>
  <c r="D118" i="18" s="1"/>
  <c r="N119" i="24" s="1"/>
  <c r="C5" i="19" a="1"/>
  <c r="C5" i="19" s="1"/>
  <c r="P6" i="24" s="1"/>
  <c r="E7" i="19" a="1"/>
  <c r="E7" i="19" s="1"/>
  <c r="D10" i="19" a="1"/>
  <c r="D10" i="19" s="1"/>
  <c r="Q11" i="24" s="1"/>
  <c r="C13" i="19" a="1"/>
  <c r="C13" i="19" s="1"/>
  <c r="P14" i="24" s="1"/>
  <c r="E15" i="19" a="1"/>
  <c r="E15" i="19" s="1"/>
  <c r="C18" i="19" a="1"/>
  <c r="C18" i="19" s="1"/>
  <c r="P19" i="24" s="1"/>
  <c r="C23" i="19" a="1"/>
  <c r="C23" i="19" s="1"/>
  <c r="P24" i="24" s="1"/>
  <c r="D25" i="19" a="1"/>
  <c r="D25" i="19" s="1"/>
  <c r="Q26" i="24" s="1"/>
  <c r="C28" i="19" a="1"/>
  <c r="C28" i="19" s="1"/>
  <c r="P29" i="24" s="1"/>
  <c r="E30" i="19" a="1"/>
  <c r="E30" i="19" s="1"/>
  <c r="D33" i="19" a="1"/>
  <c r="D33" i="19" s="1"/>
  <c r="Q34" i="24" s="1"/>
  <c r="E35" i="19" a="1"/>
  <c r="E35" i="19" s="1"/>
  <c r="D38" i="19" a="1"/>
  <c r="D38" i="19" s="1"/>
  <c r="Q39" i="24" s="1"/>
  <c r="C41" i="19" a="1"/>
  <c r="C41" i="19" s="1"/>
  <c r="P42" i="24" s="1"/>
  <c r="E43" i="19" a="1"/>
  <c r="E43" i="19" s="1"/>
  <c r="D46" i="19" a="1"/>
  <c r="D46" i="19" s="1"/>
  <c r="Q47" i="24" s="1"/>
  <c r="C49" i="19" a="1"/>
  <c r="C49" i="19" s="1"/>
  <c r="P50" i="24" s="1"/>
  <c r="E51" i="19" a="1"/>
  <c r="E51" i="19" s="1"/>
  <c r="C54" i="19" a="1"/>
  <c r="C54" i="19" s="1"/>
  <c r="P55" i="24" s="1"/>
  <c r="E56" i="19" a="1"/>
  <c r="E56" i="19" s="1"/>
  <c r="D59" i="19" a="1"/>
  <c r="D59" i="19" s="1"/>
  <c r="Q60" i="24" s="1"/>
  <c r="C62" i="19" a="1"/>
  <c r="C62" i="19" s="1"/>
  <c r="P63" i="24" s="1"/>
  <c r="D64" i="19" a="1"/>
  <c r="D64" i="19" s="1"/>
  <c r="Q65" i="24" s="1"/>
  <c r="C67" i="19" a="1"/>
  <c r="C67" i="19" s="1"/>
  <c r="P68" i="24" s="1"/>
  <c r="D69" i="19" a="1"/>
  <c r="D69" i="19" s="1"/>
  <c r="Q70" i="24" s="1"/>
  <c r="C72" i="19" a="1"/>
  <c r="C72" i="19" s="1"/>
  <c r="P73" i="24" s="1"/>
  <c r="E74" i="19" a="1"/>
  <c r="E74" i="19" s="1"/>
  <c r="D77" i="19" a="1"/>
  <c r="D77" i="19" s="1"/>
  <c r="Q78" i="24" s="1"/>
  <c r="C80" i="19" a="1"/>
  <c r="C80" i="19" s="1"/>
  <c r="P81" i="24" s="1"/>
  <c r="E82" i="19" a="1"/>
  <c r="E82" i="19" s="1"/>
  <c r="C85" i="19" a="1"/>
  <c r="C85" i="19" s="1"/>
  <c r="P86" i="24" s="1"/>
  <c r="C92" i="19" a="1"/>
  <c r="C92" i="19" s="1"/>
  <c r="P93" i="24" s="1"/>
  <c r="D94" i="19" a="1"/>
  <c r="D94" i="19" s="1"/>
  <c r="Q95" i="24" s="1"/>
  <c r="C97" i="19" a="1"/>
  <c r="C97" i="19" s="1"/>
  <c r="P98" i="24" s="1"/>
  <c r="E99" i="19" a="1"/>
  <c r="E99" i="19" s="1"/>
  <c r="D102" i="19" a="1"/>
  <c r="D102" i="19" s="1"/>
  <c r="Q103" i="24" s="1"/>
  <c r="C105" i="19" a="1"/>
  <c r="C105" i="19" s="1"/>
  <c r="P106" i="24" s="1"/>
  <c r="E107" i="19" a="1"/>
  <c r="E107" i="19" s="1"/>
  <c r="C110" i="19" a="1"/>
  <c r="C110" i="19" s="1"/>
  <c r="P111" i="24" s="1"/>
  <c r="D112" i="19" a="1"/>
  <c r="D112" i="19" s="1"/>
  <c r="Q113" i="24" s="1"/>
  <c r="C115" i="19" a="1"/>
  <c r="C115" i="19" s="1"/>
  <c r="P116" i="24" s="1"/>
  <c r="E117" i="19" a="1"/>
  <c r="E117" i="19" s="1"/>
  <c r="C120" i="19" a="1"/>
  <c r="C120" i="19" s="1"/>
  <c r="P121" i="24" s="1"/>
  <c r="D6" i="15" a="1"/>
  <c r="D6" i="15" s="1"/>
  <c r="C7" i="24" s="1"/>
  <c r="C9" i="15" a="1"/>
  <c r="C9" i="15" s="1"/>
  <c r="B10" i="24" s="1"/>
  <c r="C14" i="15" a="1"/>
  <c r="C14" i="15" s="1"/>
  <c r="B15" i="24" s="1"/>
  <c r="D16" i="15" a="1"/>
  <c r="D16" i="15" s="1"/>
  <c r="C17" i="24" s="1"/>
  <c r="E18" i="15" a="1"/>
  <c r="E18" i="15" s="1"/>
  <c r="D21" i="15" a="1"/>
  <c r="D21" i="15" s="1"/>
  <c r="C22" i="24" s="1"/>
  <c r="E23" i="15" a="1"/>
  <c r="E23" i="15" s="1"/>
  <c r="E25" i="15" a="1"/>
  <c r="E25" i="15" s="1"/>
  <c r="C28" i="15" a="1"/>
  <c r="C28" i="15" s="1"/>
  <c r="B29" i="24" s="1"/>
  <c r="E30" i="15" a="1"/>
  <c r="E30" i="15" s="1"/>
  <c r="C33" i="15" a="1"/>
  <c r="C33" i="15" s="1"/>
  <c r="B34" i="24" s="1"/>
  <c r="D35" i="15" a="1"/>
  <c r="D35" i="15" s="1"/>
  <c r="C36" i="24" s="1"/>
  <c r="E37" i="15" a="1"/>
  <c r="E37" i="15" s="1"/>
  <c r="C40" i="15" a="1"/>
  <c r="C40" i="15" s="1"/>
  <c r="B41" i="24" s="1"/>
  <c r="E42" i="15" a="1"/>
  <c r="E42" i="15" s="1"/>
  <c r="C45" i="15" a="1"/>
  <c r="C45" i="15" s="1"/>
  <c r="B46" i="24" s="1"/>
  <c r="C47" i="15" a="1"/>
  <c r="C47" i="15" s="1"/>
  <c r="B48" i="24" s="1"/>
  <c r="D49" i="15" a="1"/>
  <c r="D49" i="15" s="1"/>
  <c r="C50" i="24" s="1"/>
  <c r="C52" i="15" a="1"/>
  <c r="C52" i="15" s="1"/>
  <c r="B53" i="24" s="1"/>
  <c r="D54" i="15" a="1"/>
  <c r="D54" i="15" s="1"/>
  <c r="C55" i="24" s="1"/>
  <c r="E56" i="15" a="1"/>
  <c r="E56" i="15" s="1"/>
  <c r="C59" i="15" a="1"/>
  <c r="C59" i="15" s="1"/>
  <c r="B60" i="24" s="1"/>
  <c r="D63" i="15" a="1"/>
  <c r="D63" i="15" s="1"/>
  <c r="C64" i="24" s="1"/>
  <c r="C66" i="15" a="1"/>
  <c r="C66" i="15" s="1"/>
  <c r="B67" i="24" s="1"/>
  <c r="E68" i="15" a="1"/>
  <c r="E68" i="15" s="1"/>
  <c r="D71" i="15" a="1"/>
  <c r="D71" i="15" s="1"/>
  <c r="C72" i="24" s="1"/>
  <c r="C74" i="15" a="1"/>
  <c r="C74" i="15" s="1"/>
  <c r="B75" i="24" s="1"/>
  <c r="E76" i="15" a="1"/>
  <c r="E76" i="15" s="1"/>
  <c r="D79" i="15" a="1"/>
  <c r="D79" i="15" s="1"/>
  <c r="C80" i="24" s="1"/>
  <c r="C82" i="15" a="1"/>
  <c r="C82" i="15" s="1"/>
  <c r="B83" i="24" s="1"/>
  <c r="E84" i="15" a="1"/>
  <c r="E84" i="15" s="1"/>
  <c r="D87" i="15" a="1"/>
  <c r="D87" i="15" s="1"/>
  <c r="C88" i="24" s="1"/>
  <c r="C90" i="15" a="1"/>
  <c r="C90" i="15" s="1"/>
  <c r="B91" i="24" s="1"/>
  <c r="E92" i="15" a="1"/>
  <c r="E92" i="15" s="1"/>
  <c r="D95" i="15" a="1"/>
  <c r="D95" i="15" s="1"/>
  <c r="C96" i="24" s="1"/>
  <c r="C98" i="15" a="1"/>
  <c r="C98" i="15" s="1"/>
  <c r="B99" i="24" s="1"/>
  <c r="E100" i="15" a="1"/>
  <c r="E100" i="15" s="1"/>
  <c r="D103" i="15" a="1"/>
  <c r="D103" i="15" s="1"/>
  <c r="C104" i="24" s="1"/>
  <c r="C106" i="15" a="1"/>
  <c r="C106" i="15" s="1"/>
  <c r="B107" i="24" s="1"/>
  <c r="E108" i="15" a="1"/>
  <c r="E108" i="15" s="1"/>
  <c r="D111" i="15" a="1"/>
  <c r="D111" i="15" s="1"/>
  <c r="C112" i="24" s="1"/>
  <c r="C114" i="15" a="1"/>
  <c r="C114" i="15" s="1"/>
  <c r="B115" i="24" s="1"/>
  <c r="E116" i="15" a="1"/>
  <c r="E116" i="15" s="1"/>
  <c r="D119" i="15" a="1"/>
  <c r="D119" i="15" s="1"/>
  <c r="C120" i="24" s="1"/>
  <c r="B50" i="16" a="1"/>
  <c r="B50" i="16" s="1"/>
  <c r="B58" i="16" a="1"/>
  <c r="B58" i="16" s="1"/>
  <c r="B66" i="16" a="1"/>
  <c r="B66" i="16" s="1"/>
  <c r="B74" i="16" a="1"/>
  <c r="B74" i="16" s="1"/>
  <c r="B82" i="16" a="1"/>
  <c r="B82" i="16" s="1"/>
  <c r="B90" i="16" a="1"/>
  <c r="B90" i="16" s="1"/>
  <c r="B98" i="16" a="1"/>
  <c r="B98" i="16" s="1"/>
  <c r="B105" i="16" a="1"/>
  <c r="B105" i="16" s="1"/>
  <c r="B112" i="16" a="1"/>
  <c r="B112" i="16" s="1"/>
  <c r="B120" i="16" a="1"/>
  <c r="B120" i="16" s="1"/>
  <c r="B54" i="17" a="1"/>
  <c r="B54" i="17" s="1"/>
  <c r="B61" i="17" a="1"/>
  <c r="B61" i="17" s="1"/>
  <c r="B75" i="17" a="1"/>
  <c r="B75" i="17" s="1"/>
  <c r="B83" i="17" a="1"/>
  <c r="B83" i="17" s="1"/>
  <c r="B91" i="17" a="1"/>
  <c r="B91" i="17" s="1"/>
  <c r="B97" i="17" a="1"/>
  <c r="B97" i="17" s="1"/>
  <c r="B105" i="17" a="1"/>
  <c r="B105" i="17" s="1"/>
  <c r="B113" i="17" a="1"/>
  <c r="B113" i="17" s="1"/>
  <c r="B47" i="18" a="1"/>
  <c r="B47" i="18" s="1"/>
  <c r="B55" i="18" a="1"/>
  <c r="B55" i="18" s="1"/>
  <c r="B63" i="18" a="1"/>
  <c r="B63" i="18" s="1"/>
  <c r="B71" i="18" a="1"/>
  <c r="B71" i="18" s="1"/>
  <c r="B79" i="18" a="1"/>
  <c r="B79" i="18" s="1"/>
  <c r="B86" i="18" a="1"/>
  <c r="B86" i="18" s="1"/>
  <c r="B93" i="18" a="1"/>
  <c r="B93" i="18" s="1"/>
  <c r="B100" i="18" a="1"/>
  <c r="B100" i="18" s="1"/>
  <c r="B108" i="18" a="1"/>
  <c r="B108" i="18" s="1"/>
  <c r="B116" i="18" a="1"/>
  <c r="B116" i="18" s="1"/>
  <c r="B49" i="19" a="1"/>
  <c r="B49" i="19" s="1"/>
  <c r="B56" i="19" a="1"/>
  <c r="B56" i="19" s="1"/>
  <c r="B64" i="19" a="1"/>
  <c r="B64" i="19" s="1"/>
  <c r="B72" i="19" a="1"/>
  <c r="B72" i="19" s="1"/>
  <c r="B80" i="19" a="1"/>
  <c r="B80" i="19" s="1"/>
  <c r="B88" i="19" a="1"/>
  <c r="B88" i="19" s="1"/>
  <c r="B96" i="19" a="1"/>
  <c r="B96" i="19" s="1"/>
  <c r="B109" i="19" a="1"/>
  <c r="B109" i="19" s="1"/>
  <c r="B117" i="19" a="1"/>
  <c r="B117" i="19" s="1"/>
  <c r="B58" i="15" a="1"/>
  <c r="B58" i="15" s="1"/>
  <c r="B65" i="15" a="1"/>
  <c r="B65" i="15" s="1"/>
  <c r="B73" i="15" a="1"/>
  <c r="B73" i="15" s="1"/>
  <c r="B81" i="15" a="1"/>
  <c r="B81" i="15" s="1"/>
  <c r="B88" i="15" a="1"/>
  <c r="B88" i="15" s="1"/>
  <c r="B96" i="15" a="1"/>
  <c r="B96" i="15" s="1"/>
  <c r="B102" i="15" a="1"/>
  <c r="B102" i="15" s="1"/>
  <c r="B110" i="15" a="1"/>
  <c r="B110" i="15" s="1"/>
  <c r="B9" i="16" a="1"/>
  <c r="B9" i="16" s="1"/>
  <c r="B17" i="16" a="1"/>
  <c r="B17" i="16" s="1"/>
  <c r="B24" i="16" a="1"/>
  <c r="B24" i="16" s="1"/>
  <c r="B32" i="16" a="1"/>
  <c r="B32" i="16" s="1"/>
  <c r="B40" i="16" a="1"/>
  <c r="B40" i="16" s="1"/>
  <c r="B7" i="17" a="1"/>
  <c r="B7" i="17" s="1"/>
  <c r="B14" i="17" a="1"/>
  <c r="B14" i="17" s="1"/>
  <c r="B21" i="17" a="1"/>
  <c r="B21" i="17" s="1"/>
  <c r="B28" i="17" a="1"/>
  <c r="B28" i="17" s="1"/>
  <c r="D269" i="15" a="1"/>
  <c r="D269" i="15" s="1"/>
  <c r="C270" i="24" s="1"/>
  <c r="E31" i="17" a="1"/>
  <c r="E31" i="17" s="1"/>
  <c r="E54" i="17" a="1"/>
  <c r="E54" i="17" s="1"/>
  <c r="E75" i="17" a="1"/>
  <c r="E75" i="17" s="1"/>
  <c r="C96" i="17" a="1"/>
  <c r="C96" i="17" s="1"/>
  <c r="J97" i="24" s="1"/>
  <c r="C115" i="17" a="1"/>
  <c r="C115" i="17" s="1"/>
  <c r="J116" i="24" s="1"/>
  <c r="C19" i="18" a="1"/>
  <c r="C19" i="18" s="1"/>
  <c r="M20" i="24" s="1"/>
  <c r="E39" i="18" a="1"/>
  <c r="E39" i="18" s="1"/>
  <c r="C52" i="18" a="1"/>
  <c r="C52" i="18" s="1"/>
  <c r="M53" i="24" s="1"/>
  <c r="E71" i="18" a="1"/>
  <c r="E71" i="18" s="1"/>
  <c r="E81" i="18" a="1"/>
  <c r="E81" i="18" s="1"/>
  <c r="C91" i="18" a="1"/>
  <c r="C91" i="18" s="1"/>
  <c r="M92" i="24" s="1"/>
  <c r="C101" i="18" a="1"/>
  <c r="C101" i="18" s="1"/>
  <c r="M102" i="24" s="1"/>
  <c r="D105" i="18" a="1"/>
  <c r="D105" i="18" s="1"/>
  <c r="N106" i="24" s="1"/>
  <c r="E108" i="18" a="1"/>
  <c r="E108" i="18" s="1"/>
  <c r="D111" i="18" a="1"/>
  <c r="D111" i="18" s="1"/>
  <c r="N112" i="24" s="1"/>
  <c r="E113" i="18" a="1"/>
  <c r="E113" i="18" s="1"/>
  <c r="C116" i="18" a="1"/>
  <c r="C116" i="18" s="1"/>
  <c r="M117" i="24" s="1"/>
  <c r="E118" i="18" a="1"/>
  <c r="E118" i="18" s="1"/>
  <c r="D5" i="19" a="1"/>
  <c r="D5" i="19" s="1"/>
  <c r="Q6" i="24" s="1"/>
  <c r="C8" i="19" a="1"/>
  <c r="C8" i="19" s="1"/>
  <c r="P9" i="24" s="1"/>
  <c r="E10" i="19" a="1"/>
  <c r="E10" i="19" s="1"/>
  <c r="D13" i="19" a="1"/>
  <c r="D13" i="19" s="1"/>
  <c r="Q14" i="24" s="1"/>
  <c r="C16" i="19" a="1"/>
  <c r="C16" i="19" s="1"/>
  <c r="P17" i="24" s="1"/>
  <c r="D18" i="19" a="1"/>
  <c r="D18" i="19" s="1"/>
  <c r="Q19" i="24" s="1"/>
  <c r="E20" i="19" a="1"/>
  <c r="E20" i="19" s="1"/>
  <c r="D23" i="19" a="1"/>
  <c r="D23" i="19" s="1"/>
  <c r="Q24" i="24" s="1"/>
  <c r="E25" i="19" a="1"/>
  <c r="E25" i="19" s="1"/>
  <c r="D28" i="19" a="1"/>
  <c r="D28" i="19" s="1"/>
  <c r="Q29" i="24" s="1"/>
  <c r="C31" i="19" a="1"/>
  <c r="C31" i="19" s="1"/>
  <c r="P32" i="24" s="1"/>
  <c r="E33" i="19" a="1"/>
  <c r="E33" i="19" s="1"/>
  <c r="C36" i="19" a="1"/>
  <c r="C36" i="19" s="1"/>
  <c r="P37" i="24" s="1"/>
  <c r="E38" i="19" a="1"/>
  <c r="E38" i="19" s="1"/>
  <c r="D41" i="19" a="1"/>
  <c r="D41" i="19" s="1"/>
  <c r="Q42" i="24" s="1"/>
  <c r="C44" i="19" a="1"/>
  <c r="C44" i="19" s="1"/>
  <c r="P45" i="24" s="1"/>
  <c r="E46" i="19" a="1"/>
  <c r="E46" i="19" s="1"/>
  <c r="D49" i="19" a="1"/>
  <c r="D49" i="19" s="1"/>
  <c r="Q50" i="24" s="1"/>
  <c r="C52" i="19" a="1"/>
  <c r="C52" i="19" s="1"/>
  <c r="P53" i="24" s="1"/>
  <c r="D54" i="19" a="1"/>
  <c r="D54" i="19" s="1"/>
  <c r="Q55" i="24" s="1"/>
  <c r="C57" i="19" a="1"/>
  <c r="C57" i="19" s="1"/>
  <c r="P58" i="24" s="1"/>
  <c r="E59" i="19" a="1"/>
  <c r="E59" i="19" s="1"/>
  <c r="D62" i="19" a="1"/>
  <c r="D62" i="19" s="1"/>
  <c r="Q63" i="24" s="1"/>
  <c r="E64" i="19" a="1"/>
  <c r="E64" i="19" s="1"/>
  <c r="D67" i="19" a="1"/>
  <c r="D67" i="19" s="1"/>
  <c r="Q68" i="24" s="1"/>
  <c r="E69" i="19" a="1"/>
  <c r="E69" i="19" s="1"/>
  <c r="D72" i="19" a="1"/>
  <c r="D72" i="19" s="1"/>
  <c r="Q73" i="24" s="1"/>
  <c r="C75" i="19" a="1"/>
  <c r="C75" i="19" s="1"/>
  <c r="P76" i="24" s="1"/>
  <c r="E77" i="19" a="1"/>
  <c r="E77" i="19" s="1"/>
  <c r="D80" i="19" a="1"/>
  <c r="D80" i="19" s="1"/>
  <c r="Q81" i="24" s="1"/>
  <c r="C83" i="19" a="1"/>
  <c r="C83" i="19" s="1"/>
  <c r="P84" i="24" s="1"/>
  <c r="D85" i="19" a="1"/>
  <c r="D85" i="19" s="1"/>
  <c r="Q86" i="24" s="1"/>
  <c r="E87" i="19" a="1"/>
  <c r="E87" i="19" s="1"/>
  <c r="E89" i="19" a="1"/>
  <c r="E89" i="19" s="1"/>
  <c r="D92" i="19" a="1"/>
  <c r="D92" i="19" s="1"/>
  <c r="Q93" i="24" s="1"/>
  <c r="E94" i="19" a="1"/>
  <c r="E94" i="19" s="1"/>
  <c r="D97" i="19" a="1"/>
  <c r="D97" i="19" s="1"/>
  <c r="Q98" i="24" s="1"/>
  <c r="C100" i="19" a="1"/>
  <c r="C100" i="19" s="1"/>
  <c r="P101" i="24" s="1"/>
  <c r="E102" i="19" a="1"/>
  <c r="E102" i="19" s="1"/>
  <c r="D105" i="19" a="1"/>
  <c r="D105" i="19" s="1"/>
  <c r="Q106" i="24" s="1"/>
  <c r="C108" i="19" a="1"/>
  <c r="C108" i="19" s="1"/>
  <c r="P109" i="24" s="1"/>
  <c r="D110" i="19" a="1"/>
  <c r="D110" i="19" s="1"/>
  <c r="Q111" i="24" s="1"/>
  <c r="E112" i="19" a="1"/>
  <c r="E112" i="19" s="1"/>
  <c r="D115" i="19" a="1"/>
  <c r="D115" i="19" s="1"/>
  <c r="Q116" i="24" s="1"/>
  <c r="C118" i="19" a="1"/>
  <c r="C118" i="19" s="1"/>
  <c r="P119" i="24" s="1"/>
  <c r="D120" i="19" a="1"/>
  <c r="D120" i="19" s="1"/>
  <c r="Q121" i="24" s="1"/>
  <c r="E6" i="15" a="1"/>
  <c r="E6" i="15" s="1"/>
  <c r="D9" i="15" a="1"/>
  <c r="D9" i="15" s="1"/>
  <c r="C10" i="24" s="1"/>
  <c r="E11" i="15" a="1"/>
  <c r="E11" i="15" s="1"/>
  <c r="D14" i="15" a="1"/>
  <c r="D14" i="15" s="1"/>
  <c r="C15" i="24" s="1"/>
  <c r="E16" i="15" a="1"/>
  <c r="E16" i="15" s="1"/>
  <c r="C19" i="15" a="1"/>
  <c r="C19" i="15" s="1"/>
  <c r="B20" i="24" s="1"/>
  <c r="E21" i="15" a="1"/>
  <c r="E21" i="15" s="1"/>
  <c r="C24" i="15" a="1"/>
  <c r="C24" i="15" s="1"/>
  <c r="B25" i="24" s="1"/>
  <c r="C26" i="15" a="1"/>
  <c r="C26" i="15" s="1"/>
  <c r="B27" i="24" s="1"/>
  <c r="D28" i="15" a="1"/>
  <c r="D28" i="15" s="1"/>
  <c r="C29" i="24" s="1"/>
  <c r="C31" i="15" a="1"/>
  <c r="C31" i="15" s="1"/>
  <c r="B32" i="24" s="1"/>
  <c r="D33" i="15" a="1"/>
  <c r="D33" i="15" s="1"/>
  <c r="C34" i="24" s="1"/>
  <c r="E35" i="15" a="1"/>
  <c r="E35" i="15" s="1"/>
  <c r="C38" i="15" a="1"/>
  <c r="C38" i="15" s="1"/>
  <c r="B39" i="24" s="1"/>
  <c r="D40" i="15" a="1"/>
  <c r="D40" i="15" s="1"/>
  <c r="C41" i="24" s="1"/>
  <c r="C43" i="15" a="1"/>
  <c r="C43" i="15" s="1"/>
  <c r="B44" i="24" s="1"/>
  <c r="D45" i="15" a="1"/>
  <c r="D45" i="15" s="1"/>
  <c r="C46" i="24" s="1"/>
  <c r="D47" i="15" a="1"/>
  <c r="D47" i="15" s="1"/>
  <c r="C48" i="24" s="1"/>
  <c r="E49" i="15" a="1"/>
  <c r="E49" i="15" s="1"/>
  <c r="D52" i="15" a="1"/>
  <c r="D52" i="15" s="1"/>
  <c r="C53" i="24" s="1"/>
  <c r="E54" i="15" a="1"/>
  <c r="E54" i="15" s="1"/>
  <c r="C57" i="15" a="1"/>
  <c r="C57" i="15" s="1"/>
  <c r="B58" i="24" s="1"/>
  <c r="D59" i="15" a="1"/>
  <c r="D59" i="15" s="1"/>
  <c r="C60" i="24" s="1"/>
  <c r="C61" i="15" a="1"/>
  <c r="C61" i="15" s="1"/>
  <c r="B62" i="24" s="1"/>
  <c r="E63" i="15" a="1"/>
  <c r="E63" i="15" s="1"/>
  <c r="D66" i="15" a="1"/>
  <c r="D66" i="15" s="1"/>
  <c r="C67" i="24" s="1"/>
  <c r="C69" i="15" a="1"/>
  <c r="C69" i="15" s="1"/>
  <c r="B70" i="24" s="1"/>
  <c r="E71" i="15" a="1"/>
  <c r="E71" i="15" s="1"/>
  <c r="D74" i="15" a="1"/>
  <c r="D74" i="15" s="1"/>
  <c r="C75" i="24" s="1"/>
  <c r="C77" i="15" a="1"/>
  <c r="C77" i="15" s="1"/>
  <c r="B78" i="24" s="1"/>
  <c r="E79" i="15" a="1"/>
  <c r="E79" i="15" s="1"/>
  <c r="D82" i="15" a="1"/>
  <c r="D82" i="15" s="1"/>
  <c r="C83" i="24" s="1"/>
  <c r="C85" i="15" a="1"/>
  <c r="C85" i="15" s="1"/>
  <c r="B86" i="24" s="1"/>
  <c r="E87" i="15" a="1"/>
  <c r="E87" i="15" s="1"/>
  <c r="D90" i="15" a="1"/>
  <c r="D90" i="15" s="1"/>
  <c r="C91" i="24" s="1"/>
  <c r="C93" i="15" a="1"/>
  <c r="C93" i="15" s="1"/>
  <c r="B94" i="24" s="1"/>
  <c r="E95" i="15" a="1"/>
  <c r="E95" i="15" s="1"/>
  <c r="D98" i="15" a="1"/>
  <c r="D98" i="15" s="1"/>
  <c r="C99" i="24" s="1"/>
  <c r="C101" i="15" a="1"/>
  <c r="C101" i="15" s="1"/>
  <c r="B102" i="24" s="1"/>
  <c r="E103" i="15" a="1"/>
  <c r="E103" i="15" s="1"/>
  <c r="D106" i="15" a="1"/>
  <c r="D106" i="15" s="1"/>
  <c r="C107" i="24" s="1"/>
  <c r="C109" i="15" a="1"/>
  <c r="C109" i="15" s="1"/>
  <c r="B110" i="24" s="1"/>
  <c r="E111" i="15" a="1"/>
  <c r="E111" i="15" s="1"/>
  <c r="D114" i="15" a="1"/>
  <c r="D114" i="15" s="1"/>
  <c r="C115" i="24" s="1"/>
  <c r="C117" i="15" a="1"/>
  <c r="C117" i="15" s="1"/>
  <c r="B118" i="24" s="1"/>
  <c r="E119" i="15" a="1"/>
  <c r="E119" i="15" s="1"/>
  <c r="B51" i="16" a="1"/>
  <c r="B51" i="16" s="1"/>
  <c r="B59" i="16" a="1"/>
  <c r="B59" i="16" s="1"/>
  <c r="B67" i="16" a="1"/>
  <c r="B67" i="16" s="1"/>
  <c r="B75" i="16" a="1"/>
  <c r="B75" i="16" s="1"/>
  <c r="B83" i="16" a="1"/>
  <c r="B83" i="16" s="1"/>
  <c r="B91" i="16" a="1"/>
  <c r="B91" i="16" s="1"/>
  <c r="B99" i="16" a="1"/>
  <c r="B99" i="16" s="1"/>
  <c r="B106" i="16" a="1"/>
  <c r="B106" i="16" s="1"/>
  <c r="B113" i="16" a="1"/>
  <c r="B113" i="16" s="1"/>
  <c r="B47" i="17" a="1"/>
  <c r="B47" i="17" s="1"/>
  <c r="B55" i="17" a="1"/>
  <c r="B55" i="17" s="1"/>
  <c r="B62" i="17" a="1"/>
  <c r="B62" i="17" s="1"/>
  <c r="B69" i="17" a="1"/>
  <c r="B69" i="17" s="1"/>
  <c r="B76" i="17" a="1"/>
  <c r="B76" i="17" s="1"/>
  <c r="B84" i="17" a="1"/>
  <c r="B84" i="17" s="1"/>
  <c r="B92" i="17" a="1"/>
  <c r="B92" i="17" s="1"/>
  <c r="B98" i="17" a="1"/>
  <c r="B98" i="17" s="1"/>
  <c r="B106" i="17" a="1"/>
  <c r="B106" i="17" s="1"/>
  <c r="B114" i="17" a="1"/>
  <c r="B114" i="17" s="1"/>
  <c r="B48" i="18" a="1"/>
  <c r="B48" i="18" s="1"/>
  <c r="B56" i="18" a="1"/>
  <c r="B56" i="18" s="1"/>
  <c r="B64" i="18" a="1"/>
  <c r="B64" i="18" s="1"/>
  <c r="B72" i="18" a="1"/>
  <c r="B72" i="18" s="1"/>
  <c r="B80" i="18" a="1"/>
  <c r="B80" i="18" s="1"/>
  <c r="B87" i="18" a="1"/>
  <c r="B87" i="18" s="1"/>
  <c r="B94" i="18" a="1"/>
  <c r="B94" i="18" s="1"/>
  <c r="B101" i="18" a="1"/>
  <c r="B101" i="18" s="1"/>
  <c r="B109" i="18" a="1"/>
  <c r="B109" i="18" s="1"/>
  <c r="B117" i="18" a="1"/>
  <c r="B117" i="18" s="1"/>
  <c r="B50" i="19" a="1"/>
  <c r="B50" i="19" s="1"/>
  <c r="B57" i="19" a="1"/>
  <c r="B57" i="19" s="1"/>
  <c r="B65" i="19" a="1"/>
  <c r="B65" i="19" s="1"/>
  <c r="B73" i="19" a="1"/>
  <c r="B73" i="19" s="1"/>
  <c r="B81" i="19" a="1"/>
  <c r="B81" i="19" s="1"/>
  <c r="B89" i="19" a="1"/>
  <c r="B89" i="19" s="1"/>
  <c r="B97" i="19" a="1"/>
  <c r="B97" i="19" s="1"/>
  <c r="B104" i="19" a="1"/>
  <c r="B104" i="19" s="1"/>
  <c r="B110" i="19" a="1"/>
  <c r="B110" i="19" s="1"/>
  <c r="B118" i="19" a="1"/>
  <c r="B118" i="19" s="1"/>
  <c r="B51" i="15" a="1"/>
  <c r="B51" i="15" s="1"/>
  <c r="B59" i="15" a="1"/>
  <c r="B59" i="15" s="1"/>
  <c r="B66" i="15" a="1"/>
  <c r="B66" i="15" s="1"/>
  <c r="B74" i="15" a="1"/>
  <c r="B74" i="15" s="1"/>
  <c r="B82" i="15" a="1"/>
  <c r="B82" i="15" s="1"/>
  <c r="B89" i="15" a="1"/>
  <c r="B89" i="15" s="1"/>
  <c r="D117" i="17" a="1"/>
  <c r="D117" i="17" s="1"/>
  <c r="K118" i="24" s="1"/>
  <c r="D101" i="18" a="1"/>
  <c r="D101" i="18" s="1"/>
  <c r="N102" i="24" s="1"/>
  <c r="D8" i="19" a="1"/>
  <c r="D8" i="19" s="1"/>
  <c r="Q9" i="24" s="1"/>
  <c r="E28" i="19" a="1"/>
  <c r="E28" i="19" s="1"/>
  <c r="E49" i="19" a="1"/>
  <c r="E49" i="19" s="1"/>
  <c r="C70" i="19" a="1"/>
  <c r="C70" i="19" s="1"/>
  <c r="P71" i="24" s="1"/>
  <c r="C90" i="19" a="1"/>
  <c r="C90" i="19" s="1"/>
  <c r="P91" i="24" s="1"/>
  <c r="E110" i="19" a="1"/>
  <c r="E110" i="19" s="1"/>
  <c r="E33" i="15" a="1"/>
  <c r="E33" i="15" s="1"/>
  <c r="E52" i="15" a="1"/>
  <c r="E52" i="15" s="1"/>
  <c r="C72" i="15" a="1"/>
  <c r="C72" i="15" s="1"/>
  <c r="B73" i="24" s="1"/>
  <c r="D93" i="15" a="1"/>
  <c r="D93" i="15" s="1"/>
  <c r="C94" i="24" s="1"/>
  <c r="E114" i="15" a="1"/>
  <c r="E114" i="15" s="1"/>
  <c r="B92" i="16" a="1"/>
  <c r="B92" i="16" s="1"/>
  <c r="B77" i="17" a="1"/>
  <c r="B77" i="17" s="1"/>
  <c r="B65" i="18" a="1"/>
  <c r="B65" i="18" s="1"/>
  <c r="B51" i="19" a="1"/>
  <c r="B51" i="19" s="1"/>
  <c r="B111" i="19" a="1"/>
  <c r="B111" i="19" s="1"/>
  <c r="B84" i="15" a="1"/>
  <c r="B84" i="15" s="1"/>
  <c r="B106" i="15" a="1"/>
  <c r="B106" i="15" s="1"/>
  <c r="B11" i="16" a="1"/>
  <c r="B11" i="16" s="1"/>
  <c r="B25" i="16" a="1"/>
  <c r="B25" i="16" s="1"/>
  <c r="B36" i="16" a="1"/>
  <c r="B36" i="16" s="1"/>
  <c r="B8" i="17" a="1"/>
  <c r="B8" i="17" s="1"/>
  <c r="B17" i="17" a="1"/>
  <c r="B17" i="17" s="1"/>
  <c r="B26" i="17" a="1"/>
  <c r="B26" i="17" s="1"/>
  <c r="B33" i="17" a="1"/>
  <c r="B33" i="17" s="1"/>
  <c r="B41" i="17" a="1"/>
  <c r="B41" i="17" s="1"/>
  <c r="B7" i="18" a="1"/>
  <c r="B7" i="18" s="1"/>
  <c r="B14" i="18" a="1"/>
  <c r="B14" i="18" s="1"/>
  <c r="B21" i="18" a="1"/>
  <c r="B21" i="18" s="1"/>
  <c r="B29" i="18" a="1"/>
  <c r="B29" i="18" s="1"/>
  <c r="B36" i="18" a="1"/>
  <c r="B36" i="18" s="1"/>
  <c r="B10" i="19" a="1"/>
  <c r="B10" i="19" s="1"/>
  <c r="B16" i="19" a="1"/>
  <c r="B16" i="19" s="1"/>
  <c r="B23" i="19" a="1"/>
  <c r="B23" i="19" s="1"/>
  <c r="B31" i="19" a="1"/>
  <c r="B31" i="19" s="1"/>
  <c r="B38" i="19" a="1"/>
  <c r="B38" i="19" s="1"/>
  <c r="B44" i="19" a="1"/>
  <c r="B44" i="19" s="1"/>
  <c r="B16" i="15" a="1"/>
  <c r="B16" i="15" s="1"/>
  <c r="B24" i="15" a="1"/>
  <c r="B24" i="15" s="1"/>
  <c r="B31" i="15" a="1"/>
  <c r="B31" i="15" s="1"/>
  <c r="B39" i="15" a="1"/>
  <c r="B39" i="15" s="1"/>
  <c r="B5" i="16" a="1"/>
  <c r="B5" i="16" s="1"/>
  <c r="D69" i="15" a="1"/>
  <c r="D69" i="15" s="1"/>
  <c r="C70" i="24" s="1"/>
  <c r="B104" i="15" a="1"/>
  <c r="B104" i="15" s="1"/>
  <c r="B16" i="17" a="1"/>
  <c r="B16" i="17" s="1"/>
  <c r="B9" i="19" a="1"/>
  <c r="B9" i="19" s="1"/>
  <c r="B15" i="15" a="1"/>
  <c r="B15" i="15" s="1"/>
  <c r="E21" i="18" a="1"/>
  <c r="E21" i="18" s="1"/>
  <c r="E105" i="18" a="1"/>
  <c r="E105" i="18" s="1"/>
  <c r="C11" i="19" a="1"/>
  <c r="C11" i="19" s="1"/>
  <c r="P12" i="24" s="1"/>
  <c r="D31" i="19" a="1"/>
  <c r="D31" i="19" s="1"/>
  <c r="Q32" i="24" s="1"/>
  <c r="D52" i="19" a="1"/>
  <c r="D52" i="19" s="1"/>
  <c r="Q53" i="24" s="1"/>
  <c r="E72" i="19" a="1"/>
  <c r="E72" i="19" s="1"/>
  <c r="C113" i="19" a="1"/>
  <c r="C113" i="19" s="1"/>
  <c r="P114" i="24" s="1"/>
  <c r="C55" i="15" a="1"/>
  <c r="C55" i="15" s="1"/>
  <c r="B56" i="24" s="1"/>
  <c r="E74" i="15" a="1"/>
  <c r="E74" i="15" s="1"/>
  <c r="C96" i="15" a="1"/>
  <c r="C96" i="15" s="1"/>
  <c r="B97" i="24" s="1"/>
  <c r="D117" i="15" a="1"/>
  <c r="D117" i="15" s="1"/>
  <c r="C118" i="24" s="1"/>
  <c r="B100" i="16" a="1"/>
  <c r="B100" i="16" s="1"/>
  <c r="B85" i="17" a="1"/>
  <c r="B85" i="17" s="1"/>
  <c r="B73" i="18" a="1"/>
  <c r="B73" i="18" s="1"/>
  <c r="B58" i="19" a="1"/>
  <c r="B58" i="19" s="1"/>
  <c r="B119" i="19" a="1"/>
  <c r="B119" i="19" s="1"/>
  <c r="B90" i="15" a="1"/>
  <c r="B90" i="15" s="1"/>
  <c r="B111" i="15" a="1"/>
  <c r="B111" i="15" s="1"/>
  <c r="B12" i="16" a="1"/>
  <c r="B12" i="16" s="1"/>
  <c r="B26" i="16" a="1"/>
  <c r="B26" i="16" s="1"/>
  <c r="B39" i="16" a="1"/>
  <c r="B39" i="16" s="1"/>
  <c r="B9" i="17" a="1"/>
  <c r="B9" i="17" s="1"/>
  <c r="B18" i="17" a="1"/>
  <c r="B18" i="17" s="1"/>
  <c r="B27" i="17" a="1"/>
  <c r="B27" i="17" s="1"/>
  <c r="B34" i="17" a="1"/>
  <c r="B34" i="17" s="1"/>
  <c r="B42" i="17" a="1"/>
  <c r="B42" i="17" s="1"/>
  <c r="B8" i="18" a="1"/>
  <c r="B8" i="18" s="1"/>
  <c r="B15" i="18" a="1"/>
  <c r="B15" i="18" s="1"/>
  <c r="B22" i="18" a="1"/>
  <c r="B22" i="18" s="1"/>
  <c r="B30" i="18" a="1"/>
  <c r="B30" i="18" s="1"/>
  <c r="B37" i="18" a="1"/>
  <c r="B37" i="18" s="1"/>
  <c r="B44" i="18" a="1"/>
  <c r="B44" i="18" s="1"/>
  <c r="B17" i="19" a="1"/>
  <c r="B17" i="19" s="1"/>
  <c r="B24" i="19" a="1"/>
  <c r="B24" i="19" s="1"/>
  <c r="B32" i="19" a="1"/>
  <c r="B32" i="19" s="1"/>
  <c r="B45" i="19" a="1"/>
  <c r="B45" i="19" s="1"/>
  <c r="B10" i="15" a="1"/>
  <c r="B10" i="15" s="1"/>
  <c r="B17" i="15" a="1"/>
  <c r="B17" i="15" s="1"/>
  <c r="B25" i="15" a="1"/>
  <c r="B25" i="15" s="1"/>
  <c r="B32" i="15" a="1"/>
  <c r="B32" i="15" s="1"/>
  <c r="B40" i="15" a="1"/>
  <c r="B40" i="15" s="1"/>
  <c r="B5" i="17" a="1"/>
  <c r="B5" i="17" s="1"/>
  <c r="E5" i="19" a="1"/>
  <c r="E5" i="19" s="1"/>
  <c r="C88" i="19" a="1"/>
  <c r="C88" i="19" s="1"/>
  <c r="P89" i="24" s="1"/>
  <c r="C112" i="15" a="1"/>
  <c r="C112" i="15" s="1"/>
  <c r="B113" i="24" s="1"/>
  <c r="B23" i="16" a="1"/>
  <c r="B23" i="16" s="1"/>
  <c r="B20" i="18" a="1"/>
  <c r="B20" i="18" s="1"/>
  <c r="B43" i="19" a="1"/>
  <c r="B43" i="19" s="1"/>
  <c r="D42" i="18" a="1"/>
  <c r="D42" i="18" s="1"/>
  <c r="N43" i="24" s="1"/>
  <c r="E13" i="19" a="1"/>
  <c r="E13" i="19" s="1"/>
  <c r="C34" i="19" a="1"/>
  <c r="C34" i="19" s="1"/>
  <c r="P35" i="24" s="1"/>
  <c r="E54" i="19" a="1"/>
  <c r="E54" i="19" s="1"/>
  <c r="D75" i="19" a="1"/>
  <c r="D75" i="19" s="1"/>
  <c r="Q76" i="24" s="1"/>
  <c r="C95" i="19" a="1"/>
  <c r="C95" i="19" s="1"/>
  <c r="P96" i="24" s="1"/>
  <c r="E115" i="19" a="1"/>
  <c r="E115" i="19" s="1"/>
  <c r="D19" i="15" a="1"/>
  <c r="D19" i="15" s="1"/>
  <c r="C20" i="24" s="1"/>
  <c r="D77" i="15" a="1"/>
  <c r="D77" i="15" s="1"/>
  <c r="C78" i="24" s="1"/>
  <c r="E98" i="15" a="1"/>
  <c r="E98" i="15" s="1"/>
  <c r="C120" i="15" a="1"/>
  <c r="C120" i="15" s="1"/>
  <c r="B121" i="24" s="1"/>
  <c r="B81" i="18" a="1"/>
  <c r="B81" i="18" s="1"/>
  <c r="B66" i="19" a="1"/>
  <c r="B66" i="19" s="1"/>
  <c r="B52" i="15" a="1"/>
  <c r="B52" i="15" s="1"/>
  <c r="B92" i="15" a="1"/>
  <c r="B92" i="15" s="1"/>
  <c r="B112" i="15" a="1"/>
  <c r="B112" i="15" s="1"/>
  <c r="B13" i="16" a="1"/>
  <c r="B13" i="16" s="1"/>
  <c r="B27" i="16" a="1"/>
  <c r="B27" i="16" s="1"/>
  <c r="B41" i="16" a="1"/>
  <c r="B41" i="16" s="1"/>
  <c r="B10" i="17" a="1"/>
  <c r="B10" i="17" s="1"/>
  <c r="B20" i="17" a="1"/>
  <c r="B20" i="17" s="1"/>
  <c r="B35" i="17" a="1"/>
  <c r="B35" i="17" s="1"/>
  <c r="B43" i="17" a="1"/>
  <c r="B43" i="17" s="1"/>
  <c r="B9" i="18" a="1"/>
  <c r="B9" i="18" s="1"/>
  <c r="B23" i="18" a="1"/>
  <c r="B23" i="18" s="1"/>
  <c r="B31" i="18" a="1"/>
  <c r="B31" i="18" s="1"/>
  <c r="B38" i="18" a="1"/>
  <c r="B38" i="18" s="1"/>
  <c r="B45" i="18" a="1"/>
  <c r="B45" i="18" s="1"/>
  <c r="B11" i="19" a="1"/>
  <c r="B11" i="19" s="1"/>
  <c r="B18" i="19" a="1"/>
  <c r="B18" i="19" s="1"/>
  <c r="B25" i="19" a="1"/>
  <c r="B25" i="19" s="1"/>
  <c r="B33" i="19" a="1"/>
  <c r="B33" i="19" s="1"/>
  <c r="B39" i="19" a="1"/>
  <c r="B39" i="19" s="1"/>
  <c r="B46" i="19" a="1"/>
  <c r="B46" i="19" s="1"/>
  <c r="B11" i="15" a="1"/>
  <c r="B11" i="15" s="1"/>
  <c r="B18" i="15" a="1"/>
  <c r="B18" i="15" s="1"/>
  <c r="B33" i="15" a="1"/>
  <c r="B33" i="15" s="1"/>
  <c r="B41" i="15" a="1"/>
  <c r="B41" i="15" s="1"/>
  <c r="B5" i="18" a="1"/>
  <c r="B5" i="18" s="1"/>
  <c r="B34" i="15" a="1"/>
  <c r="B34" i="15" s="1"/>
  <c r="B5" i="19" a="1"/>
  <c r="B5" i="19" s="1"/>
  <c r="B21" i="15" a="1"/>
  <c r="B21" i="15" s="1"/>
  <c r="B37" i="15" a="1"/>
  <c r="B37" i="15" s="1"/>
  <c r="C47" i="19" a="1"/>
  <c r="C47" i="19" s="1"/>
  <c r="P48" i="24" s="1"/>
  <c r="C50" i="15" a="1"/>
  <c r="C50" i="15" s="1"/>
  <c r="B51" i="24" s="1"/>
  <c r="B118" i="18" a="1"/>
  <c r="B118" i="18" s="1"/>
  <c r="B6" i="18" a="1"/>
  <c r="B6" i="18" s="1"/>
  <c r="B22" i="19" a="1"/>
  <c r="B22" i="19" s="1"/>
  <c r="B30" i="15" a="1"/>
  <c r="B30" i="15" s="1"/>
  <c r="C22" i="16" a="1"/>
  <c r="C22" i="16" s="1"/>
  <c r="F23" i="24" s="1"/>
  <c r="D52" i="18" a="1"/>
  <c r="D52" i="18" s="1"/>
  <c r="N53" i="24" s="1"/>
  <c r="E111" i="18" a="1"/>
  <c r="E111" i="18" s="1"/>
  <c r="D16" i="19" a="1"/>
  <c r="D16" i="19" s="1"/>
  <c r="Q17" i="24" s="1"/>
  <c r="D36" i="19" a="1"/>
  <c r="D36" i="19" s="1"/>
  <c r="Q37" i="24" s="1"/>
  <c r="D57" i="19" a="1"/>
  <c r="D57" i="19" s="1"/>
  <c r="Q58" i="24" s="1"/>
  <c r="C78" i="19" a="1"/>
  <c r="C78" i="19" s="1"/>
  <c r="P79" i="24" s="1"/>
  <c r="E97" i="19" a="1"/>
  <c r="E97" i="19" s="1"/>
  <c r="D118" i="19" a="1"/>
  <c r="D118" i="19" s="1"/>
  <c r="Q119" i="24" s="1"/>
  <c r="C22" i="15" a="1"/>
  <c r="C22" i="15" s="1"/>
  <c r="B23" i="24" s="1"/>
  <c r="E40" i="15" a="1"/>
  <c r="E40" i="15" s="1"/>
  <c r="C80" i="15" a="1"/>
  <c r="C80" i="15" s="1"/>
  <c r="B81" i="24" s="1"/>
  <c r="D101" i="15" a="1"/>
  <c r="D101" i="15" s="1"/>
  <c r="C102" i="24" s="1"/>
  <c r="B52" i="16" a="1"/>
  <c r="B52" i="16" s="1"/>
  <c r="B114" i="16" a="1"/>
  <c r="B114" i="16" s="1"/>
  <c r="B99" i="17" a="1"/>
  <c r="B99" i="17" s="1"/>
  <c r="B88" i="18" a="1"/>
  <c r="B88" i="18" s="1"/>
  <c r="B74" i="19" a="1"/>
  <c r="B74" i="19" s="1"/>
  <c r="B60" i="15" a="1"/>
  <c r="B60" i="15" s="1"/>
  <c r="B113" i="15" a="1"/>
  <c r="B113" i="15" s="1"/>
  <c r="B28" i="16" a="1"/>
  <c r="B28" i="16" s="1"/>
  <c r="B42" i="16" a="1"/>
  <c r="B42" i="16" s="1"/>
  <c r="B11" i="17" a="1"/>
  <c r="B11" i="17" s="1"/>
  <c r="B29" i="17" a="1"/>
  <c r="B29" i="17" s="1"/>
  <c r="B36" i="17" a="1"/>
  <c r="B36" i="17" s="1"/>
  <c r="B44" i="17" a="1"/>
  <c r="B44" i="17" s="1"/>
  <c r="B10" i="18" a="1"/>
  <c r="B10" i="18" s="1"/>
  <c r="B16" i="18" a="1"/>
  <c r="B16" i="18" s="1"/>
  <c r="B24" i="18" a="1"/>
  <c r="B24" i="18" s="1"/>
  <c r="B32" i="18" a="1"/>
  <c r="B32" i="18" s="1"/>
  <c r="B39" i="18" a="1"/>
  <c r="B39" i="18" s="1"/>
  <c r="B46" i="18" a="1"/>
  <c r="B46" i="18" s="1"/>
  <c r="B12" i="19" a="1"/>
  <c r="B12" i="19" s="1"/>
  <c r="B26" i="19" a="1"/>
  <c r="B26" i="19" s="1"/>
  <c r="B34" i="19" a="1"/>
  <c r="B34" i="19" s="1"/>
  <c r="B40" i="19" a="1"/>
  <c r="B40" i="19" s="1"/>
  <c r="B12" i="15" a="1"/>
  <c r="B12" i="15" s="1"/>
  <c r="B19" i="15" a="1"/>
  <c r="B19" i="15" s="1"/>
  <c r="B26" i="15" a="1"/>
  <c r="B26" i="15" s="1"/>
  <c r="B42" i="15" a="1"/>
  <c r="B42" i="15" s="1"/>
  <c r="B43" i="15" a="1"/>
  <c r="B43" i="15" s="1"/>
  <c r="B36" i="15" a="1"/>
  <c r="B36" i="15" s="1"/>
  <c r="D98" i="17" a="1"/>
  <c r="D98" i="17" s="1"/>
  <c r="K99" i="24" s="1"/>
  <c r="D108" i="19" a="1"/>
  <c r="D108" i="19" s="1"/>
  <c r="Q109" i="24" s="1"/>
  <c r="B84" i="16" a="1"/>
  <c r="B84" i="16" s="1"/>
  <c r="B35" i="16" a="1"/>
  <c r="B35" i="16" s="1"/>
  <c r="B28" i="18" a="1"/>
  <c r="B28" i="18" s="1"/>
  <c r="B37" i="19" a="1"/>
  <c r="B37" i="19" s="1"/>
  <c r="B46" i="15" a="1"/>
  <c r="B46" i="15" s="1"/>
  <c r="D35" i="17" a="1"/>
  <c r="D35" i="17" s="1"/>
  <c r="K36" i="24" s="1"/>
  <c r="C62" i="18" a="1"/>
  <c r="C62" i="18" s="1"/>
  <c r="M63" i="24" s="1"/>
  <c r="C114" i="18" a="1"/>
  <c r="C114" i="18" s="1"/>
  <c r="M115" i="24" s="1"/>
  <c r="E18" i="19" a="1"/>
  <c r="E18" i="19" s="1"/>
  <c r="C39" i="19" a="1"/>
  <c r="C39" i="19" s="1"/>
  <c r="P40" i="24" s="1"/>
  <c r="C60" i="19" a="1"/>
  <c r="C60" i="19" s="1"/>
  <c r="P61" i="24" s="1"/>
  <c r="E80" i="19" a="1"/>
  <c r="E80" i="19" s="1"/>
  <c r="D100" i="19" a="1"/>
  <c r="D100" i="19" s="1"/>
  <c r="Q101" i="24" s="1"/>
  <c r="E120" i="19" a="1"/>
  <c r="E120" i="19" s="1"/>
  <c r="D24" i="15" a="1"/>
  <c r="D24" i="15" s="1"/>
  <c r="C25" i="24" s="1"/>
  <c r="D43" i="15" a="1"/>
  <c r="D43" i="15" s="1"/>
  <c r="C44" i="24" s="1"/>
  <c r="D61" i="15" a="1"/>
  <c r="D61" i="15" s="1"/>
  <c r="C62" i="24" s="1"/>
  <c r="E82" i="15" a="1"/>
  <c r="E82" i="15" s="1"/>
  <c r="C104" i="15" a="1"/>
  <c r="C104" i="15" s="1"/>
  <c r="B105" i="24" s="1"/>
  <c r="B60" i="16" a="1"/>
  <c r="B60" i="16" s="1"/>
  <c r="B48" i="17" a="1"/>
  <c r="B48" i="17" s="1"/>
  <c r="B107" i="17" a="1"/>
  <c r="B107" i="17" s="1"/>
  <c r="B82" i="19" a="1"/>
  <c r="B82" i="19" s="1"/>
  <c r="B67" i="15" a="1"/>
  <c r="B67" i="15" s="1"/>
  <c r="B97" i="15" a="1"/>
  <c r="B97" i="15" s="1"/>
  <c r="B117" i="15" a="1"/>
  <c r="B117" i="15" s="1"/>
  <c r="B18" i="16" a="1"/>
  <c r="B18" i="16" s="1"/>
  <c r="B31" i="16" a="1"/>
  <c r="B31" i="16" s="1"/>
  <c r="B43" i="16" a="1"/>
  <c r="B43" i="16" s="1"/>
  <c r="B22" i="17" a="1"/>
  <c r="B22" i="17" s="1"/>
  <c r="B30" i="17" a="1"/>
  <c r="B30" i="17" s="1"/>
  <c r="B37" i="17" a="1"/>
  <c r="B37" i="17" s="1"/>
  <c r="B11" i="18" a="1"/>
  <c r="B11" i="18" s="1"/>
  <c r="B17" i="18" a="1"/>
  <c r="B17" i="18" s="1"/>
  <c r="B25" i="18" a="1"/>
  <c r="B25" i="18" s="1"/>
  <c r="B33" i="18" a="1"/>
  <c r="B33" i="18" s="1"/>
  <c r="B40" i="18" a="1"/>
  <c r="B40" i="18" s="1"/>
  <c r="B6" i="19" a="1"/>
  <c r="B6" i="19" s="1"/>
  <c r="B13" i="19" a="1"/>
  <c r="B13" i="19" s="1"/>
  <c r="B19" i="19" a="1"/>
  <c r="B19" i="19" s="1"/>
  <c r="B27" i="19" a="1"/>
  <c r="B27" i="19" s="1"/>
  <c r="B41" i="19" a="1"/>
  <c r="B41" i="19" s="1"/>
  <c r="B6" i="15" a="1"/>
  <c r="B6" i="15" s="1"/>
  <c r="B13" i="15" a="1"/>
  <c r="B13" i="15" s="1"/>
  <c r="B20" i="15" a="1"/>
  <c r="B20" i="15" s="1"/>
  <c r="B27" i="15" a="1"/>
  <c r="B27" i="15" s="1"/>
  <c r="B35" i="15" a="1"/>
  <c r="B35" i="15" s="1"/>
  <c r="B5" i="15" a="1"/>
  <c r="B5" i="15" s="1"/>
  <c r="B44" i="15" a="1"/>
  <c r="B44" i="15" s="1"/>
  <c r="C26" i="19" a="1"/>
  <c r="C26" i="19" s="1"/>
  <c r="P27" i="24" s="1"/>
  <c r="D31" i="15" a="1"/>
  <c r="D31" i="15" s="1"/>
  <c r="C32" i="24" s="1"/>
  <c r="B57" i="18" a="1"/>
  <c r="B57" i="18" s="1"/>
  <c r="B40" i="17" a="1"/>
  <c r="B40" i="17" s="1"/>
  <c r="B15" i="19" a="1"/>
  <c r="B15" i="19" s="1"/>
  <c r="B23" i="15" a="1"/>
  <c r="B23" i="15" s="1"/>
  <c r="C57" i="17" a="1"/>
  <c r="C57" i="17" s="1"/>
  <c r="J58" i="24" s="1"/>
  <c r="C72" i="18" a="1"/>
  <c r="C72" i="18" s="1"/>
  <c r="M73" i="24" s="1"/>
  <c r="D116" i="18" a="1"/>
  <c r="D116" i="18" s="1"/>
  <c r="N117" i="24" s="1"/>
  <c r="C21" i="19" a="1"/>
  <c r="C21" i="19" s="1"/>
  <c r="P22" i="24" s="1"/>
  <c r="E41" i="19" a="1"/>
  <c r="E41" i="19" s="1"/>
  <c r="E62" i="19" a="1"/>
  <c r="E62" i="19" s="1"/>
  <c r="D83" i="19" a="1"/>
  <c r="D83" i="19" s="1"/>
  <c r="Q84" i="24" s="1"/>
  <c r="C103" i="19" a="1"/>
  <c r="C103" i="19" s="1"/>
  <c r="P104" i="24" s="1"/>
  <c r="C7" i="15" a="1"/>
  <c r="C7" i="15" s="1"/>
  <c r="B8" i="24" s="1"/>
  <c r="D26" i="15" a="1"/>
  <c r="D26" i="15" s="1"/>
  <c r="C27" i="24" s="1"/>
  <c r="E45" i="15" a="1"/>
  <c r="E45" i="15" s="1"/>
  <c r="C64" i="15" a="1"/>
  <c r="C64" i="15" s="1"/>
  <c r="B65" i="24" s="1"/>
  <c r="D85" i="15" a="1"/>
  <c r="D85" i="15" s="1"/>
  <c r="C86" i="24" s="1"/>
  <c r="E106" i="15" a="1"/>
  <c r="E106" i="15" s="1"/>
  <c r="B68" i="16" a="1"/>
  <c r="B68" i="16" s="1"/>
  <c r="B56" i="17" a="1"/>
  <c r="B56" i="17" s="1"/>
  <c r="B115" i="17" a="1"/>
  <c r="B115" i="17" s="1"/>
  <c r="B102" i="18" a="1"/>
  <c r="B102" i="18" s="1"/>
  <c r="B90" i="19" a="1"/>
  <c r="B90" i="19" s="1"/>
  <c r="B75" i="15" a="1"/>
  <c r="B75" i="15" s="1"/>
  <c r="B99" i="15" a="1"/>
  <c r="B99" i="15" s="1"/>
  <c r="B118" i="15" a="1"/>
  <c r="B118" i="15" s="1"/>
  <c r="B19" i="16" a="1"/>
  <c r="B19" i="16" s="1"/>
  <c r="B33" i="16" a="1"/>
  <c r="B33" i="16" s="1"/>
  <c r="B44" i="16" a="1"/>
  <c r="B44" i="16" s="1"/>
  <c r="B13" i="17" a="1"/>
  <c r="B13" i="17" s="1"/>
  <c r="B23" i="17" a="1"/>
  <c r="B23" i="17" s="1"/>
  <c r="B31" i="17" a="1"/>
  <c r="B31" i="17" s="1"/>
  <c r="B38" i="17" a="1"/>
  <c r="B38" i="17" s="1"/>
  <c r="B45" i="17" a="1"/>
  <c r="B45" i="17" s="1"/>
  <c r="B18" i="18" a="1"/>
  <c r="B18" i="18" s="1"/>
  <c r="B26" i="18" a="1"/>
  <c r="B26" i="18" s="1"/>
  <c r="B34" i="18" a="1"/>
  <c r="B34" i="18" s="1"/>
  <c r="B41" i="18" a="1"/>
  <c r="B41" i="18" s="1"/>
  <c r="B7" i="19" a="1"/>
  <c r="B7" i="19" s="1"/>
  <c r="B14" i="19" a="1"/>
  <c r="B14" i="19" s="1"/>
  <c r="B20" i="19" a="1"/>
  <c r="B20" i="19" s="1"/>
  <c r="B28" i="19" a="1"/>
  <c r="B28" i="19" s="1"/>
  <c r="B35" i="19" a="1"/>
  <c r="B35" i="19" s="1"/>
  <c r="B42" i="19" a="1"/>
  <c r="B42" i="19" s="1"/>
  <c r="B7" i="15" a="1"/>
  <c r="B7" i="15" s="1"/>
  <c r="B28" i="15" a="1"/>
  <c r="B28" i="15" s="1"/>
  <c r="B45" i="15" a="1"/>
  <c r="B45" i="15" s="1"/>
  <c r="E67" i="19" a="1"/>
  <c r="E67" i="19" s="1"/>
  <c r="E90" i="15" a="1"/>
  <c r="E90" i="15" s="1"/>
  <c r="B10" i="16" a="1"/>
  <c r="B10" i="16" s="1"/>
  <c r="B13" i="18" a="1"/>
  <c r="B13" i="18" s="1"/>
  <c r="B30" i="19" a="1"/>
  <c r="B30" i="19" s="1"/>
  <c r="B38" i="15" a="1"/>
  <c r="B38" i="15" s="1"/>
  <c r="C78" i="17" a="1"/>
  <c r="C78" i="17" s="1"/>
  <c r="J79" i="24" s="1"/>
  <c r="C119" i="18" a="1"/>
  <c r="C119" i="18" s="1"/>
  <c r="M120" i="24" s="1"/>
  <c r="E23" i="19" a="1"/>
  <c r="E23" i="19" s="1"/>
  <c r="D44" i="19" a="1"/>
  <c r="D44" i="19" s="1"/>
  <c r="Q45" i="24" s="1"/>
  <c r="C65" i="19" a="1"/>
  <c r="C65" i="19" s="1"/>
  <c r="P66" i="24" s="1"/>
  <c r="E85" i="19" a="1"/>
  <c r="E85" i="19" s="1"/>
  <c r="E105" i="19" a="1"/>
  <c r="E105" i="19" s="1"/>
  <c r="E9" i="15" a="1"/>
  <c r="E9" i="15" s="1"/>
  <c r="E28" i="15" a="1"/>
  <c r="E28" i="15" s="1"/>
  <c r="E47" i="15" a="1"/>
  <c r="E47" i="15" s="1"/>
  <c r="E66" i="15" a="1"/>
  <c r="E66" i="15" s="1"/>
  <c r="C88" i="15" a="1"/>
  <c r="C88" i="15" s="1"/>
  <c r="B89" i="24" s="1"/>
  <c r="D109" i="15" a="1"/>
  <c r="D109" i="15" s="1"/>
  <c r="C110" i="24" s="1"/>
  <c r="B76" i="16" a="1"/>
  <c r="B76" i="16" s="1"/>
  <c r="B63" i="17" a="1"/>
  <c r="B63" i="17" s="1"/>
  <c r="B49" i="18" a="1"/>
  <c r="B49" i="18" s="1"/>
  <c r="B110" i="18" a="1"/>
  <c r="B110" i="18" s="1"/>
  <c r="B98" i="19" a="1"/>
  <c r="B98" i="19" s="1"/>
  <c r="B77" i="15" a="1"/>
  <c r="B77" i="15" s="1"/>
  <c r="B103" i="15" a="1"/>
  <c r="B103" i="15" s="1"/>
  <c r="B120" i="15" a="1"/>
  <c r="B120" i="15" s="1"/>
  <c r="B20" i="16" a="1"/>
  <c r="B20" i="16" s="1"/>
  <c r="B34" i="16" a="1"/>
  <c r="B34" i="16" s="1"/>
  <c r="B46" i="16" a="1"/>
  <c r="B46" i="16" s="1"/>
  <c r="B15" i="17" a="1"/>
  <c r="B15" i="17" s="1"/>
  <c r="B24" i="17" a="1"/>
  <c r="B24" i="17" s="1"/>
  <c r="B32" i="17" a="1"/>
  <c r="B32" i="17" s="1"/>
  <c r="B39" i="17" a="1"/>
  <c r="B39" i="17" s="1"/>
  <c r="B46" i="17" a="1"/>
  <c r="B46" i="17" s="1"/>
  <c r="B12" i="18" a="1"/>
  <c r="B12" i="18" s="1"/>
  <c r="B19" i="18" a="1"/>
  <c r="B19" i="18" s="1"/>
  <c r="B27" i="18" a="1"/>
  <c r="B27" i="18" s="1"/>
  <c r="B35" i="18" a="1"/>
  <c r="B35" i="18" s="1"/>
  <c r="B42" i="18" a="1"/>
  <c r="B42" i="18" s="1"/>
  <c r="B8" i="19" a="1"/>
  <c r="B8" i="19" s="1"/>
  <c r="B21" i="19" a="1"/>
  <c r="B21" i="19" s="1"/>
  <c r="B29" i="19" a="1"/>
  <c r="B29" i="19" s="1"/>
  <c r="B36" i="19" a="1"/>
  <c r="B36" i="19" s="1"/>
  <c r="B8" i="15" a="1"/>
  <c r="B8" i="15" s="1"/>
  <c r="B14" i="15" a="1"/>
  <c r="B14" i="15" s="1"/>
  <c r="B22" i="15" a="1"/>
  <c r="B22" i="15" s="1"/>
  <c r="B29" i="15" a="1"/>
  <c r="B29" i="15" s="1"/>
  <c r="D91" i="18" a="1"/>
  <c r="D91" i="18" s="1"/>
  <c r="N92" i="24" s="1"/>
  <c r="C12" i="15" a="1"/>
  <c r="C12" i="15" s="1"/>
  <c r="B13" i="24" s="1"/>
  <c r="B70" i="17" a="1"/>
  <c r="B70" i="17" s="1"/>
  <c r="B6" i="17" a="1"/>
  <c r="B6" i="17" s="1"/>
  <c r="B43" i="18" a="1"/>
  <c r="B43" i="18" s="1"/>
  <c r="B9" i="15" a="1"/>
  <c r="B9" i="15" s="1"/>
  <c r="D319" i="1"/>
  <c r="C127" i="16" l="1" a="1"/>
  <c r="C127" i="16" s="1"/>
  <c r="F128" i="24" s="1"/>
  <c r="D125" i="16" a="1"/>
  <c r="D125" i="16" s="1"/>
  <c r="G126" i="24" s="1"/>
  <c r="G273" i="24" s="1"/>
  <c r="E121" i="16" a="1"/>
  <c r="E121" i="16" s="1"/>
  <c r="C273" i="24"/>
  <c r="N273" i="24"/>
  <c r="K273" i="24"/>
  <c r="Q273" i="24"/>
  <c r="D272" i="18"/>
  <c r="D11" i="20" s="1"/>
  <c r="D272" i="19"/>
  <c r="K32" i="26" s="1"/>
  <c r="D272" i="15"/>
  <c r="D272" i="17"/>
  <c r="D25" i="26" s="1"/>
  <c r="D272" i="16" l="1"/>
  <c r="D24" i="26" s="1"/>
  <c r="D9" i="25"/>
  <c r="D23" i="26"/>
  <c r="M5" i="25"/>
  <c r="D14" i="26"/>
  <c r="E14" i="26" s="1"/>
  <c r="D11" i="25"/>
  <c r="D12" i="20"/>
  <c r="M5" i="21"/>
  <c r="D10" i="20"/>
  <c r="D13" i="21"/>
  <c r="D8" i="20"/>
  <c r="D11" i="21"/>
  <c r="D13" i="26" l="1"/>
  <c r="D15" i="26" s="1"/>
  <c r="E15" i="26" s="1"/>
  <c r="D9" i="20"/>
  <c r="D14" i="20" s="1"/>
  <c r="E8" i="20" s="1"/>
  <c r="D12" i="21"/>
  <c r="D14" i="21" s="1"/>
  <c r="M6" i="21" s="1"/>
  <c r="D10" i="25"/>
  <c r="D12" i="25" s="1"/>
  <c r="E11" i="25" s="1"/>
  <c r="D26" i="26"/>
  <c r="E13" i="26"/>
  <c r="E25" i="26" l="1"/>
  <c r="K34" i="26"/>
  <c r="E24" i="26"/>
  <c r="E23" i="26"/>
  <c r="E26" i="26" s="1"/>
  <c r="M6" i="25"/>
  <c r="E9" i="25"/>
  <c r="E10" i="25"/>
  <c r="E10" i="20"/>
  <c r="E9" i="20"/>
  <c r="D21" i="20"/>
  <c r="E11" i="20"/>
  <c r="E12" i="20"/>
  <c r="E13" i="21"/>
  <c r="E12" i="21"/>
  <c r="E11" i="21"/>
  <c r="E12" i="25" l="1"/>
  <c r="E14" i="20"/>
  <c r="E14" i="21"/>
</calcChain>
</file>

<file path=xl/sharedStrings.xml><?xml version="1.0" encoding="utf-8"?>
<sst xmlns="http://schemas.openxmlformats.org/spreadsheetml/2006/main" count="191" uniqueCount="66">
  <si>
    <t>CONDOMINO</t>
  </si>
  <si>
    <t>CTA</t>
  </si>
  <si>
    <t xml:space="preserve">TOTAL </t>
  </si>
  <si>
    <t>COBRANZA JUDICIAL</t>
  </si>
  <si>
    <t xml:space="preserve">DEUDA CORRIENTE </t>
  </si>
  <si>
    <t xml:space="preserve">SIN ADEUDO </t>
  </si>
  <si>
    <t xml:space="preserve">ANTICIPOS </t>
  </si>
  <si>
    <t>STATUS</t>
  </si>
  <si>
    <t xml:space="preserve">DESDE </t>
  </si>
  <si>
    <t>HASTA</t>
  </si>
  <si>
    <t>EN ADELANTE</t>
  </si>
  <si>
    <t>CLASIFICACIÓN</t>
  </si>
  <si>
    <t>DEUDA CORRIENTE</t>
  </si>
  <si>
    <t>SIN ADEUDO</t>
  </si>
  <si>
    <t>TOTAL</t>
  </si>
  <si>
    <t>STATUS AREA LEGAL</t>
  </si>
  <si>
    <t>DIFERENCIA VS COI</t>
  </si>
  <si>
    <t>CIERRE COBRANZA</t>
  </si>
  <si>
    <t>SALDO</t>
  </si>
  <si>
    <t>%</t>
  </si>
  <si>
    <t>NUM</t>
  </si>
  <si>
    <t>AGREGAR STATUS</t>
  </si>
  <si>
    <t>CUOTAS ANTICIPADAS</t>
  </si>
  <si>
    <t>SALDO CONDOMINOS</t>
  </si>
  <si>
    <t>PENDIENTE APROBACIÓN COMITÉ</t>
  </si>
  <si>
    <t>FASE 1</t>
  </si>
  <si>
    <t>FASE 2</t>
  </si>
  <si>
    <t>FASE 3</t>
  </si>
  <si>
    <t>FASE 4</t>
  </si>
  <si>
    <t>TRIBUNALES EN RECESO</t>
  </si>
  <si>
    <t>STATUS LEGAL</t>
  </si>
  <si>
    <t>SALDO SEGÚN BALANZA</t>
  </si>
  <si>
    <t>MOROSOS</t>
  </si>
  <si>
    <t>ANTICIPOS</t>
  </si>
  <si>
    <t>OTRO</t>
  </si>
  <si>
    <t>STATUS COBRANZA</t>
  </si>
  <si>
    <t>JUDICIAL</t>
  </si>
  <si>
    <t>SERVICIOS CERRADOS</t>
  </si>
  <si>
    <t>OBSERVACIONES</t>
  </si>
  <si>
    <t>FASE 1 - DEMANDA</t>
  </si>
  <si>
    <t>FASE 2 - ADMISIÓN DE DEMANDA</t>
  </si>
  <si>
    <t>FASE 3 - EMPLAZAMIENTO DE EMBARGO</t>
  </si>
  <si>
    <t>FASE 4 - CONTESTACIÓN DE DEMANDA</t>
  </si>
  <si>
    <t>FASE 5 - SENTENCIA</t>
  </si>
  <si>
    <t>PT INTERNO</t>
  </si>
  <si>
    <t>NO AGREGAR A PRESENTACIÓN</t>
  </si>
  <si>
    <t>EN ACLARACIÓN POR PARTE DE CONDOMINO</t>
  </si>
  <si>
    <t>EN CONVENIO</t>
  </si>
  <si>
    <t>C PERFECTA MENSUAL</t>
  </si>
  <si>
    <t>NOTA:</t>
  </si>
  <si>
    <t>DEUDA CONDOMINOS</t>
  </si>
  <si>
    <t>COBRADO</t>
  </si>
  <si>
    <t>ANALISIS DE COBRANZA</t>
  </si>
  <si>
    <t>DEUDA CONDOMINOS (EF)</t>
  </si>
  <si>
    <t>COBRANZA PERFECTA</t>
  </si>
  <si>
    <t>1. C JUDICIAL</t>
  </si>
  <si>
    <t>2. MOROSOS</t>
  </si>
  <si>
    <t>INTEGRACIÓN DE DEUDA</t>
  </si>
  <si>
    <t>3. DEUDA CORRIENTE</t>
  </si>
  <si>
    <t>CUOTA MENSUAL</t>
  </si>
  <si>
    <t>NOTAS:</t>
  </si>
  <si>
    <t>ID</t>
  </si>
  <si>
    <t>DEPTOS</t>
  </si>
  <si>
    <t>NO IDENTIFICADOS</t>
  </si>
  <si>
    <t>Analisis de cobranza mensual</t>
  </si>
  <si>
    <t>CONJUNTO RESIDENCIAL AVIVIA 58, 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</si>
</sst>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&quot;$&quot;#,##0.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Bookman Old Style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6"/>
      <name val="Lucida Sans Typewriter"/>
      <family val="3"/>
    </font>
    <font>
      <sz val="22"/>
      <color theme="1"/>
      <name val="Bahnschrift Condensed"/>
      <family val="2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1"/>
      <color theme="1"/>
      <name val="Bahnschrift Light SemiCondensed"/>
      <family val="2"/>
    </font>
    <font>
      <sz val="11"/>
      <color theme="1"/>
      <name val="Bahnschrift SemiLight"/>
      <family val="2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14"/>
      <color theme="0"/>
      <name val="Bookman Old Style"/>
      <family val="1"/>
    </font>
    <font>
      <sz val="14"/>
      <color theme="0"/>
      <name val="Bookman Old Style"/>
      <family val="1"/>
    </font>
    <font>
      <b/>
      <sz val="13"/>
      <name val="Century Gothic"/>
      <family val="2"/>
    </font>
    <font>
      <u/>
      <sz val="11"/>
      <color theme="10"/>
      <name val="Calibri"/>
      <family val="2"/>
      <scheme val="minor"/>
    </font>
    <font>
      <b/>
      <sz val="11.5"/>
      <name val="Calibri"/>
      <family val="2"/>
      <scheme val="minor"/>
    </font>
    <font>
      <b/>
      <sz val="11"/>
      <color theme="1"/>
      <name val="Bookman Old Style"/>
      <family val="1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Bahnschrift Light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Bahnschrift Light"/>
      <family val="2"/>
    </font>
    <font>
      <sz val="18"/>
      <color rgb="FFFF0000"/>
      <name val="Bahnschrift Light SemiCondensed"/>
      <family val="2"/>
    </font>
    <font>
      <b/>
      <sz val="11"/>
      <color theme="1"/>
      <name val="Bahnschrift Light SemiCondensed"/>
      <family val="2"/>
    </font>
    <font>
      <b/>
      <sz val="12"/>
      <color theme="1"/>
      <name val="Bahnschrift Light SemiCondensed"/>
      <family val="2"/>
    </font>
    <font>
      <b/>
      <sz val="12"/>
      <name val="Century Gothic"/>
      <family val="2"/>
    </font>
    <font>
      <b/>
      <sz val="11"/>
      <name val="Century Gothic"/>
      <family val="2"/>
    </font>
    <font>
      <b/>
      <sz val="14"/>
      <color rgb="FFC00000"/>
      <name val="Bookman Old Style"/>
      <family val="1"/>
    </font>
    <font>
      <b/>
      <sz val="11"/>
      <name val="Bookman Old Style"/>
      <family val="1"/>
    </font>
    <font>
      <b/>
      <sz val="11"/>
      <color rgb="FFC00000"/>
      <name val="Bookman Old Style"/>
      <family val="1"/>
    </font>
    <font>
      <b/>
      <sz val="11"/>
      <color theme="3" tint="-0.499984740745262"/>
      <name val="Bookman Old Style"/>
      <family val="1"/>
    </font>
    <font>
      <b/>
      <sz val="16"/>
      <name val="Yu Gothic Medium"/>
      <family val="2"/>
    </font>
    <font>
      <b/>
      <sz val="16"/>
      <color rgb="FF203988"/>
      <name val="Perpetua Titling MT"/>
      <family val="1"/>
    </font>
    <font>
      <b/>
      <sz val="13"/>
      <name val="Yu Gothic Medium"/>
      <family val="2"/>
    </font>
    <font>
      <sz val="10"/>
      <name val="MS Sans Serif"/>
    </font>
    <font>
      <b/>
      <sz val="11"/>
      <color theme="0"/>
      <name val="Yu Gothic Medium"/>
      <family val="2"/>
    </font>
    <font>
      <sz val="10"/>
      <name val="Arial"/>
      <family val="2"/>
    </font>
    <font>
      <sz val="11"/>
      <name val="Calibri"/>
      <family val="2"/>
    </font>
  </fonts>
  <fills count="18">
    <fill>
      <patternFill patternType="none"/>
    </fill>
    <fill>
      <patternFill patternType="gray125"/>
    </fill>
    <fill>
      <gradientFill type="path">
        <stop position="0">
          <color rgb="FFFF0000"/>
        </stop>
        <stop position="1">
          <color theme="1"/>
        </stop>
      </gradient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gradientFill degree="135">
        <stop position="0">
          <color theme="1"/>
        </stop>
        <stop position="1">
          <color rgb="FFC00000"/>
        </stop>
      </gradientFill>
    </fill>
    <fill>
      <patternFill patternType="solid">
        <fgColor theme="1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1"/>
        <bgColor auto="1"/>
      </patternFill>
    </fill>
    <fill>
      <gradientFill degree="45">
        <stop position="0">
          <color rgb="FF421E06"/>
        </stop>
        <stop position="0.5">
          <color rgb="FF996633"/>
        </stop>
        <stop position="1">
          <color rgb="FF421E06"/>
        </stop>
      </gradientFill>
    </fill>
    <fill>
      <patternFill patternType="solid">
        <fgColor rgb="FFFFFF00"/>
        <bgColor indexed="64"/>
      </patternFill>
    </fill>
    <fill>
      <patternFill patternType="solid">
        <fgColor rgb="FFC00000"/>
        <bgColor auto="1"/>
      </patternFill>
    </fill>
    <fill>
      <gradientFill degree="45">
        <stop position="0">
          <color theme="0" tint="-0.34900967436750391"/>
        </stop>
        <stop position="1">
          <color theme="1"/>
        </stop>
      </gradientFill>
    </fill>
    <fill>
      <patternFill patternType="solid">
        <fgColor theme="4" tint="-0.499984740745262"/>
        <bgColor auto="1"/>
      </patternFill>
    </fill>
    <fill>
      <patternFill patternType="solid">
        <fgColor rgb="FF00B050"/>
        <bgColor indexed="64"/>
      </patternFill>
    </fill>
    <fill>
      <gradientFill type="path" left="1" right="1">
        <stop position="0">
          <color theme="1"/>
        </stop>
        <stop position="1">
          <color rgb="FF203988"/>
        </stop>
      </gradientFill>
    </fill>
    <fill>
      <gradientFill type="path">
        <stop position="0">
          <color rgb="FF0070C0"/>
        </stop>
        <stop position="1">
          <color theme="1"/>
        </stop>
      </gradientFill>
    </fill>
    <fill>
      <patternFill patternType="solid">
        <fgColor rgb="FF0070C0"/>
        <bgColor theme="4"/>
      </patternFill>
    </fill>
  </fills>
  <borders count="19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theme="0" tint="-4.9989318521683403E-2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theme="4" tint="0.39997558519241921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38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0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1" fillId="3" borderId="0" xfId="0" applyFont="1" applyFill="1"/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13" fillId="3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9" fontId="12" fillId="3" borderId="0" xfId="2" applyFont="1" applyFill="1" applyAlignment="1">
      <alignment horizontal="center"/>
    </xf>
    <xf numFmtId="0" fontId="16" fillId="3" borderId="0" xfId="0" applyFont="1" applyFill="1"/>
    <xf numFmtId="0" fontId="16" fillId="3" borderId="0" xfId="0" applyFont="1" applyFill="1" applyAlignment="1">
      <alignment horizontal="center" vertical="center"/>
    </xf>
    <xf numFmtId="9" fontId="16" fillId="3" borderId="7" xfId="2" applyFont="1" applyFill="1" applyBorder="1" applyAlignment="1">
      <alignment horizontal="center" vertical="center"/>
    </xf>
    <xf numFmtId="43" fontId="14" fillId="7" borderId="0" xfId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2" fillId="8" borderId="1" xfId="1" applyNumberFormat="1" applyFont="1" applyFill="1" applyBorder="1" applyAlignment="1">
      <alignment horizontal="center" vertical="center"/>
    </xf>
    <xf numFmtId="164" fontId="2" fillId="8" borderId="1" xfId="1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9" fontId="12" fillId="3" borderId="0" xfId="2" applyFont="1" applyFill="1"/>
    <xf numFmtId="164" fontId="14" fillId="7" borderId="0" xfId="1" applyNumberFormat="1" applyFont="1" applyFill="1" applyAlignment="1">
      <alignment horizontal="center" vertical="center"/>
    </xf>
    <xf numFmtId="164" fontId="12" fillId="3" borderId="0" xfId="1" applyNumberFormat="1" applyFont="1" applyFill="1"/>
    <xf numFmtId="164" fontId="12" fillId="3" borderId="0" xfId="1" applyNumberFormat="1" applyFont="1" applyFill="1" applyAlignment="1">
      <alignment horizontal="center"/>
    </xf>
    <xf numFmtId="164" fontId="16" fillId="3" borderId="7" xfId="1" applyNumberFormat="1" applyFont="1" applyFill="1" applyBorder="1" applyAlignment="1">
      <alignment horizontal="center" vertical="center"/>
    </xf>
    <xf numFmtId="164" fontId="11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/>
    </xf>
    <xf numFmtId="0" fontId="0" fillId="3" borderId="0" xfId="0" applyFill="1"/>
    <xf numFmtId="0" fontId="10" fillId="3" borderId="9" xfId="0" applyFont="1" applyFill="1" applyBorder="1"/>
    <xf numFmtId="0" fontId="10" fillId="3" borderId="10" xfId="0" applyFont="1" applyFill="1" applyBorder="1" applyAlignment="1">
      <alignment horizontal="center"/>
    </xf>
    <xf numFmtId="0" fontId="12" fillId="3" borderId="10" xfId="0" applyFont="1" applyFill="1" applyBorder="1"/>
    <xf numFmtId="164" fontId="12" fillId="3" borderId="10" xfId="1" applyNumberFormat="1" applyFont="1" applyFill="1" applyBorder="1" applyAlignment="1">
      <alignment horizontal="center"/>
    </xf>
    <xf numFmtId="9" fontId="12" fillId="3" borderId="10" xfId="2" applyFont="1" applyFill="1" applyBorder="1" applyAlignment="1">
      <alignment horizontal="center"/>
    </xf>
    <xf numFmtId="0" fontId="10" fillId="3" borderId="11" xfId="0" applyFont="1" applyFill="1" applyBorder="1"/>
    <xf numFmtId="0" fontId="10" fillId="3" borderId="12" xfId="0" applyFont="1" applyFill="1" applyBorder="1"/>
    <xf numFmtId="0" fontId="25" fillId="3" borderId="0" xfId="0" applyFont="1" applyFill="1"/>
    <xf numFmtId="0" fontId="10" fillId="3" borderId="13" xfId="0" applyFont="1" applyFill="1" applyBorder="1"/>
    <xf numFmtId="164" fontId="12" fillId="3" borderId="0" xfId="4" applyNumberFormat="1" applyFont="1" applyFill="1" applyBorder="1" applyAlignment="1">
      <alignment horizontal="center"/>
    </xf>
    <xf numFmtId="164" fontId="19" fillId="3" borderId="0" xfId="4" applyNumberFormat="1" applyFont="1" applyFill="1" applyBorder="1" applyAlignment="1">
      <alignment horizontal="center"/>
    </xf>
    <xf numFmtId="0" fontId="18" fillId="3" borderId="0" xfId="3" applyFont="1" applyFill="1" applyBorder="1" applyAlignment="1">
      <alignment horizontal="center"/>
    </xf>
    <xf numFmtId="164" fontId="12" fillId="3" borderId="0" xfId="1" applyNumberFormat="1" applyFont="1" applyFill="1" applyBorder="1" applyAlignment="1">
      <alignment horizontal="center"/>
    </xf>
    <xf numFmtId="9" fontId="12" fillId="3" borderId="0" xfId="2" applyFont="1" applyFill="1" applyBorder="1" applyAlignment="1">
      <alignment horizontal="center"/>
    </xf>
    <xf numFmtId="164" fontId="10" fillId="3" borderId="0" xfId="1" applyNumberFormat="1" applyFont="1" applyFill="1" applyBorder="1" applyAlignment="1">
      <alignment horizontal="center"/>
    </xf>
    <xf numFmtId="0" fontId="10" fillId="3" borderId="14" xfId="0" applyFont="1" applyFill="1" applyBorder="1"/>
    <xf numFmtId="0" fontId="10" fillId="3" borderId="15" xfId="0" applyFont="1" applyFill="1" applyBorder="1" applyAlignment="1">
      <alignment horizontal="center"/>
    </xf>
    <xf numFmtId="0" fontId="10" fillId="3" borderId="15" xfId="0" applyFont="1" applyFill="1" applyBorder="1"/>
    <xf numFmtId="164" fontId="10" fillId="3" borderId="15" xfId="1" applyNumberFormat="1" applyFont="1" applyFill="1" applyBorder="1" applyAlignment="1">
      <alignment horizontal="center"/>
    </xf>
    <xf numFmtId="0" fontId="10" fillId="3" borderId="16" xfId="0" applyFont="1" applyFill="1" applyBorder="1"/>
    <xf numFmtId="0" fontId="26" fillId="6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vertical="center"/>
    </xf>
    <xf numFmtId="164" fontId="19" fillId="3" borderId="0" xfId="1" applyNumberFormat="1" applyFont="1" applyFill="1" applyAlignment="1">
      <alignment vertical="center"/>
    </xf>
    <xf numFmtId="0" fontId="28" fillId="3" borderId="0" xfId="0" applyFont="1" applyFill="1"/>
    <xf numFmtId="0" fontId="30" fillId="3" borderId="0" xfId="0" applyFont="1" applyFill="1" applyAlignment="1">
      <alignment horizontal="left" vertical="center"/>
    </xf>
    <xf numFmtId="164" fontId="29" fillId="3" borderId="7" xfId="1" applyNumberFormat="1" applyFont="1" applyFill="1" applyBorder="1" applyAlignment="1">
      <alignment horizontal="center" vertical="center"/>
    </xf>
    <xf numFmtId="9" fontId="29" fillId="3" borderId="7" xfId="2" applyFont="1" applyFill="1" applyBorder="1" applyAlignment="1">
      <alignment horizontal="center" vertical="center"/>
    </xf>
    <xf numFmtId="9" fontId="10" fillId="3" borderId="0" xfId="2" applyFont="1" applyFill="1"/>
    <xf numFmtId="164" fontId="19" fillId="3" borderId="0" xfId="1" applyNumberFormat="1" applyFont="1" applyFill="1" applyAlignment="1">
      <alignment horizontal="center"/>
    </xf>
    <xf numFmtId="9" fontId="19" fillId="3" borderId="0" xfId="2" applyFont="1" applyFill="1" applyAlignment="1">
      <alignment horizontal="center"/>
    </xf>
    <xf numFmtId="0" fontId="26" fillId="3" borderId="0" xfId="0" applyFont="1" applyFill="1" applyAlignment="1">
      <alignment horizontal="center" vertical="center" wrapText="1"/>
    </xf>
    <xf numFmtId="0" fontId="13" fillId="3" borderId="0" xfId="0" applyFont="1" applyFill="1" applyAlignment="1" applyProtection="1">
      <alignment horizontal="center" vertical="center"/>
      <protection hidden="1"/>
    </xf>
    <xf numFmtId="0" fontId="10" fillId="3" borderId="0" xfId="0" applyFont="1" applyFill="1" applyProtection="1">
      <protection hidden="1"/>
    </xf>
    <xf numFmtId="43" fontId="14" fillId="7" borderId="0" xfId="1" applyFont="1" applyFill="1" applyAlignment="1" applyProtection="1">
      <alignment horizontal="center" vertical="center"/>
      <protection hidden="1"/>
    </xf>
    <xf numFmtId="164" fontId="14" fillId="7" borderId="0" xfId="1" applyNumberFormat="1" applyFont="1" applyFill="1" applyAlignment="1" applyProtection="1">
      <alignment horizontal="center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0" fontId="12" fillId="3" borderId="0" xfId="0" applyFont="1" applyFill="1" applyProtection="1"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164" fontId="2" fillId="3" borderId="0" xfId="1" applyNumberFormat="1" applyFont="1" applyFill="1" applyBorder="1" applyAlignment="1" applyProtection="1">
      <alignment horizontal="center" vertical="center"/>
      <protection hidden="1"/>
    </xf>
    <xf numFmtId="164" fontId="2" fillId="3" borderId="0" xfId="1" applyNumberFormat="1" applyFont="1" applyFill="1" applyBorder="1" applyAlignment="1" applyProtection="1">
      <alignment horizontal="center" vertical="center" wrapText="1"/>
      <protection hidden="1"/>
    </xf>
    <xf numFmtId="164" fontId="32" fillId="3" borderId="0" xfId="1" applyNumberFormat="1" applyFont="1" applyFill="1" applyBorder="1" applyAlignment="1" applyProtection="1">
      <alignment horizontal="center" vertical="center"/>
      <protection hidden="1"/>
    </xf>
    <xf numFmtId="9" fontId="32" fillId="3" borderId="0" xfId="2" applyFont="1" applyFill="1" applyBorder="1" applyAlignment="1" applyProtection="1">
      <alignment horizontal="center" vertical="center" wrapText="1"/>
      <protection hidden="1"/>
    </xf>
    <xf numFmtId="0" fontId="32" fillId="3" borderId="0" xfId="0" applyFont="1" applyFill="1" applyAlignment="1" applyProtection="1">
      <alignment horizontal="center" vertical="center"/>
      <protection hidden="1"/>
    </xf>
    <xf numFmtId="0" fontId="18" fillId="3" borderId="0" xfId="3" applyFont="1" applyFill="1" applyAlignment="1" applyProtection="1">
      <alignment horizontal="center"/>
      <protection hidden="1"/>
    </xf>
    <xf numFmtId="164" fontId="12" fillId="3" borderId="0" xfId="1" applyNumberFormat="1" applyFont="1" applyFill="1" applyAlignment="1" applyProtection="1">
      <alignment horizontal="center"/>
      <protection hidden="1"/>
    </xf>
    <xf numFmtId="9" fontId="12" fillId="3" borderId="0" xfId="2" applyFont="1" applyFill="1" applyAlignment="1" applyProtection="1">
      <alignment horizontal="center"/>
      <protection hidden="1"/>
    </xf>
    <xf numFmtId="9" fontId="12" fillId="3" borderId="0" xfId="2" applyFont="1" applyFill="1" applyProtection="1">
      <protection hidden="1"/>
    </xf>
    <xf numFmtId="164" fontId="12" fillId="3" borderId="0" xfId="1" applyNumberFormat="1" applyFont="1" applyFill="1" applyProtection="1">
      <protection hidden="1"/>
    </xf>
    <xf numFmtId="0" fontId="10" fillId="3" borderId="0" xfId="0" applyFont="1" applyFill="1" applyAlignment="1" applyProtection="1">
      <alignment horizontal="center"/>
      <protection hidden="1"/>
    </xf>
    <xf numFmtId="0" fontId="11" fillId="3" borderId="0" xfId="0" applyFont="1" applyFill="1" applyProtection="1">
      <protection hidden="1"/>
    </xf>
    <xf numFmtId="164" fontId="11" fillId="3" borderId="0" xfId="1" applyNumberFormat="1" applyFont="1" applyFill="1" applyAlignment="1" applyProtection="1">
      <alignment horizontal="center"/>
      <protection hidden="1"/>
    </xf>
    <xf numFmtId="0" fontId="11" fillId="3" borderId="0" xfId="0" applyFont="1" applyFill="1" applyAlignment="1" applyProtection="1">
      <alignment horizontal="center"/>
      <protection hidden="1"/>
    </xf>
    <xf numFmtId="0" fontId="27" fillId="3" borderId="0" xfId="0" applyFont="1" applyFill="1" applyProtection="1">
      <protection hidden="1"/>
    </xf>
    <xf numFmtId="164" fontId="12" fillId="3" borderId="0" xfId="1" applyNumberFormat="1" applyFont="1" applyFill="1" applyAlignment="1" applyProtection="1">
      <alignment horizontal="left" vertical="center"/>
      <protection hidden="1"/>
    </xf>
    <xf numFmtId="164" fontId="10" fillId="3" borderId="0" xfId="1" applyNumberFormat="1" applyFont="1" applyFill="1" applyAlignment="1" applyProtection="1">
      <alignment horizontal="center"/>
      <protection hidden="1"/>
    </xf>
    <xf numFmtId="164" fontId="12" fillId="3" borderId="0" xfId="1" applyNumberFormat="1" applyFont="1" applyFill="1" applyAlignment="1" applyProtection="1">
      <alignment vertical="center"/>
      <protection hidden="1"/>
    </xf>
    <xf numFmtId="0" fontId="12" fillId="3" borderId="15" xfId="0" applyFont="1" applyFill="1" applyBorder="1" applyProtection="1">
      <protection hidden="1"/>
    </xf>
    <xf numFmtId="164" fontId="12" fillId="3" borderId="15" xfId="1" applyNumberFormat="1" applyFont="1" applyFill="1" applyBorder="1" applyAlignment="1" applyProtection="1">
      <alignment horizontal="center"/>
      <protection hidden="1"/>
    </xf>
    <xf numFmtId="9" fontId="12" fillId="3" borderId="15" xfId="2" applyFont="1" applyFill="1" applyBorder="1" applyAlignment="1" applyProtection="1">
      <alignment horizontal="center"/>
      <protection hidden="1"/>
    </xf>
    <xf numFmtId="0" fontId="19" fillId="3" borderId="0" xfId="0" applyFont="1" applyFill="1" applyProtection="1">
      <protection hidden="1"/>
    </xf>
    <xf numFmtId="164" fontId="19" fillId="3" borderId="0" xfId="1" applyNumberFormat="1" applyFont="1" applyFill="1" applyAlignment="1" applyProtection="1">
      <alignment horizontal="center"/>
      <protection hidden="1"/>
    </xf>
    <xf numFmtId="9" fontId="19" fillId="3" borderId="0" xfId="2" applyFont="1" applyFill="1" applyAlignment="1" applyProtection="1">
      <alignment horizont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164" fontId="19" fillId="3" borderId="0" xfId="1" applyNumberFormat="1" applyFont="1" applyFill="1" applyAlignment="1" applyProtection="1">
      <alignment vertical="center"/>
      <protection hidden="1"/>
    </xf>
    <xf numFmtId="0" fontId="10" fillId="3" borderId="9" xfId="0" applyFont="1" applyFill="1" applyBorder="1" applyAlignment="1" applyProtection="1">
      <alignment horizontal="center"/>
      <protection hidden="1"/>
    </xf>
    <xf numFmtId="164" fontId="12" fillId="3" borderId="11" xfId="1" applyNumberFormat="1" applyFont="1" applyFill="1" applyBorder="1" applyAlignment="1" applyProtection="1">
      <alignment horizontal="center"/>
      <protection hidden="1"/>
    </xf>
    <xf numFmtId="0" fontId="25" fillId="3" borderId="12" xfId="0" applyFont="1" applyFill="1" applyBorder="1" applyProtection="1">
      <protection hidden="1"/>
    </xf>
    <xf numFmtId="0" fontId="0" fillId="3" borderId="13" xfId="0" applyFill="1" applyBorder="1" applyProtection="1">
      <protection hidden="1"/>
    </xf>
    <xf numFmtId="0" fontId="12" fillId="3" borderId="12" xfId="0" applyFont="1" applyFill="1" applyBorder="1" applyProtection="1">
      <protection hidden="1"/>
    </xf>
    <xf numFmtId="164" fontId="12" fillId="3" borderId="13" xfId="4" applyNumberFormat="1" applyFont="1" applyFill="1" applyBorder="1" applyAlignment="1" applyProtection="1">
      <alignment horizontal="center"/>
      <protection hidden="1"/>
    </xf>
    <xf numFmtId="164" fontId="19" fillId="3" borderId="13" xfId="4" applyNumberFormat="1" applyFont="1" applyFill="1" applyBorder="1" applyAlignment="1" applyProtection="1">
      <alignment horizontal="center"/>
      <protection hidden="1"/>
    </xf>
    <xf numFmtId="0" fontId="18" fillId="3" borderId="14" xfId="3" applyFont="1" applyFill="1" applyBorder="1" applyAlignment="1" applyProtection="1">
      <alignment horizontal="center"/>
      <protection hidden="1"/>
    </xf>
    <xf numFmtId="164" fontId="12" fillId="3" borderId="16" xfId="1" applyNumberFormat="1" applyFont="1" applyFill="1" applyBorder="1" applyAlignment="1" applyProtection="1">
      <alignment horizontal="center"/>
      <protection hidden="1"/>
    </xf>
    <xf numFmtId="164" fontId="10" fillId="3" borderId="0" xfId="1" applyNumberFormat="1" applyFont="1" applyFill="1" applyBorder="1" applyAlignment="1" applyProtection="1">
      <alignment horizontal="center"/>
      <protection hidden="1"/>
    </xf>
    <xf numFmtId="0" fontId="26" fillId="3" borderId="0" xfId="0" applyFont="1" applyFill="1" applyAlignment="1" applyProtection="1">
      <alignment horizontal="center" vertical="center" wrapText="1"/>
      <protection hidden="1"/>
    </xf>
    <xf numFmtId="0" fontId="0" fillId="3" borderId="0" xfId="0" applyFill="1" applyAlignment="1" applyProtection="1">
      <alignment horizontal="center"/>
      <protection hidden="1"/>
    </xf>
    <xf numFmtId="164" fontId="0" fillId="3" borderId="0" xfId="1" applyNumberFormat="1" applyFont="1" applyFill="1" applyAlignment="1" applyProtection="1">
      <alignment horizontal="center"/>
      <protection hidden="1"/>
    </xf>
    <xf numFmtId="0" fontId="0" fillId="3" borderId="0" xfId="0" applyFill="1" applyProtection="1">
      <protection hidden="1"/>
    </xf>
    <xf numFmtId="0" fontId="24" fillId="3" borderId="0" xfId="0" applyFont="1" applyFill="1" applyProtection="1">
      <protection hidden="1"/>
    </xf>
    <xf numFmtId="0" fontId="23" fillId="3" borderId="0" xfId="0" applyFont="1" applyFill="1" applyProtection="1">
      <protection hidden="1"/>
    </xf>
    <xf numFmtId="0" fontId="21" fillId="3" borderId="0" xfId="0" applyFont="1" applyFill="1" applyAlignment="1" applyProtection="1">
      <alignment vertical="center"/>
      <protection hidden="1"/>
    </xf>
    <xf numFmtId="164" fontId="21" fillId="3" borderId="0" xfId="1" applyNumberFormat="1" applyFont="1" applyFill="1" applyAlignment="1" applyProtection="1">
      <alignment vertical="center"/>
      <protection hidden="1"/>
    </xf>
    <xf numFmtId="164" fontId="0" fillId="3" borderId="0" xfId="1" applyNumberFormat="1" applyFont="1" applyFill="1" applyProtection="1">
      <protection hidden="1"/>
    </xf>
    <xf numFmtId="0" fontId="20" fillId="3" borderId="0" xfId="0" applyFont="1" applyFill="1" applyAlignment="1" applyProtection="1">
      <alignment horizontal="center" vertical="center"/>
      <protection hidden="1"/>
    </xf>
    <xf numFmtId="164" fontId="20" fillId="3" borderId="0" xfId="1" applyNumberFormat="1" applyFont="1" applyFill="1" applyAlignment="1" applyProtection="1">
      <alignment horizontal="center" vertical="center"/>
      <protection hidden="1"/>
    </xf>
    <xf numFmtId="0" fontId="2" fillId="11" borderId="0" xfId="0" applyFont="1" applyFill="1" applyAlignment="1" applyProtection="1">
      <alignment horizontal="center" vertical="center" wrapText="1"/>
      <protection hidden="1"/>
    </xf>
    <xf numFmtId="164" fontId="2" fillId="12" borderId="0" xfId="1" applyNumberFormat="1" applyFont="1" applyFill="1" applyBorder="1" applyAlignment="1" applyProtection="1">
      <alignment horizontal="center" vertical="center" wrapText="1"/>
      <protection hidden="1"/>
    </xf>
    <xf numFmtId="0" fontId="2" fillId="12" borderId="6" xfId="0" applyFont="1" applyFill="1" applyBorder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2" fillId="13" borderId="6" xfId="0" applyFont="1" applyFill="1" applyBorder="1" applyAlignment="1" applyProtection="1">
      <alignment horizontal="center" vertical="center" wrapText="1"/>
      <protection hidden="1"/>
    </xf>
    <xf numFmtId="0" fontId="2" fillId="14" borderId="6" xfId="0" applyFont="1" applyFill="1" applyBorder="1" applyAlignment="1" applyProtection="1">
      <alignment horizontal="center" vertical="center" wrapText="1"/>
      <protection hidden="1"/>
    </xf>
    <xf numFmtId="0" fontId="24" fillId="3" borderId="0" xfId="0" applyFont="1" applyFill="1" applyAlignment="1" applyProtection="1">
      <alignment horizontal="center" vertical="center"/>
      <protection hidden="1"/>
    </xf>
    <xf numFmtId="0" fontId="23" fillId="3" borderId="0" xfId="0" applyFont="1" applyFill="1" applyAlignment="1" applyProtection="1">
      <alignment horizontal="center" vertical="center"/>
      <protection hidden="1"/>
    </xf>
    <xf numFmtId="164" fontId="0" fillId="3" borderId="0" xfId="1" applyNumberFormat="1" applyFont="1" applyFill="1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8" fillId="3" borderId="0" xfId="0" applyFont="1" applyFill="1" applyAlignment="1" applyProtection="1">
      <alignment horizontal="center"/>
      <protection hidden="1"/>
    </xf>
    <xf numFmtId="164" fontId="8" fillId="3" borderId="0" xfId="1" applyNumberFormat="1" applyFont="1" applyFill="1" applyBorder="1" applyProtection="1">
      <protection hidden="1"/>
    </xf>
    <xf numFmtId="43" fontId="8" fillId="3" borderId="0" xfId="0" applyNumberFormat="1" applyFont="1" applyFill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64" fontId="4" fillId="0" borderId="3" xfId="1" applyNumberFormat="1" applyFont="1" applyBorder="1" applyAlignment="1" applyProtection="1">
      <alignment horizontal="center" vertical="center"/>
      <protection hidden="1"/>
    </xf>
    <xf numFmtId="164" fontId="4" fillId="0" borderId="4" xfId="0" applyNumberFormat="1" applyFont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0" fontId="2" fillId="2" borderId="6" xfId="0" applyFont="1" applyFill="1" applyBorder="1" applyAlignment="1" applyProtection="1">
      <alignment horizontal="center" vertical="center"/>
      <protection hidden="1"/>
    </xf>
    <xf numFmtId="164" fontId="0" fillId="3" borderId="0" xfId="1" applyNumberFormat="1" applyFont="1" applyFill="1" applyAlignment="1" applyProtection="1">
      <alignment horizontal="center" vertical="center"/>
      <protection hidden="1"/>
    </xf>
    <xf numFmtId="0" fontId="0" fillId="3" borderId="2" xfId="0" applyFill="1" applyBorder="1" applyAlignment="1" applyProtection="1">
      <alignment horizontal="center"/>
      <protection hidden="1"/>
    </xf>
    <xf numFmtId="43" fontId="0" fillId="3" borderId="2" xfId="1" applyFont="1" applyFill="1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43" fontId="0" fillId="4" borderId="5" xfId="1" applyFont="1" applyFill="1" applyBorder="1" applyAlignment="1" applyProtection="1">
      <alignment horizontal="center"/>
      <protection hidden="1"/>
    </xf>
    <xf numFmtId="0" fontId="0" fillId="3" borderId="0" xfId="0" applyFill="1" applyAlignment="1" applyProtection="1">
      <alignment horizontal="left"/>
      <protection hidden="1"/>
    </xf>
    <xf numFmtId="164" fontId="8" fillId="10" borderId="0" xfId="1" applyNumberFormat="1" applyFont="1" applyFill="1" applyAlignment="1" applyProtection="1">
      <alignment horizontal="center"/>
      <protection hidden="1"/>
    </xf>
    <xf numFmtId="0" fontId="2" fillId="9" borderId="6" xfId="0" applyFont="1" applyFill="1" applyBorder="1" applyAlignment="1" applyProtection="1">
      <alignment horizontal="center" vertical="center"/>
      <protection hidden="1"/>
    </xf>
    <xf numFmtId="43" fontId="0" fillId="0" borderId="2" xfId="1" applyFont="1" applyBorder="1" applyProtection="1">
      <protection hidden="1"/>
    </xf>
    <xf numFmtId="0" fontId="8" fillId="3" borderId="0" xfId="0" applyFont="1" applyFill="1" applyAlignment="1" applyProtection="1">
      <alignment horizontal="right"/>
      <protection hidden="1"/>
    </xf>
    <xf numFmtId="0" fontId="9" fillId="3" borderId="0" xfId="0" applyFont="1" applyFill="1" applyAlignment="1" applyProtection="1">
      <alignment horizontal="right"/>
      <protection hidden="1"/>
    </xf>
    <xf numFmtId="164" fontId="12" fillId="3" borderId="0" xfId="1" applyNumberFormat="1" applyFont="1" applyFill="1" applyAlignment="1" applyProtection="1">
      <alignment horizontal="right" vertical="center"/>
      <protection hidden="1"/>
    </xf>
    <xf numFmtId="44" fontId="39" fillId="15" borderId="17" xfId="6" applyFont="1" applyFill="1" applyBorder="1" applyAlignment="1">
      <alignment horizontal="center" vertical="center" wrapText="1"/>
    </xf>
    <xf numFmtId="0" fontId="2" fillId="16" borderId="1" xfId="0" applyFont="1" applyFill="1" applyBorder="1" applyAlignment="1" applyProtection="1">
      <alignment horizontal="center" vertical="center"/>
      <protection hidden="1"/>
    </xf>
    <xf numFmtId="0" fontId="2" fillId="17" borderId="18" xfId="0" applyFont="1" applyFill="1" applyBorder="1" applyAlignment="1">
      <alignment horizontal="center" vertical="center"/>
    </xf>
    <xf numFmtId="0" fontId="2" fillId="16" borderId="6" xfId="0" applyFont="1" applyFill="1" applyBorder="1" applyAlignment="1" applyProtection="1">
      <alignment horizontal="center" vertical="center"/>
      <protection hidden="1"/>
    </xf>
    <xf numFmtId="0" fontId="2" fillId="16" borderId="6" xfId="0" applyFont="1" applyFill="1" applyBorder="1" applyAlignment="1" applyProtection="1">
      <alignment horizontal="center" vertical="center" wrapText="1"/>
      <protection hidden="1"/>
    </xf>
    <xf numFmtId="165" fontId="35" fillId="3" borderId="0" xfId="5" applyNumberFormat="1" applyFont="1" applyFill="1" applyAlignment="1">
      <alignment horizontal="center"/>
    </xf>
    <xf numFmtId="165" fontId="36" fillId="3" borderId="0" xfId="5" applyNumberFormat="1" applyFont="1" applyFill="1" applyAlignment="1">
      <alignment horizontal="center" vertical="top"/>
    </xf>
    <xf numFmtId="165" fontId="37" fillId="3" borderId="0" xfId="5" applyNumberFormat="1" applyFont="1" applyFill="1" applyBorder="1" applyAlignment="1">
      <alignment horizontal="center" vertical="center"/>
    </xf>
    <xf numFmtId="0" fontId="26" fillId="6" borderId="0" xfId="0" applyFont="1" applyFill="1" applyAlignment="1" applyProtection="1">
      <alignment horizontal="center" vertical="center" wrapText="1"/>
      <protection hidden="1"/>
    </xf>
    <xf numFmtId="0" fontId="33" fillId="3" borderId="0" xfId="0" applyFont="1" applyFill="1" applyAlignment="1" applyProtection="1">
      <alignment horizontal="left"/>
      <protection hidden="1"/>
    </xf>
    <xf numFmtId="0" fontId="34" fillId="3" borderId="0" xfId="0" applyFont="1" applyFill="1" applyAlignment="1" applyProtection="1">
      <alignment horizontal="left"/>
      <protection hidden="1"/>
    </xf>
    <xf numFmtId="0" fontId="32" fillId="3" borderId="0" xfId="0" applyFont="1" applyFill="1" applyAlignment="1" applyProtection="1">
      <alignment horizontal="left" vertical="center"/>
      <protection hidden="1"/>
    </xf>
    <xf numFmtId="43" fontId="14" fillId="5" borderId="8" xfId="1" applyFont="1" applyFill="1" applyBorder="1" applyAlignment="1">
      <alignment horizontal="center" vertical="center"/>
    </xf>
    <xf numFmtId="43" fontId="14" fillId="5" borderId="0" xfId="1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 wrapText="1"/>
    </xf>
    <xf numFmtId="0" fontId="22" fillId="3" borderId="0" xfId="0" applyFont="1" applyFill="1" applyAlignment="1" applyProtection="1">
      <alignment horizontal="center" vertical="center"/>
      <protection hidden="1"/>
    </xf>
    <xf numFmtId="0" fontId="20" fillId="3" borderId="0" xfId="0" applyFont="1" applyFill="1" applyAlignment="1" applyProtection="1">
      <alignment horizontal="center" vertical="center"/>
      <protection hidden="1"/>
    </xf>
    <xf numFmtId="0" fontId="6" fillId="3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/>
      <protection hidden="1"/>
    </xf>
    <xf numFmtId="43" fontId="31" fillId="7" borderId="8" xfId="1" applyFont="1" applyFill="1" applyBorder="1" applyAlignment="1">
      <alignment horizontal="center" vertical="center"/>
    </xf>
    <xf numFmtId="43" fontId="31" fillId="7" borderId="0" xfId="1" applyFont="1" applyFill="1" applyAlignment="1">
      <alignment horizontal="center" vertical="center"/>
    </xf>
  </cellXfs>
  <cellStyles count="17">
    <cellStyle name="Hipervínculo" xfId="3" builtinId="8"/>
    <cellStyle name="Millares" xfId="1" builtinId="3"/>
    <cellStyle name="Millares 2" xfId="4" xr:uid="{00000000-0005-0000-0000-000031000000}"/>
    <cellStyle name="Millares 2 2" xfId="12" xr:uid="{6FFE8775-C428-4839-8816-5A4185DC3161}"/>
    <cellStyle name="Millares 2 3" xfId="14" xr:uid="{FF843875-63F4-479F-A10D-5F2BABAC7925}"/>
    <cellStyle name="Millares 2 4 2" xfId="11" xr:uid="{1317D968-13AC-4DDF-BA82-41530B758EC2}"/>
    <cellStyle name="Millares 3" xfId="16" xr:uid="{00000000-0005-0000-0000-000034000000}"/>
    <cellStyle name="Millares 3 2 2" xfId="15" xr:uid="{1D06B23C-3EA7-4743-B485-A777F93D4E10}"/>
    <cellStyle name="Moneda 2" xfId="7" xr:uid="{00000000-0005-0000-0000-000039000000}"/>
    <cellStyle name="Moneda 2 2 2" xfId="6" xr:uid="{C1EA3B19-34C5-4C5C-815F-876C75ACDD2F}"/>
    <cellStyle name="Moneda 2 2 2 2" xfId="9" xr:uid="{7D532B2C-B6E1-4519-B023-C662A051B8F6}"/>
    <cellStyle name="Moneda 2 4 2" xfId="5" xr:uid="{24E6CDF4-DE58-4A39-8295-0A673341DB5A}"/>
    <cellStyle name="Moneda 2 4 3" xfId="10" xr:uid="{E8FEE836-3F15-45D1-A0D8-5DA5D68CE218}"/>
    <cellStyle name="Moneda 3" xfId="13" xr:uid="{C14A3F7B-6070-445F-AA26-EC46B050B6DA}"/>
    <cellStyle name="Normal" xfId="0" builtinId="0"/>
    <cellStyle name="Normal 6" xfId="8" xr:uid="{F4C0255F-5CDD-416E-94B7-96CD289749E5}"/>
    <cellStyle name="Porcentaje" xfId="2" builtinId="5"/>
  </cellStyles>
  <dxfs count="7"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border outline="0">
        <top style="hair">
          <color theme="0" tint="-4.9989318521683403E-2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man Old Style"/>
        <family val="1"/>
        <scheme val="none"/>
      </font>
      <fill>
        <gradientFill type="path">
          <stop position="0">
            <color rgb="FF0070C0"/>
          </stop>
          <stop position="1">
            <color theme="1"/>
          </stop>
        </gradient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4.9989318521683403E-2"/>
        </left>
        <right style="hair">
          <color theme="0" tint="-4.9989318521683403E-2"/>
        </right>
        <top/>
        <bottom/>
      </border>
      <protection locked="1" hidden="1"/>
    </dxf>
  </dxfs>
  <tableStyles count="0" defaultTableStyle="TableStyleMedium2" defaultPivotStyle="PivotStyleLight16"/>
  <colors>
    <mruColors>
      <color rgb="FFB4D79D"/>
      <color rgb="FF7E0000"/>
      <color rgb="FF003E1C"/>
      <color rgb="FF996633"/>
      <color rgb="FFDE6F00"/>
      <color rgb="FF421E06"/>
      <color rgb="FFCC6600"/>
      <color rgb="FF582808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3"/>
            <c:spPr>
              <a:gradFill flip="none" rotWithShape="1">
                <a:gsLst>
                  <a:gs pos="0">
                    <a:srgbClr val="C00000">
                      <a:shade val="30000"/>
                      <a:satMod val="115000"/>
                    </a:srgbClr>
                  </a:gs>
                  <a:gs pos="50000">
                    <a:srgbClr val="C00000">
                      <a:shade val="67500"/>
                      <a:satMod val="115000"/>
                    </a:srgbClr>
                  </a:gs>
                  <a:gs pos="100000">
                    <a:srgbClr val="C00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CDD-4D87-8896-DF52A7C99E6F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CDD-4D87-8896-DF52A7C99E6F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CDD-4D87-8896-DF52A7C99E6F}"/>
              </c:ext>
            </c:extLst>
          </c:dPt>
          <c:dLbls>
            <c:dLbl>
              <c:idx val="0"/>
              <c:layout>
                <c:manualLayout>
                  <c:x val="-2.438271604938283E-2"/>
                  <c:y val="0.28557509669843884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DD-4D87-8896-DF52A7C99E6F}"/>
                </c:ext>
              </c:extLst>
            </c:dLbl>
            <c:dLbl>
              <c:idx val="1"/>
              <c:layout>
                <c:manualLayout>
                  <c:x val="-5.3218738282714659E-2"/>
                  <c:y val="5.4777982657231231E-2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DD-4D87-8896-DF52A7C99E6F}"/>
                </c:ext>
              </c:extLst>
            </c:dLbl>
            <c:dLbl>
              <c:idx val="2"/>
              <c:layout>
                <c:manualLayout>
                  <c:x val="-6.1706349206349209E-2"/>
                  <c:y val="-5.7458304262600138E-2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DD-4D87-8896-DF52A7C99E6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635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CIERRE COBRANZA'!$C$11:$C$13</c:f>
              <c:strCache>
                <c:ptCount val="3"/>
                <c:pt idx="0">
                  <c:v>COBRANZA JUDICIAL</c:v>
                </c:pt>
                <c:pt idx="1">
                  <c:v>MOROSOS</c:v>
                </c:pt>
                <c:pt idx="2">
                  <c:v>DEUDA CORRIENTE</c:v>
                </c:pt>
              </c:strCache>
            </c:strRef>
          </c:cat>
          <c:val>
            <c:numRef>
              <c:f>'1. CIERRE COBRANZA'!$E$11:$E$13</c:f>
              <c:numCache>
                <c:formatCode>0%</c:formatCode>
                <c:ptCount val="3"/>
                <c:pt idx="0">
                  <c:v>0.56512873510386485</c:v>
                </c:pt>
                <c:pt idx="1">
                  <c:v>0.29761383713900524</c:v>
                </c:pt>
                <c:pt idx="2">
                  <c:v>0.1372574277571299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DD-4D87-8896-DF52A7C99E6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098037349188801E-2"/>
          <c:y val="5.4615175880218171E-2"/>
          <c:w val="0.6461338878840911"/>
          <c:h val="0.87984661306352008"/>
        </c:manualLayout>
      </c:layout>
      <c:pie3DChart>
        <c:varyColors val="1"/>
        <c:ser>
          <c:idx val="0"/>
          <c:order val="0"/>
          <c:explosion val="22"/>
          <c:dPt>
            <c:idx val="0"/>
            <c:bubble3D val="0"/>
            <c:explosion val="24"/>
            <c:spPr>
              <a:gradFill flip="none" rotWithShape="1">
                <a:gsLst>
                  <a:gs pos="0">
                    <a:srgbClr val="C00000">
                      <a:shade val="30000"/>
                      <a:satMod val="115000"/>
                    </a:srgbClr>
                  </a:gs>
                  <a:gs pos="50000">
                    <a:srgbClr val="C00000">
                      <a:shade val="67500"/>
                      <a:satMod val="115000"/>
                    </a:srgbClr>
                  </a:gs>
                  <a:gs pos="100000">
                    <a:srgbClr val="C00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4DB9-469A-BB62-F198392D5255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0070C0">
                      <a:shade val="30000"/>
                      <a:satMod val="115000"/>
                    </a:srgbClr>
                  </a:gs>
                  <a:gs pos="50000">
                    <a:srgbClr val="0070C0">
                      <a:shade val="67500"/>
                      <a:satMod val="115000"/>
                    </a:srgbClr>
                  </a:gs>
                  <a:gs pos="100000">
                    <a:srgbClr val="0070C0">
                      <a:shade val="100000"/>
                      <a:satMod val="115000"/>
                    </a:srgb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DB9-469A-BB62-F198392D5255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chemeClr val="accent6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6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6">
                      <a:lumMod val="75000"/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DB9-469A-BB62-F198392D5255}"/>
              </c:ext>
            </c:extLst>
          </c:dPt>
          <c:dLbls>
            <c:dLbl>
              <c:idx val="0"/>
              <c:layout>
                <c:manualLayout>
                  <c:x val="-4.3036423071958166E-2"/>
                  <c:y val="-7.6368626483578773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B9-469A-BB62-F198392D5255}"/>
                </c:ext>
              </c:extLst>
            </c:dLbl>
            <c:dLbl>
              <c:idx val="1"/>
              <c:layout>
                <c:manualLayout>
                  <c:x val="1.9477549159900465E-2"/>
                  <c:y val="2.670593444989717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B9-469A-BB62-F198392D525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ANALISIS COB'!$C$13:$C$15</c:f>
              <c:strCache>
                <c:ptCount val="3"/>
                <c:pt idx="0">
                  <c:v>MOROSOS</c:v>
                </c:pt>
                <c:pt idx="1">
                  <c:v>DEUDA CORRIENTE</c:v>
                </c:pt>
                <c:pt idx="2">
                  <c:v>COBRADO</c:v>
                </c:pt>
              </c:strCache>
            </c:strRef>
          </c:cat>
          <c:val>
            <c:numRef>
              <c:f>'1. ANALISIS COB'!$D$13:$D$15</c:f>
              <c:numCache>
                <c:formatCode>_-* #,##0_-;\-* #,##0_-;_-* "-"??_-;_-@_-</c:formatCode>
                <c:ptCount val="3"/>
                <c:pt idx="0">
                  <c:v>203314</c:v>
                </c:pt>
                <c:pt idx="1">
                  <c:v>93767.000000000029</c:v>
                </c:pt>
                <c:pt idx="2">
                  <c:v>3663575.0011200001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9-469A-BB62-F198392D52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44128815729462"/>
          <c:y val="0.39880707963744233"/>
          <c:w val="0.19889098751951978"/>
          <c:h val="0.1946942691129498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593-48D5-94F5-50F7A9B197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7593-48D5-94F5-50F7A9B197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593-48D5-94F5-50F7A9B1970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 CIERRE COBRANZA (2)'!$C$17:$C$19</c:f>
              <c:strCache>
                <c:ptCount val="3"/>
                <c:pt idx="0">
                  <c:v>MOROSOS</c:v>
                </c:pt>
                <c:pt idx="1">
                  <c:v>DEUDA CORRIENTE</c:v>
                </c:pt>
                <c:pt idx="2">
                  <c:v>COBRADO</c:v>
                </c:pt>
              </c:strCache>
            </c:strRef>
          </c:cat>
          <c:val>
            <c:numRef>
              <c:f>'1. CIERRE COBRANZA (2)'!$D$17:$D$19</c:f>
              <c:numCache>
                <c:formatCode>_-* #,##0_-;\-* #,##0_-;_-* "-"??_-;_-@_-</c:formatCode>
                <c:ptCount val="3"/>
                <c:pt idx="0">
                  <c:v>36650.839999999997</c:v>
                </c:pt>
                <c:pt idx="1">
                  <c:v>145108.64000000001</c:v>
                </c:pt>
                <c:pt idx="2">
                  <c:v>1267240.52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3-48D5-94F5-50F7A9B197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3"/>
            <c:spPr>
              <a:gradFill flip="none" rotWithShape="1">
                <a:gsLst>
                  <a:gs pos="0">
                    <a:srgbClr val="C00000">
                      <a:shade val="30000"/>
                      <a:satMod val="115000"/>
                    </a:srgbClr>
                  </a:gs>
                  <a:gs pos="50000">
                    <a:srgbClr val="C00000">
                      <a:shade val="67500"/>
                      <a:satMod val="115000"/>
                    </a:srgbClr>
                  </a:gs>
                  <a:gs pos="100000">
                    <a:srgbClr val="C00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8BC-4AA1-9B1A-F901238A853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75000"/>
                      <a:shade val="30000"/>
                      <a:satMod val="115000"/>
                    </a:schemeClr>
                  </a:gs>
                  <a:gs pos="50000">
                    <a:schemeClr val="accent2">
                      <a:lumMod val="75000"/>
                      <a:shade val="67500"/>
                      <a:satMod val="115000"/>
                    </a:schemeClr>
                  </a:gs>
                  <a:gs pos="100000">
                    <a:schemeClr val="accent2">
                      <a:lumMod val="75000"/>
                      <a:shade val="100000"/>
                      <a:satMod val="115000"/>
                    </a:schemeClr>
                  </a:gs>
                </a:gsLst>
                <a:lin ang="0" scaled="1"/>
                <a:tileRect/>
              </a:gra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8BC-4AA1-9B1A-F901238A853C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0" scaled="1"/>
                <a:tileRect/>
              </a:gra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8BC-4AA1-9B1A-F901238A85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8BC-4AA1-9B1A-F901238A853C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9000">
                    <a:srgbClr val="008337"/>
                  </a:gs>
                  <a:gs pos="1000">
                    <a:srgbClr val="00B050">
                      <a:shade val="30000"/>
                      <a:satMod val="115000"/>
                      <a:shade val="30000"/>
                      <a:satMod val="115000"/>
                    </a:srgbClr>
                  </a:gs>
                  <a:gs pos="0">
                    <a:srgbClr val="00B050"/>
                  </a:gs>
                  <a:gs pos="100000">
                    <a:srgbClr val="00B050">
                      <a:shade val="30000"/>
                      <a:satMod val="115000"/>
                      <a:shade val="100000"/>
                      <a:satMod val="115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8BC-4AA1-9B1A-F901238A853C}"/>
              </c:ext>
            </c:extLst>
          </c:dPt>
          <c:dLbls>
            <c:dLbl>
              <c:idx val="0"/>
              <c:layout>
                <c:manualLayout>
                  <c:x val="-2.438271604938283E-2"/>
                  <c:y val="0.28557509669843884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BC-4AA1-9B1A-F901238A853C}"/>
                </c:ext>
              </c:extLst>
            </c:dLbl>
            <c:dLbl>
              <c:idx val="1"/>
              <c:layout>
                <c:manualLayout>
                  <c:x val="-5.3218738282714659E-2"/>
                  <c:y val="5.4777982657231231E-2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BC-4AA1-9B1A-F901238A853C}"/>
                </c:ext>
              </c:extLst>
            </c:dLbl>
            <c:dLbl>
              <c:idx val="2"/>
              <c:layout>
                <c:manualLayout>
                  <c:x val="-6.1706349206349209E-2"/>
                  <c:y val="-5.7458304262600138E-2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BC-4AA1-9B1A-F901238A853C}"/>
                </c:ext>
              </c:extLst>
            </c:dLbl>
            <c:dLbl>
              <c:idx val="3"/>
              <c:layout>
                <c:manualLayout>
                  <c:x val="2.7777777777777775E-3"/>
                  <c:y val="-0.12853294653957728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BC-4AA1-9B1A-F901238A853C}"/>
                </c:ext>
              </c:extLst>
            </c:dLbl>
            <c:dLbl>
              <c:idx val="4"/>
              <c:layout>
                <c:manualLayout>
                  <c:x val="9.7713863611359877E-2"/>
                  <c:y val="-7.4056862354231034E-2"/>
                </c:manualLayout>
              </c:layout>
              <c:spPr>
                <a:solidFill>
                  <a:schemeClr val="tx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BC-4AA1-9B1A-F901238A853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6350" cap="flat" cmpd="sng" algn="ctr">
                  <a:solidFill>
                    <a:schemeClr val="dk1"/>
                  </a:solidFill>
                  <a:prstDash val="solid"/>
                  <a:miter lim="800000"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CIERRE!$C$8:$C$12</c:f>
              <c:strCache>
                <c:ptCount val="5"/>
                <c:pt idx="0">
                  <c:v>COBRANZA JUDICIAL</c:v>
                </c:pt>
                <c:pt idx="1">
                  <c:v>MOROSOS</c:v>
                </c:pt>
                <c:pt idx="2">
                  <c:v>DEUDA CORRIENTE</c:v>
                </c:pt>
                <c:pt idx="3">
                  <c:v>SIN ADEUDO</c:v>
                </c:pt>
                <c:pt idx="4">
                  <c:v>ANTICIPOS</c:v>
                </c:pt>
              </c:strCache>
            </c:strRef>
          </c:cat>
          <c:val>
            <c:numRef>
              <c:f>CIERRE!$E$8:$E$12</c:f>
              <c:numCache>
                <c:formatCode>0%</c:formatCode>
                <c:ptCount val="5"/>
                <c:pt idx="0">
                  <c:v>-0.21945481055363075</c:v>
                </c:pt>
                <c:pt idx="1">
                  <c:v>-0.115571522363795</c:v>
                </c:pt>
                <c:pt idx="2">
                  <c:v>-5.3300780750395793E-2</c:v>
                </c:pt>
                <c:pt idx="3">
                  <c:v>0</c:v>
                </c:pt>
                <c:pt idx="4">
                  <c:v>1.3883271136678215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C-4AA1-9B1A-F901238A853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252437</xdr:colOff>
      <xdr:row>19</xdr:row>
      <xdr:rowOff>39366</xdr:rowOff>
    </xdr:from>
    <xdr:to>
      <xdr:col>5</xdr:col>
      <xdr:colOff>114201</xdr:colOff>
      <xdr:row>32</xdr:row>
      <xdr:rowOff>138760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42581F-4614-41DF-B8B1-36A9212E3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723900</xdr:colOff>
      <xdr:row>1</xdr:row>
      <xdr:rowOff>66675</xdr:rowOff>
    </xdr:from>
    <xdr:to>
      <xdr:col>2</xdr:col>
      <xdr:colOff>86944</xdr:colOff>
      <xdr:row>4</xdr:row>
      <xdr:rowOff>106896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710C6A-E4D7-4333-B6AB-0DBB2437A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238125"/>
          <a:ext cx="877519" cy="573455"/>
        </a:xfrm>
        <a:prstGeom prst="rect">
          <a:avLst/>
        </a:prstGeom>
      </xdr:spPr>
    </xdr:pic>
    <xdr:clientData/>
  </xdr:twoCellAnchor>
  <xdr:twoCellAnchor>
    <xdr:from>
      <xdr:col>12</xdr:col>
      <xdr:colOff>418540</xdr:colOff>
      <xdr:row>7</xdr:row>
      <xdr:rowOff>172010</xdr:rowOff>
    </xdr:from>
    <xdr:to>
      <xdr:col>13</xdr:col>
      <xdr:colOff>636494</xdr:colOff>
      <xdr:row>12</xdr:row>
      <xdr:rowOff>8965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45F0E108-4E33-40FB-866A-8FDA4A2AA1A1}"/>
            </a:ext>
          </a:extLst>
        </xdr:cNvPr>
        <xdr:cNvCxnSpPr/>
      </xdr:nvCxnSpPr>
      <xdr:spPr>
        <a:xfrm flipH="1" flipV="1">
          <a:off x="12072658" y="1516716"/>
          <a:ext cx="1042707" cy="616884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676444</xdr:colOff>
      <xdr:row>7</xdr:row>
      <xdr:rowOff>31909</xdr:rowOff>
    </xdr:from>
    <xdr:to>
      <xdr:col>9</xdr:col>
      <xdr:colOff>1179195</xdr:colOff>
      <xdr:row>25</xdr:row>
      <xdr:rowOff>88105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4BAB10A-47D0-461C-8E5E-F4469EBBF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156882</xdr:rowOff>
    </xdr:from>
    <xdr:to>
      <xdr:col>2</xdr:col>
      <xdr:colOff>647806</xdr:colOff>
      <xdr:row>2</xdr:row>
      <xdr:rowOff>170892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87C55D-3622-4EAE-9B7B-5C7C9B48B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588" y="156882"/>
          <a:ext cx="1219306" cy="544496"/>
        </a:xfrm>
        <a:prstGeom prst="rect">
          <a:avLst/>
        </a:prstGeom>
      </xdr:spPr>
    </xdr:pic>
    <xdr:clientData/>
  </xdr:twoCellAnchor>
  <xdr:twoCellAnchor>
    <xdr:from>
      <xdr:col>7</xdr:col>
      <xdr:colOff>683559</xdr:colOff>
      <xdr:row>0</xdr:row>
      <xdr:rowOff>145676</xdr:rowOff>
    </xdr:from>
    <xdr:to>
      <xdr:col>7</xdr:col>
      <xdr:colOff>1980500</xdr:colOff>
      <xdr:row>2</xdr:row>
      <xdr:rowOff>177861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DB50E32-03F2-40DD-96DD-9C07D58AF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40" t="9732" r="4359" b="9272"/>
        <a:stretch/>
      </xdr:blipFill>
      <xdr:spPr>
        <a:xfrm>
          <a:off x="7844118" y="145676"/>
          <a:ext cx="1296941" cy="5700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397565</xdr:colOff>
      <xdr:row>1</xdr:row>
      <xdr:rowOff>41414</xdr:rowOff>
    </xdr:from>
    <xdr:to>
      <xdr:col>2</xdr:col>
      <xdr:colOff>473871</xdr:colOff>
      <xdr:row>3</xdr:row>
      <xdr:rowOff>148836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7DDDE0-F986-49F1-A77E-1C25570C7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304" y="223631"/>
          <a:ext cx="1219306" cy="546401"/>
        </a:xfrm>
        <a:prstGeom prst="rect">
          <a:avLst/>
        </a:prstGeom>
      </xdr:spPr>
    </xdr:pic>
    <xdr:clientData/>
  </xdr:twoCellAnchor>
  <xdr:twoCellAnchor>
    <xdr:from>
      <xdr:col>3</xdr:col>
      <xdr:colOff>91108</xdr:colOff>
      <xdr:row>0</xdr:row>
      <xdr:rowOff>149087</xdr:rowOff>
    </xdr:from>
    <xdr:to>
      <xdr:col>4</xdr:col>
      <xdr:colOff>29702</xdr:colOff>
      <xdr:row>3</xdr:row>
      <xdr:rowOff>89676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936343-BB44-417E-BAA8-73F8B67271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40" t="9732" r="4359" b="9272"/>
        <a:stretch/>
      </xdr:blipFill>
      <xdr:spPr>
        <a:xfrm>
          <a:off x="4629978" y="149087"/>
          <a:ext cx="1296941" cy="5700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57150</xdr:rowOff>
    </xdr:from>
    <xdr:to>
      <xdr:col>2</xdr:col>
      <xdr:colOff>581131</xdr:colOff>
      <xdr:row>2</xdr:row>
      <xdr:rowOff>133016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F884B4-BC62-4276-A199-F5E0764F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7150"/>
          <a:ext cx="1219306" cy="542591"/>
        </a:xfrm>
        <a:prstGeom prst="rect">
          <a:avLst/>
        </a:prstGeom>
      </xdr:spPr>
    </xdr:pic>
    <xdr:clientData/>
  </xdr:twoCellAnchor>
  <xdr:twoCellAnchor>
    <xdr:from>
      <xdr:col>3</xdr:col>
      <xdr:colOff>695325</xdr:colOff>
      <xdr:row>0</xdr:row>
      <xdr:rowOff>0</xdr:rowOff>
    </xdr:from>
    <xdr:to>
      <xdr:col>4</xdr:col>
      <xdr:colOff>973091</xdr:colOff>
      <xdr:row>2</xdr:row>
      <xdr:rowOff>93817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885361-6165-4BAF-99FA-DF348B0FA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40" t="9732" r="4359" b="9272"/>
        <a:stretch/>
      </xdr:blipFill>
      <xdr:spPr>
        <a:xfrm>
          <a:off x="5343525" y="0"/>
          <a:ext cx="1296941" cy="5700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66675</xdr:rowOff>
    </xdr:from>
    <xdr:to>
      <xdr:col>1</xdr:col>
      <xdr:colOff>1609831</xdr:colOff>
      <xdr:row>2</xdr:row>
      <xdr:rowOff>142541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28AFA3-DB60-4C93-A661-E0305AB67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66675"/>
          <a:ext cx="1219306" cy="542591"/>
        </a:xfrm>
        <a:prstGeom prst="rect">
          <a:avLst/>
        </a:prstGeom>
      </xdr:spPr>
    </xdr:pic>
    <xdr:clientData/>
  </xdr:twoCellAnchor>
  <xdr:twoCellAnchor>
    <xdr:from>
      <xdr:col>3</xdr:col>
      <xdr:colOff>838200</xdr:colOff>
      <xdr:row>0</xdr:row>
      <xdr:rowOff>19050</xdr:rowOff>
    </xdr:from>
    <xdr:to>
      <xdr:col>4</xdr:col>
      <xdr:colOff>868316</xdr:colOff>
      <xdr:row>2</xdr:row>
      <xdr:rowOff>112867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07A1D24-DFB4-477A-8365-B1744B5A8B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40" t="9732" r="4359" b="9272"/>
        <a:stretch/>
      </xdr:blipFill>
      <xdr:spPr>
        <a:xfrm>
          <a:off x="6772275" y="19050"/>
          <a:ext cx="1296941" cy="5700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57150</xdr:rowOff>
    </xdr:from>
    <xdr:to>
      <xdr:col>1</xdr:col>
      <xdr:colOff>1571731</xdr:colOff>
      <xdr:row>2</xdr:row>
      <xdr:rowOff>125014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97C57F-8233-400A-A434-957DD8734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57150"/>
          <a:ext cx="1219306" cy="534589"/>
        </a:xfrm>
        <a:prstGeom prst="rect">
          <a:avLst/>
        </a:prstGeom>
      </xdr:spPr>
    </xdr:pic>
    <xdr:clientData/>
  </xdr:twoCellAnchor>
  <xdr:twoCellAnchor>
    <xdr:from>
      <xdr:col>3</xdr:col>
      <xdr:colOff>352425</xdr:colOff>
      <xdr:row>0</xdr:row>
      <xdr:rowOff>38100</xdr:rowOff>
    </xdr:from>
    <xdr:to>
      <xdr:col>4</xdr:col>
      <xdr:colOff>315866</xdr:colOff>
      <xdr:row>2</xdr:row>
      <xdr:rowOff>131917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B4A640-B868-4E03-97D0-A0E53D2B63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40" t="9732" r="4359" b="9272"/>
        <a:stretch/>
      </xdr:blipFill>
      <xdr:spPr>
        <a:xfrm>
          <a:off x="6286500" y="38100"/>
          <a:ext cx="1296941" cy="5700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47625</xdr:rowOff>
    </xdr:from>
    <xdr:to>
      <xdr:col>1</xdr:col>
      <xdr:colOff>1609831</xdr:colOff>
      <xdr:row>2</xdr:row>
      <xdr:rowOff>123491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1B162D-A6E3-4544-8262-BC11A6C7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47625"/>
          <a:ext cx="1219306" cy="542591"/>
        </a:xfrm>
        <a:prstGeom prst="rect">
          <a:avLst/>
        </a:prstGeom>
      </xdr:spPr>
    </xdr:pic>
    <xdr:clientData/>
  </xdr:twoCellAnchor>
  <xdr:twoCellAnchor>
    <xdr:from>
      <xdr:col>3</xdr:col>
      <xdr:colOff>171450</xdr:colOff>
      <xdr:row>0</xdr:row>
      <xdr:rowOff>38100</xdr:rowOff>
    </xdr:from>
    <xdr:to>
      <xdr:col>4</xdr:col>
      <xdr:colOff>153941</xdr:colOff>
      <xdr:row>2</xdr:row>
      <xdr:rowOff>131917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DB1D30-87F0-4EE4-B771-63BB41568E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40" t="9732" r="4359" b="9272"/>
        <a:stretch/>
      </xdr:blipFill>
      <xdr:spPr>
        <a:xfrm>
          <a:off x="6105525" y="38100"/>
          <a:ext cx="1296941" cy="5700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57150</xdr:rowOff>
    </xdr:from>
    <xdr:to>
      <xdr:col>1</xdr:col>
      <xdr:colOff>1581256</xdr:colOff>
      <xdr:row>2</xdr:row>
      <xdr:rowOff>125014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83CE5C-16A4-4735-95EA-DFF9C98A7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2525" y="57150"/>
          <a:ext cx="1219306" cy="534589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0</xdr:row>
      <xdr:rowOff>28575</xdr:rowOff>
    </xdr:from>
    <xdr:to>
      <xdr:col>4</xdr:col>
      <xdr:colOff>172991</xdr:colOff>
      <xdr:row>2</xdr:row>
      <xdr:rowOff>122392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92FAD9A-1571-48E8-A387-6814D8E9D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40" t="9732" r="4359" b="9272"/>
        <a:stretch/>
      </xdr:blipFill>
      <xdr:spPr>
        <a:xfrm>
          <a:off x="6172200" y="28575"/>
          <a:ext cx="1296941" cy="5700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354331</xdr:colOff>
      <xdr:row>0</xdr:row>
      <xdr:rowOff>59247</xdr:rowOff>
    </xdr:from>
    <xdr:to>
      <xdr:col>1</xdr:col>
      <xdr:colOff>1573530</xdr:colOff>
      <xdr:row>2</xdr:row>
      <xdr:rowOff>140739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80F707-E6A2-4D59-89D3-150A9C08B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906" y="59247"/>
          <a:ext cx="1219199" cy="548217"/>
        </a:xfrm>
        <a:prstGeom prst="rect">
          <a:avLst/>
        </a:prstGeom>
      </xdr:spPr>
    </xdr:pic>
    <xdr:clientData/>
  </xdr:twoCellAnchor>
  <xdr:twoCellAnchor>
    <xdr:from>
      <xdr:col>3</xdr:col>
      <xdr:colOff>314325</xdr:colOff>
      <xdr:row>0</xdr:row>
      <xdr:rowOff>28575</xdr:rowOff>
    </xdr:from>
    <xdr:to>
      <xdr:col>4</xdr:col>
      <xdr:colOff>239666</xdr:colOff>
      <xdr:row>2</xdr:row>
      <xdr:rowOff>122392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94126E-AB81-445B-8E94-29AE785B3C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40" t="9732" r="4359" b="9272"/>
        <a:stretch/>
      </xdr:blipFill>
      <xdr:spPr>
        <a:xfrm>
          <a:off x="6248400" y="28575"/>
          <a:ext cx="1296941" cy="5700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1</xdr:row>
      <xdr:rowOff>66675</xdr:rowOff>
    </xdr:from>
    <xdr:to>
      <xdr:col>2</xdr:col>
      <xdr:colOff>86944</xdr:colOff>
      <xdr:row>4</xdr:row>
      <xdr:rowOff>106896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A2CF4E-C39D-49AD-A87F-E0B414B1B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41935"/>
          <a:ext cx="879424" cy="588861"/>
        </a:xfrm>
        <a:prstGeom prst="rect">
          <a:avLst/>
        </a:prstGeom>
      </xdr:spPr>
    </xdr:pic>
    <xdr:clientData/>
  </xdr:twoCellAnchor>
  <xdr:twoCellAnchor>
    <xdr:from>
      <xdr:col>12</xdr:col>
      <xdr:colOff>418540</xdr:colOff>
      <xdr:row>7</xdr:row>
      <xdr:rowOff>172010</xdr:rowOff>
    </xdr:from>
    <xdr:to>
      <xdr:col>13</xdr:col>
      <xdr:colOff>636494</xdr:colOff>
      <xdr:row>10</xdr:row>
      <xdr:rowOff>8965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350AEB1-AC0A-400B-AFFB-59D18B01451C}"/>
            </a:ext>
          </a:extLst>
        </xdr:cNvPr>
        <xdr:cNvCxnSpPr/>
      </xdr:nvCxnSpPr>
      <xdr:spPr>
        <a:xfrm flipH="1" flipV="1">
          <a:off x="12221920" y="1505510"/>
          <a:ext cx="1040914" cy="62181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578223</xdr:colOff>
      <xdr:row>20</xdr:row>
      <xdr:rowOff>31377</xdr:rowOff>
    </xdr:from>
    <xdr:to>
      <xdr:col>4</xdr:col>
      <xdr:colOff>1151964</xdr:colOff>
      <xdr:row>35</xdr:row>
      <xdr:rowOff>76201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0D2CC63-7C43-403B-8EC4-E55E5D5F84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2</xdr:row>
      <xdr:rowOff>38100</xdr:rowOff>
    </xdr:from>
    <xdr:to>
      <xdr:col>13</xdr:col>
      <xdr:colOff>30480</xdr:colOff>
      <xdr:row>14</xdr:row>
      <xdr:rowOff>53340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2F6FADD-167C-4BD1-A93E-D417C2146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coiwin" ddeTopic="valor">
    <ddeItems>
      <ddeItem name="@PERIODO[A]" advise="1">
        <values>
          <value t="str">
            <val>Abril/2026</val>
          </value>
        </values>
      </ddeItem>
      <ddeItem name="StdDocumentName" ole="1" advise="1"/>
    </ddeItems>
  </ddeLin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coiwin" ddeTopic="matriz">
    <ddeItems>
      <ddeItem name="@CTA[104-001-001..104-001-052, U, N, F]" advise="1">
        <values rows="52" cols="3">
          <value t="str">
            <val>104-001-001</val>
          </value>
          <value t="str">
            <val>A-101 DANIEL DANA</val>
          </value>
          <value>
            <val>0</val>
          </value>
          <value t="str">
            <val>104-001-002</val>
          </value>
          <value t="str">
            <val>A-102 ANTONIO  BELLORIN</val>
          </value>
          <value>
            <val>-12694</val>
          </value>
          <value t="str">
            <val>104-001-003</val>
          </value>
          <value t="str">
            <val>A-201 ALBERTO TARTAKOVSKI</val>
          </value>
          <value>
            <val>0</val>
          </value>
          <value t="str">
            <val>104-001-004</val>
          </value>
          <value t="str">
            <val>A-202 CAROLINA OMAÑA</val>
          </value>
          <value>
            <val>-12694</val>
          </value>
          <value t="str">
            <val>104-001-005</val>
          </value>
          <value t="str">
            <val>A-301 KAREN VELASQUEZ</val>
          </value>
          <value>
            <val>-38082</val>
          </value>
          <value t="str">
            <val>104-001-006</val>
          </value>
          <value t="str">
            <val xml:space="preserve">A-302 MANUEL DAVID </val>
          </value>
          <value>
            <val>0</val>
          </value>
          <value t="str">
            <val>104-001-007</val>
          </value>
          <value t="str">
            <val>A-401 MARIO MIZRAHI</val>
          </value>
          <value>
            <val>0</val>
          </value>
          <value t="str">
            <val>104-001-008</val>
          </value>
          <value t="str">
            <val>A-402 ANASTASIA BELLIS</val>
          </value>
          <value>
            <val>-12694</val>
          </value>
          <value t="str">
            <val>104-001-009</val>
          </value>
          <value t="str">
            <val>A-501 ALEJANDRO GOLDEBERG</val>
          </value>
          <value>
            <val>25000</val>
          </value>
          <value t="str">
            <val>104-001-010</val>
          </value>
          <value t="str">
            <val xml:space="preserve">A-502 DANIEL DAVID </val>
          </value>
          <value>
            <val>0</val>
          </value>
          <value t="str">
            <val>104-001-011</val>
          </value>
          <value t="str">
            <val>A-601 LUIS JIMENEZ ALFARO</val>
          </value>
          <value>
            <val>0</val>
          </value>
          <value t="str">
            <val>104-001-012</val>
          </value>
          <value t="str">
            <val>A-602 EMILIO SACAL</val>
          </value>
          <value>
            <val>0</val>
          </value>
          <value t="str">
            <val>104-001-013</val>
          </value>
          <value t="str">
            <val>A-701 BELORA LEVY</val>
          </value>
          <value>
            <val>0</val>
          </value>
          <value t="str">
            <val>104-001-014</val>
          </value>
          <value t="str">
            <val>A-702 XIMENA DE LASCURAIN</val>
          </value>
          <value>
            <val>-2.9103830456733704E-11</val>
          </value>
          <value t="str">
            <val>104-001-015</val>
          </value>
          <value t="str">
            <val>A-801 ALERTO BESSOUDO</val>
          </value>
          <value>
            <val>0</val>
          </value>
          <value t="str">
            <val>104-001-016</val>
          </value>
          <value t="str">
            <val>A-802 MIREL MIHALIDE</val>
          </value>
          <value>
            <val>-1000</val>
          </value>
          <value t="str">
            <val>104-001-017</val>
          </value>
          <value t="str">
            <val>A-901 EDUARDO ZONANA</val>
          </value>
          <value>
            <val>0</val>
          </value>
          <value t="str">
            <val>104-001-018</val>
          </value>
          <value t="str">
            <val>A-902 ALMA FONDO DE AYUDA I. A. P.</val>
          </value>
          <value>
            <val>0</val>
          </value>
          <value t="str">
            <val>104-001-019</val>
          </value>
          <value t="str">
            <val>A-1001 MONICA SABA</val>
          </value>
          <value>
            <val>0</val>
          </value>
          <value t="str">
            <val>104-001-020</val>
          </value>
          <value t="str">
            <val>A-1002 MIGUEL MIZRAHI</val>
          </value>
          <value>
            <val>0</val>
          </value>
          <value t="str">
            <val>104-001-021</val>
          </value>
          <value t="str">
            <val>A-1101 JAIME SABA</val>
          </value>
          <value>
            <val>0</val>
          </value>
          <value t="str">
            <val>104-001-022</val>
          </value>
          <value t="str">
            <val>A-1102 JUAN GARCIA</val>
          </value>
          <value>
            <val>-12694</val>
          </value>
          <value t="str">
            <val>104-001-023</val>
          </value>
          <value t="str">
            <val>A-1201 MAYER KHALIFAH</val>
          </value>
          <value>
            <val>0</val>
          </value>
          <value t="str">
            <val>104-001-024</val>
          </value>
          <value t="str">
            <val>A-1202 MOISES TUACHI</val>
          </value>
          <value>
            <val>0</val>
          </value>
          <value t="str">
            <val>104-001-025</val>
          </value>
          <value t="str">
            <val xml:space="preserve">A-1301 MAYER COHEN </val>
          </value>
          <value>
            <val>0</val>
          </value>
          <value t="str">
            <val>104-001-026</val>
          </value>
          <value t="str">
            <val>A-1302 BECKY EDID</val>
          </value>
          <value>
            <val>0</val>
          </value>
          <value t="str">
            <val>104-001-027</val>
          </value>
          <value t="str">
            <val>A-1401 JESSICA SIDAUY</val>
          </value>
          <value>
            <val>0</val>
          </value>
          <value t="str">
            <val>104-001-028</val>
          </value>
          <value t="str">
            <val>A-1402 JOSE MAYA</val>
          </value>
          <value>
            <val>0</val>
          </value>
          <value t="str">
            <val>104-001-029</val>
          </value>
          <value t="str">
            <val>A-1501 NISSIM TURKIA</val>
          </value>
          <value>
            <val>0</val>
          </value>
          <value t="str">
            <val>104-001-030</val>
          </value>
          <value t="str">
            <val>A-1502 SAMUEL SEVILLA</val>
          </value>
          <value>
            <val>0</val>
          </value>
          <value t="str">
            <val>104-001-031</val>
          </value>
          <value t="str">
            <val>A-1601 LEON SEVILLA</val>
          </value>
          <value>
            <val>0</val>
          </value>
          <value t="str">
            <val>104-001-032</val>
          </value>
          <value t="str">
            <val>A-1602 ESTRELLA BEHAR</val>
          </value>
          <value>
            <val>-98504</val>
          </value>
          <value t="str">
            <val>104-001-033</val>
          </value>
          <value t="str">
            <val>A-1701 ELIAS JASQUI</val>
          </value>
          <value>
            <val>-98504</val>
          </value>
          <value t="str">
            <val>104-001-034</val>
          </value>
          <value t="str">
            <val>A-1702 IGAL ROVERO</val>
          </value>
          <value>
            <val>500</val>
          </value>
          <value t="str">
            <val>104-001-035</val>
          </value>
          <value t="str">
            <val>A-1801 FRIDA ALFIE</val>
          </value>
          <value>
            <val>0</val>
          </value>
          <value t="str">
            <val>104-001-036</val>
          </value>
          <value t="str">
            <val>A-1802 ABDO ROFFE</val>
          </value>
          <value>
            <val>0</val>
          </value>
          <value t="str">
            <val>104-001-037</val>
          </value>
          <value t="str">
            <val>A-1901 JONATHAN POMERANTZ</val>
          </value>
          <value>
            <val>0</val>
          </value>
          <value t="str">
            <val>104-001-038</val>
          </value>
          <value t="str">
            <val>A-1902 LINDA PENHOS</val>
          </value>
          <value>
            <val>0</val>
          </value>
          <value t="str">
            <val>104-001-039</val>
          </value>
          <value t="str">
            <val>A-2001 ALICIA SABA</val>
          </value>
          <value>
            <val>0</val>
          </value>
          <value t="str">
            <val>104-001-040</val>
          </value>
          <value t="str">
            <val>A-2002 RAFAEL BEHAR</val>
          </value>
          <value>
            <val>0</val>
          </value>
          <value t="str">
            <val>104-001-041</val>
          </value>
          <value t="str">
            <val>A-2101 MOISES PALOMBO</val>
          </value>
          <value>
            <val>0</val>
          </value>
          <value t="str">
            <val>104-001-042</val>
          </value>
          <value t="str">
            <val>A-2102 MAURICIO BALEY</val>
          </value>
          <value>
            <val>0</val>
          </value>
          <value t="str">
            <val>104-001-043</val>
          </value>
          <value t="str">
            <val>A-2201 FREDELLE MUSTRI</val>
          </value>
          <value>
            <val>28188</val>
          </value>
          <value t="str">
            <val>104-001-044</val>
          </value>
          <value t="str">
            <val xml:space="preserve">A-2202 JAIME COHEN </val>
          </value>
          <value>
            <val>0</val>
          </value>
          <value t="str">
            <val>104-001-045</val>
          </value>
          <value t="str">
            <val>A-2301 DANIEL BETECH</val>
          </value>
          <value>
            <val>-2.9103830456733704E-11</val>
          </value>
          <value t="str">
            <val>104-001-046</val>
          </value>
          <value t="str">
            <val xml:space="preserve">A-2302 ALBERTO MAYA </val>
          </value>
          <value>
            <val>0</val>
          </value>
          <value t="str">
            <val>104-001-047</val>
          </value>
          <value t="str">
            <val>A-2401 VICTORIA MUSTRI</val>
          </value>
          <value>
            <val>3.637978807091713E-12</val>
          </value>
          <value t="str">
            <val>104-001-048</val>
          </value>
          <value t="str">
            <val>A-2402 SANDRA BASSINI</val>
          </value>
          <value>
            <val>0</val>
          </value>
          <value t="str">
            <val>104-001-049</val>
          </value>
          <value t="str">
            <val>A-2501 SAMY LAZAROV</val>
          </value>
          <value>
            <val>0</val>
          </value>
          <value t="str">
            <val>104-001-050</val>
          </value>
          <value t="str">
            <val>A-2502 MOISES GUINDI</val>
          </value>
          <value>
            <val>0</val>
          </value>
          <value t="str">
            <val>104-001-051</val>
          </value>
          <value t="str">
            <val>A-PH01 BUDY CHICUREL</val>
          </value>
          <value>
            <val>0</val>
          </value>
          <value t="str">
            <val>104-001-052</val>
          </value>
          <value t="str">
            <val>A-PH02 SALOMON JASQUI</val>
          </value>
          <value>
            <val>0</val>
          </value>
        </values>
      </ddeItem>
      <ddeItem name="@CTA[104-002-001..104-002-052, U, N, F]" advise="1">
        <values rows="52" cols="3">
          <value t="str">
            <val>104-002-001</val>
          </value>
          <value t="str">
            <val>O1-103 BENJAMIN LOMBROZO</val>
          </value>
          <value>
            <val>0</val>
          </value>
          <value t="str">
            <val>104-002-002</val>
          </value>
          <value t="str">
            <val>O1-104 JACK SASSON</val>
          </value>
          <value>
            <val>0</val>
          </value>
          <value t="str">
            <val>104-002-003</val>
          </value>
          <value t="str">
            <val>O1-203 ARIELA ROSENSTEIN</val>
          </value>
          <value>
            <val>0</val>
          </value>
          <value t="str">
            <val>104-002-004</val>
          </value>
          <value t="str">
            <val>O1-204 SELENE CAPDEVILA</val>
          </value>
          <value>
            <val>0</val>
          </value>
          <value t="str">
            <val>104-002-005</val>
          </value>
          <value t="str">
            <val>O1-303 RAFAEL ZAGA</val>
          </value>
          <value>
            <val>0</val>
          </value>
          <value t="str">
            <val>104-002-006</val>
          </value>
          <value t="str">
            <val>O1-304 JOSEF HABER</val>
          </value>
          <value>
            <val>0</val>
          </value>
          <value t="str">
            <val>104-002-007</val>
          </value>
          <value t="str">
            <val>O1-403 JOSE MIZRAHI</val>
          </value>
          <value>
            <val>-12694</val>
          </value>
          <value t="str">
            <val>104-002-008</val>
          </value>
          <value t="str">
            <val>O1-404 IVAN ROJAS</val>
          </value>
          <value>
            <val>0</val>
          </value>
          <value t="str">
            <val>104-002-009</val>
          </value>
          <value t="str">
            <val>O1-503 DAVIDE TOMASSONI</val>
          </value>
          <value>
            <val>7.9580786405131221E-13</val>
          </value>
          <value t="str">
            <val>104-002-010</val>
          </value>
          <value t="str">
            <val>O1-504 REBECA CASTRO</val>
          </value>
          <value>
            <val>0</val>
          </value>
          <value t="str">
            <val>104-002-011</val>
          </value>
          <value t="str">
            <val>O1-603 JACOBO CHEREM A</val>
          </value>
          <value>
            <val>0</val>
          </value>
          <value t="str">
            <val>104-002-012</val>
          </value>
          <value t="str">
            <val>O1-604 ALBERTO SAAD</val>
          </value>
          <value>
            <val>-12694</val>
          </value>
          <value t="str">
            <val>104-002-013</val>
          </value>
          <value t="str">
            <val>O1-703 ANA VAZQUEZ</val>
          </value>
          <value>
            <val>0</val>
          </value>
          <value t="str">
            <val>104-002-014</val>
          </value>
          <value t="str">
            <val>O1-704 SARA ACHAR</val>
          </value>
          <value>
            <val>-9999.9999999999982</val>
          </value>
          <value t="str">
            <val>104-002-015</val>
          </value>
          <value t="str">
            <val>O1-803 ELVIRA RAHMANE</val>
          </value>
          <value>
            <val>0</val>
          </value>
          <value t="str">
            <val>104-002-016</val>
          </value>
          <value t="str">
            <val>O1-804 JOSE GOMEZ</val>
          </value>
          <value>
            <val>-12694</val>
          </value>
          <value t="str">
            <val>104-002-017</val>
          </value>
          <value t="str">
            <val>O1-903 ABRAHAM CHEREM</val>
          </value>
          <value>
            <val>0</val>
          </value>
          <value t="str">
            <val>104-002-018</val>
          </value>
          <value t="str">
            <val>O1-904 ISAAC MAYA</val>
          </value>
          <value>
            <val>0</val>
          </value>
          <value t="str">
            <val>104-002-019</val>
          </value>
          <value t="str">
            <val>O1-1003 SARA MICHA</val>
          </value>
          <value>
            <val>-12694</val>
          </value>
          <value t="str">
            <val>104-002-020</val>
          </value>
          <value t="str">
            <val>O1-1004 NISSIM MANN</val>
          </value>
          <value>
            <val>-2.9103830456733704E-11</val>
          </value>
          <value t="str">
            <val>104-002-021</val>
          </value>
          <value t="str">
            <val>O1-1103 GUADALUPE BASTON</val>
          </value>
          <value>
            <val>0</val>
          </value>
          <value t="str">
            <val>104-002-022</val>
          </value>
          <value t="str">
            <val>O1-1104 JACOBO CATAN</val>
          </value>
          <value>
            <val>-112694</val>
          </value>
          <value t="str">
            <val>104-002-023</val>
          </value>
          <value t="str">
            <val>O1-1203 MOISES CHAYO</val>
          </value>
          <value>
            <val>-12694</val>
          </value>
          <value t="str">
            <val>104-002-024</val>
          </value>
          <value t="str">
            <val>O1-1204 CARLOS KIBRIT</val>
          </value>
          <value>
            <val>0</val>
          </value>
          <value t="str">
            <val>104-002-025</val>
          </value>
          <value t="str">
            <val>O1-1303 CARLOS MIZRAHI</val>
          </value>
          <value>
            <val>0</val>
          </value>
          <value t="str">
            <val>104-002-026</val>
          </value>
          <value t="str">
            <val>O1-1304 JACOBO CHEREM A</val>
          </value>
          <value>
            <val>0</val>
          </value>
          <value t="str">
            <val>104-002-027</val>
          </value>
          <value t="str">
            <val>O1-1403 LEONARDO DE LOZANNE</val>
          </value>
          <value>
            <val>0</val>
          </value>
          <value t="str">
            <val>104-002-028</val>
          </value>
          <value t="str">
            <val>O1-1404 ALBERTO SABA</val>
          </value>
          <value>
            <val>500</val>
          </value>
          <value t="str">
            <val>104-002-029</val>
          </value>
          <value t="str">
            <val>O1-1503 ABRAHAM BRAVERMAN</val>
          </value>
          <value>
            <val>0</val>
          </value>
          <value t="str">
            <val>104-002-030</val>
          </value>
          <value t="str">
            <val>O1-1504 GRACIELA SENOSIAIN</val>
          </value>
          <value>
            <val>-98504</val>
          </value>
          <value t="str">
            <val>104-002-031</val>
          </value>
          <value t="str">
            <val>O1-1603 SIMON PENHAS</val>
          </value>
          <value>
            <val>0</val>
          </value>
          <value t="str">
            <val>104-002-032</val>
          </value>
          <value t="str">
            <val>O1-1604 JACOBO ZAGHA</val>
          </value>
          <value>
            <val>0</val>
          </value>
          <value t="str">
            <val>104-002-033</val>
          </value>
          <value t="str">
            <val>O1-1703 MOISES ALBERTO ESSES</val>
          </value>
          <value>
            <val>-98504</val>
          </value>
          <value t="str">
            <val>104-002-034</val>
          </value>
          <value t="str">
            <val>O1-1704 JACOBO CHEREM A</val>
          </value>
          <value>
            <val>0</val>
          </value>
          <value t="str">
            <val>104-002-035</val>
          </value>
          <value t="str">
            <val>O1-1803 ZURY ESSES</val>
          </value>
          <value>
            <val>-98504</val>
          </value>
          <value t="str">
            <val>104-002-036</val>
          </value>
          <value t="str">
            <val>O1-1804 SALVADOR CARMONA</val>
          </value>
          <value>
            <val>0</val>
          </value>
          <value t="str">
            <val>104-002-037</val>
          </value>
          <value t="str">
            <val>O1-1903 ELIAS CHATTAJ</val>
          </value>
          <value>
            <val>0</val>
          </value>
          <value t="str">
            <val>104-002-038</val>
          </value>
          <value t="str">
            <val>O1-1904 JACOBO CHEREM A</val>
          </value>
          <value>
            <val>0</val>
          </value>
          <value t="str">
            <val>104-002-039</val>
          </value>
          <value t="str">
            <val xml:space="preserve">O1-2003 JOSE MICHAN </val>
          </value>
          <value>
            <val>0</val>
          </value>
          <value t="str">
            <val>104-002-040</val>
          </value>
          <value t="str">
            <val>O1-2004 ALEJANDRO BARRIOS</val>
          </value>
          <value>
            <val>300</val>
          </value>
          <value t="str">
            <val>104-002-041</val>
          </value>
          <value t="str">
            <val>O1-2103 ROCIO CHAVEZ</val>
          </value>
          <value>
            <val>0</val>
          </value>
          <value t="str">
            <val>104-002-042</val>
          </value>
          <value t="str">
            <val>O1-2104 AMADA ZAGHA</val>
          </value>
          <value>
            <val>0</val>
          </value>
          <value t="str">
            <val>104-002-043</val>
          </value>
          <value t="str">
            <val>O1-2203 STEPHANIE MASLIAH</val>
          </value>
          <value>
            <val>0</val>
          </value>
          <value t="str">
            <val>104-002-044</val>
          </value>
          <value t="str">
            <val xml:space="preserve">O1-2204 RAQUEL BUCAY </val>
          </value>
          <value>
            <val>0</val>
          </value>
          <value t="str">
            <val>104-002-045</val>
          </value>
          <value t="str">
            <val>O1-2303 ISAAC HOP</val>
          </value>
          <value>
            <val>13694</val>
          </value>
          <value t="str">
            <val>104-002-046</val>
          </value>
          <value t="str">
            <val>O1-2304 ERICK VEGA</val>
          </value>
          <value>
            <val>0</val>
          </value>
          <value t="str">
            <val>104-002-047</val>
          </value>
          <value t="str">
            <val>O1-2403 SCOTIABANK INVERLAT S.A.</val>
          </value>
          <value>
            <val>180472</val>
          </value>
          <value t="str">
            <val>104-002-048</val>
          </value>
          <value t="str">
            <val>O1-2404 SIMON BASSO</val>
          </value>
          <value>
            <val>0</val>
          </value>
          <value t="str">
            <val>104-002-049</val>
          </value>
          <value t="str">
            <val>O1-2503 ESTHER ABADI</val>
          </value>
          <value>
            <val>0</val>
          </value>
          <value t="str">
            <val>104-002-050</val>
          </value>
          <value t="str">
            <val>O1-2504 SAMUEL ZETUNE</val>
          </value>
          <value>
            <val>0</val>
          </value>
          <value t="str">
            <val>104-002-051</val>
          </value>
          <value t="str">
            <val>O1-PH03 SERGIO FASCOVICH</val>
          </value>
          <value>
            <val>0</val>
          </value>
          <value t="str">
            <val>104-002-052</val>
          </value>
          <value t="str">
            <val>O1-PH04 JACOBO CHEREM HARARI</val>
          </value>
          <value>
            <val>0</val>
          </value>
        </values>
      </ddeItem>
      <ddeItem name="@CTA[104-003-001..104-003-052, U, N, F]" advise="1">
        <values rows="52" cols="3">
          <value t="str">
            <val>104-003-001</val>
          </value>
          <value t="str">
            <val>O2-105 YAMIL MAFUD</val>
          </value>
          <value>
            <val>-98504</val>
          </value>
          <value t="str">
            <val>104-003-002</val>
          </value>
          <value t="str">
            <val>O2-106 SADEGH HARARI</val>
          </value>
          <value>
            <val>0</val>
          </value>
          <value t="str">
            <val>104-003-003</val>
          </value>
          <value t="str">
            <val>O2-205 ISAAC JAMMAL</val>
          </value>
          <value>
            <val>0</val>
          </value>
          <value t="str">
            <val>104-003-004</val>
          </value>
          <value t="str">
            <val>O2-206 JUAN GARCIA</val>
          </value>
          <value>
            <val>500</val>
          </value>
          <value t="str">
            <val>104-003-005</val>
          </value>
          <value t="str">
            <val>O2-305 MOISES HOP</val>
          </value>
          <value>
            <val>300</val>
          </value>
          <value t="str">
            <val>104-003-006</val>
          </value>
          <value t="str">
            <val>O2-306 RAQUEL SHEMARIA</val>
          </value>
          <value>
            <val>0</val>
          </value>
          <value t="str">
            <val>104-003-007</val>
          </value>
          <value t="str">
            <val>O2-405 MONICA COLOMER</val>
          </value>
          <value>
            <val>0</val>
          </value>
          <value t="str">
            <val>104-003-008</val>
          </value>
          <value t="str">
            <val>O2-406 JOSE CHONTKOWSKY</val>
          </value>
          <value>
            <val>0</val>
          </value>
          <value t="str">
            <val>104-003-009</val>
          </value>
          <value t="str">
            <val>O2-505 CINDY LEVY</val>
          </value>
          <value>
            <val>0</val>
          </value>
          <value t="str">
            <val>104-003-010</val>
          </value>
          <value t="str">
            <val>O2-506 NAIRO VARGAS</val>
          </value>
          <value>
            <val>15194</val>
          </value>
          <value t="str">
            <val>104-003-011</val>
          </value>
          <value t="str">
            <val xml:space="preserve">O2-605 ELISA SACAL </val>
          </value>
          <value>
            <val>0</val>
          </value>
          <value t="str">
            <val>104-003-012</val>
          </value>
          <value t="str">
            <val>O2-606 JOSE LANIADO</val>
          </value>
          <value>
            <val>-12694</val>
          </value>
          <value t="str">
            <val>104-003-013</val>
          </value>
          <value t="str">
            <val>O2-705 JOSE SHAYO</val>
          </value>
          <value>
            <val>0</val>
          </value>
          <value t="str">
            <val>104-003-014</val>
          </value>
          <value t="str">
            <val>O2-706 ADELA CHEREM</val>
          </value>
          <value>
            <val>0</val>
          </value>
          <value t="str">
            <val>104-003-015</val>
          </value>
          <value t="str">
            <val>O2-805 MAURICIO MESCHOULAM</val>
          </value>
          <value>
            <val>0</val>
          </value>
          <value t="str">
            <val>104-003-016</val>
          </value>
          <value t="str">
            <val>O2-806 JUAN C REBUELTA</val>
          </value>
          <value>
            <val>0</val>
          </value>
          <value t="str">
            <val>104-003-017</val>
          </value>
          <value t="str">
            <val>O2-905 JOSE SASSON</val>
          </value>
          <value>
            <val>0</val>
          </value>
          <value t="str">
            <val>104-003-018</val>
          </value>
          <value t="str">
            <val>O2-906 MOISES TUACHI</val>
          </value>
          <value>
            <val>0</val>
          </value>
          <value t="str">
            <val>104-003-019</val>
          </value>
          <value t="str">
            <val>O2-1005 JOSE SACAL</val>
          </value>
          <value>
            <val>93327.999999999971</val>
          </value>
          <value t="str">
            <val>104-003-020</val>
          </value>
          <value t="str">
            <val>O2-1006 LUCY FARCA</val>
          </value>
          <value>
            <val>0</val>
          </value>
          <value t="str">
            <val>104-003-021</val>
          </value>
          <value t="str">
            <val>O2-1105 SALOMON BUZALI</val>
          </value>
          <value>
            <val>-12694</val>
          </value>
          <value t="str">
            <val>104-003-022</val>
          </value>
          <value t="str">
            <val>O2-1106 MOISES GUINDI</val>
          </value>
          <value>
            <val>0</val>
          </value>
          <value t="str">
            <val>104-003-023</val>
          </value>
          <value t="str">
            <val>O2-1205 ABRAHAM ROFFE</val>
          </value>
          <value>
            <val>39841</val>
          </value>
          <value t="str">
            <val>104-003-024</val>
          </value>
          <value t="str">
            <val>O2-1206 JONATHAN EZBAN</val>
          </value>
          <value>
            <val>7039</val>
          </value>
          <value t="str">
            <val>104-003-025</val>
          </value>
          <value t="str">
            <val>O2-1305 DANIEL AZAR</val>
          </value>
          <value>
            <val>0</val>
          </value>
          <value t="str">
            <val>104-003-026</val>
          </value>
          <value t="str">
            <val>O2-1306 GILDA RABIOVITZ</val>
          </value>
          <value>
            <val>0</val>
          </value>
          <value t="str">
            <val>104-003-027</val>
          </value>
          <value t="str">
            <val>O2-1405 ANDREINA GONZALEZ</val>
          </value>
          <value>
            <val>0</val>
          </value>
          <value t="str">
            <val>104-003-028</val>
          </value>
          <value t="str">
            <val>O2-1406 DAVID CHERES</val>
          </value>
          <value>
            <val>-123130</val>
          </value>
          <value t="str">
            <val>104-003-029</val>
          </value>
          <value t="str">
            <val>O2-1505 ALON PIKOVSKY</val>
          </value>
          <value>
            <val>300</val>
          </value>
          <value t="str">
            <val>104-003-030</val>
          </value>
          <value t="str">
            <val>O2-1506 KAREN DAYAN</val>
          </value>
          <value>
            <val>0</val>
          </value>
          <value t="str">
            <val>104-003-031</val>
          </value>
          <value t="str">
            <val>O2-1605 JOSE COHEN</val>
          </value>
          <value>
            <val>0</val>
          </value>
          <value t="str">
            <val>104-003-032</val>
          </value>
          <value t="str">
            <val>O2-1606 SHARON STEPESKY</val>
          </value>
          <value>
            <val>0</val>
          </value>
          <value t="str">
            <val>104-003-033</val>
          </value>
          <value t="str">
            <val>O2-1705 DAVID SAADIA</val>
          </value>
          <value>
            <val>0</val>
          </value>
          <value t="str">
            <val>104-003-034</val>
          </value>
          <value t="str">
            <val>O2-1706 DANIEL FRANKLIN</val>
          </value>
          <value>
            <val>0</val>
          </value>
          <value t="str">
            <val>104-003-035</val>
          </value>
          <value t="str">
            <val xml:space="preserve">O2-1805 DAVID JASQUI R </val>
          </value>
          <value>
            <val>0</val>
          </value>
          <value t="str">
            <val>104-003-036</val>
          </value>
          <value t="str">
            <val>O2-1806 SALOMON KABLY</val>
          </value>
          <value>
            <val>0</val>
          </value>
          <value t="str">
            <val>104-003-037</val>
          </value>
          <value t="str">
            <val>O2-1905 MOISES IYABLONOVICH</val>
          </value>
          <value>
            <val>0</val>
          </value>
          <value t="str">
            <val>104-003-038</val>
          </value>
          <value t="str">
            <val>O2-1906 JAIME SALEM</val>
          </value>
          <value>
            <val>27153</val>
          </value>
          <value t="str">
            <val>104-003-039</val>
          </value>
          <value t="str">
            <val>O2-2005 RAMON ZONANA</val>
          </value>
          <value>
            <val>0</val>
          </value>
          <value t="str">
            <val>104-003-040</val>
          </value>
          <value t="str">
            <val>O2-2006 LIC VANESSA OROZCO</val>
          </value>
          <value>
            <val>0</val>
          </value>
          <value t="str">
            <val>104-003-041</val>
          </value>
          <value t="str">
            <val>O2-2105 ROBERTO VILLEGAS</val>
          </value>
          <value>
            <val>0</val>
          </value>
          <value t="str">
            <val>104-003-042</val>
          </value>
          <value t="str">
            <val>O2-2106 JACOBO MIZRAHI</val>
          </value>
          <value>
            <val>-2.9103830456733704E-11</val>
          </value>
          <value t="str">
            <val>104-003-043</val>
          </value>
          <value t="str">
            <val>O2-2205 JORGE WATTY</val>
          </value>
          <value>
            <val>500.00000000001455</val>
          </value>
          <value t="str">
            <val>104-003-044</val>
          </value>
          <value t="str">
            <val>O2-2206 MOISES ZAGA</val>
          </value>
          <value>
            <val>27288</val>
          </value>
          <value t="str">
            <val>104-003-045</val>
          </value>
          <value t="str">
            <val>O2-2305 CARLOS CALTUM</val>
          </value>
          <value>
            <val>0</val>
          </value>
          <value t="str">
            <val>104-003-046</val>
          </value>
          <value t="str">
            <val>O2-2306 ROCIO ARREDONDO</val>
          </value>
          <value>
            <val>0</val>
          </value>
          <value t="str">
            <val>104-003-047</val>
          </value>
          <value t="str">
            <val>O2-2405 SALVADOR BELTRAN</val>
          </value>
          <value>
            <val>0</val>
          </value>
          <value t="str">
            <val>104-003-048</val>
          </value>
          <value t="str">
            <val>O2-2406 RUTH GARCIA</val>
          </value>
          <value>
            <val>0</val>
          </value>
          <value t="str">
            <val>104-003-049</val>
          </value>
          <value t="str">
            <val>O2-2505 BEATRIZ CHAYET</val>
          </value>
          <value>
            <val>0</val>
          </value>
          <value t="str">
            <val>104-003-050</val>
          </value>
          <value t="str">
            <val>O2-2506 FEDERICO ADLERCREUTZ</val>
          </value>
          <value>
            <val>-12694</val>
          </value>
          <value t="str">
            <val>104-003-051</val>
          </value>
          <value t="str">
            <val>O2-PH05 ABRAHAM CHEREM C</val>
          </value>
          <value>
            <val>300</val>
          </value>
          <value t="str">
            <val>104-003-052</val>
          </value>
          <value t="str">
            <val>O2-PH06 SUSETTE HALLAK</val>
          </value>
          <value>
            <val>7039</val>
          </value>
        </values>
      </ddeItem>
      <ddeItem name="@CTA[104-004-001..104-004-052, U, N, F]" advise="1">
        <values rows="52" cols="3">
          <value t="str">
            <val>104-004-001</val>
          </value>
          <value t="str">
            <val>C1-107 GEMI GONZALEZ</val>
          </value>
          <value>
            <val>-98504</val>
          </value>
          <value t="str">
            <val>104-004-002</val>
          </value>
          <value t="str">
            <val>C1-108 NICOLE OLSOFF</val>
          </value>
          <value>
            <val>0</val>
          </value>
          <value t="str">
            <val>104-004-003</val>
          </value>
          <value t="str">
            <val>C1-207 ABRAHAM CHEREM C</val>
          </value>
          <value>
            <val>0</val>
          </value>
          <value t="str">
            <val>104-004-004</val>
          </value>
          <value t="str">
            <val>C1-208 JACOBO CHEREM A</val>
          </value>
          <value>
            <val>0</val>
          </value>
          <value t="str">
            <val>104-004-005</val>
          </value>
          <value t="str">
            <val>C1-307 ABRAHAM ATTIAS</val>
          </value>
          <value>
            <val>0</val>
          </value>
          <value t="str">
            <val>104-004-006</val>
          </value>
          <value t="str">
            <val>C1-308 ELIZABETH ABRUCH</val>
          </value>
          <value>
            <val>0</val>
          </value>
          <value t="str">
            <val>104-004-007</val>
          </value>
          <value t="str">
            <val>C1-407 JACOBO CHEREM A</val>
          </value>
          <value>
            <val>0</val>
          </value>
          <value t="str">
            <val>104-004-008</val>
          </value>
          <value t="str">
            <val>C1-408 RONY STOLKIN</val>
          </value>
          <value>
            <val>-98504</val>
          </value>
          <value t="str">
            <val>104-004-009</val>
          </value>
          <value t="str">
            <val>C1-507 ROSA TURQUIE</val>
          </value>
          <value>
            <val>27888</val>
          </value>
          <value t="str">
            <val>104-004-010</val>
          </value>
          <value t="str">
            <val>C1-508 JEANETTE SITTON</val>
          </value>
          <value>
            <val>0</val>
          </value>
          <value t="str">
            <val>104-004-011</val>
          </value>
          <value t="str">
            <val>C1-607 JACOBO CHEREM A</val>
          </value>
          <value>
            <val>0</val>
          </value>
          <value t="str">
            <val>104-004-012</val>
          </value>
          <value t="str">
            <val>C1-608 FRIDA ASKENAZI</val>
          </value>
          <value>
            <val>0</val>
          </value>
          <value t="str">
            <val>104-004-013</val>
          </value>
          <value t="str">
            <val>C1-707 CLAUDIA CAMUS</val>
          </value>
          <value>
            <val>13694</val>
          </value>
          <value t="str">
            <val>104-004-014</val>
          </value>
          <value t="str">
            <val>C1-708 DANIEL CHICUREL</val>
          </value>
          <value>
            <val>0</val>
          </value>
          <value t="str">
            <val>104-004-015</val>
          </value>
          <value t="str">
            <val>C1-807 EDUARDO CHEREM</val>
          </value>
          <value>
            <val>0</val>
          </value>
          <value t="str">
            <val>104-004-016</val>
          </value>
          <value t="str">
            <val>C1-808 DAVID ATACH</val>
          </value>
          <value>
            <val>0</val>
          </value>
          <value t="str">
            <val>104-004-017</val>
          </value>
          <value t="str">
            <val>C1-907 REBECA ROMANO</val>
          </value>
          <value>
            <val>0</val>
          </value>
          <value t="str">
            <val>104-004-018</val>
          </value>
          <value t="str">
            <val>C1-908 MICHELLE CHIVER</val>
          </value>
          <value>
            <val>0</val>
          </value>
          <value t="str">
            <val>104-004-019</val>
          </value>
          <value t="str">
            <val>C1-1007 AGGI FLEGMAN L</val>
          </value>
          <value>
            <val>0</val>
          </value>
          <value t="str">
            <val>104-004-020</val>
          </value>
          <value t="str">
            <val>C1-1008 FERNANDA PUENTE</val>
          </value>
          <value>
            <val>0</val>
          </value>
          <value t="str">
            <val>104-004-021</val>
          </value>
          <value t="str">
            <val>C1-1107 ISAAC HENDY</val>
          </value>
          <value>
            <val>0</val>
          </value>
          <value t="str">
            <val>104-004-022</val>
          </value>
          <value t="str">
            <val>C1-1108 VICKY LANIADO</val>
          </value>
          <value>
            <val>0</val>
          </value>
          <value t="str">
            <val>104-004-023</val>
          </value>
          <value t="str">
            <val>C1-1207 VICKY CALTUM</val>
          </value>
          <value>
            <val>0</val>
          </value>
          <value t="str">
            <val>104-004-024</val>
          </value>
          <value t="str">
            <val>C1-1208 MOISES BEHAR</val>
          </value>
          <value>
            <val>-306</val>
          </value>
          <value t="str">
            <val>104-004-025</val>
          </value>
          <value t="str">
            <val>C1-1307 DANYA NISSAN</val>
          </value>
          <value>
            <val>-12694</val>
          </value>
          <value t="str">
            <val>104-004-026</val>
          </value>
          <value t="str">
            <val>C1-1308 VICTOR KALIFA</val>
          </value>
          <value>
            <val>0</val>
          </value>
          <value t="str">
            <val>104-004-027</val>
          </value>
          <value t="str">
            <val>C1-1407 OSCAR ROMAN</val>
          </value>
          <value>
            <val>0</val>
          </value>
          <value t="str">
            <val>104-004-028</val>
          </value>
          <value t="str">
            <val xml:space="preserve">C1-1408 ABRAHAM CHEREM C </val>
          </value>
          <value>
            <val>0</val>
          </value>
          <value t="str">
            <val>104-004-029</val>
          </value>
          <value t="str">
            <val>C1-1507 ANDREA PERLA</val>
          </value>
          <value>
            <val>0</val>
          </value>
          <value t="str">
            <val>104-004-030</val>
          </value>
          <value t="str">
            <val>C1-1508 ALBERTO NEHMAD</val>
          </value>
          <value>
            <val>13694.000000000007</val>
          </value>
          <value t="str">
            <val>104-004-031</val>
          </value>
          <value t="str">
            <val>C1-1607 SALOMON COJAB</val>
          </value>
          <value>
            <val>-98504</val>
          </value>
          <value t="str">
            <val>104-004-032</val>
          </value>
          <value t="str">
            <val>C1-1608 HUGO I. PEREZ</val>
          </value>
          <value>
            <val>0</val>
          </value>
          <value t="str">
            <val>104-004-033</val>
          </value>
          <value t="str">
            <val>C1-1707 ABRAHAM CHEREM C</val>
          </value>
          <value>
            <val>0</val>
          </value>
          <value t="str">
            <val>104-004-034</val>
          </value>
          <value t="str">
            <val>C1-1708 SALOMON NAANOUS</val>
          </value>
          <value>
            <val>0</val>
          </value>
          <value t="str">
            <val>104-004-035</val>
          </value>
          <value t="str">
            <val>C1-1807 MIRIAM HALABE</val>
          </value>
          <value>
            <val>0</val>
          </value>
          <value t="str">
            <val>104-004-036</val>
          </value>
          <value t="str">
            <val>C1-1808 JACOBO CHEREM A</val>
          </value>
          <value>
            <val>0</val>
          </value>
          <value t="str">
            <val>104-004-037</val>
          </value>
          <value t="str">
            <val>C1-1907 ERIC ZUCHOVICKI</val>
          </value>
          <value>
            <val>0</val>
          </value>
          <value t="str">
            <val>104-004-038</val>
          </value>
          <value t="str">
            <val>C1-1908 ALBERTO CATARIVAS</val>
          </value>
          <value>
            <val>0</val>
          </value>
          <value t="str">
            <val>104-004-039</val>
          </value>
          <value t="str">
            <val>C1-2007 ILAN EICHNER</val>
          </value>
          <value>
            <val>0</val>
          </value>
          <value t="str">
            <val>104-004-040</val>
          </value>
          <value t="str">
            <val>C1-2008 SANDRA MARAIMA</val>
          </value>
          <value>
            <val>0</val>
          </value>
          <value t="str">
            <val>104-004-041</val>
          </value>
          <value t="str">
            <val>C1-2107 ISIDORO CHERES</val>
          </value>
          <value>
            <val>-98504</val>
          </value>
          <value t="str">
            <val>104-004-042</val>
          </value>
          <value t="str">
            <val>C1-2108 DANIA DJADDAH</val>
          </value>
          <value>
            <val>0</val>
          </value>
          <value t="str">
            <val>104-004-043</val>
          </value>
          <value t="str">
            <val>C1-2207 ALBERTO BALAS</val>
          </value>
          <value>
            <val>0</val>
          </value>
          <value t="str">
            <val>104-004-044</val>
          </value>
          <value t="str">
            <val>C1-2208 GABRIEL EFTER</val>
          </value>
          <value>
            <val>0</val>
          </value>
          <value t="str">
            <val>104-004-045</val>
          </value>
          <value t="str">
            <val>C1-2307 MARLEN KABLY</val>
          </value>
          <value>
            <val>0</val>
          </value>
          <value t="str">
            <val>104-004-046</val>
          </value>
          <value t="str">
            <val>C1-2308 CARLOS OJEDA</val>
          </value>
          <value>
            <val>0</val>
          </value>
          <value t="str">
            <val>104-004-047</val>
          </value>
          <value t="str">
            <val>C1-2407 SALOMON AMKIE</val>
          </value>
          <value>
            <val>1000</val>
          </value>
          <value t="str">
            <val>104-004-048</val>
          </value>
          <value t="str">
            <val>C1-2408 LINDA LATI</val>
          </value>
          <value>
            <val>3519</val>
          </value>
          <value t="str">
            <val>104-004-049</val>
          </value>
          <value t="str">
            <val>C1-2507 BERNARDO SHTEREMBERG</val>
          </value>
          <value>
            <val>0</val>
          </value>
          <value t="str">
            <val>104-004-050</val>
          </value>
          <value t="str">
            <val>C1-2508 SALOMON AMBE</val>
          </value>
          <value>
            <val>13694</val>
          </value>
          <value t="str">
            <val>104-004-051</val>
          </value>
          <value t="str">
            <val xml:space="preserve">C1-PH07 </val>
          </value>
          <value>
            <val>0</val>
          </value>
          <value t="str">
            <val>104-004-052</val>
          </value>
          <value t="str">
            <val>C1-PH08 SALOMON ABADI</val>
          </value>
          <value>
            <val>0</val>
          </value>
        </values>
      </ddeItem>
      <ddeItem name="@CTA[104-005-001..104-005-052, U, N, F]" advise="1">
        <values rows="52" cols="3">
          <value t="str">
            <val>104-005-001</val>
          </value>
          <value t="str">
            <val>C2-109 SALOMON BALAS</val>
          </value>
          <value>
            <val>0</val>
          </value>
          <value t="str">
            <val>104-005-002</val>
          </value>
          <value t="str">
            <val>C2-110 MAURICIO FINKELSTEIN</val>
          </value>
          <value>
            <val>0</val>
          </value>
          <value t="str">
            <val>104-005-003</val>
          </value>
          <value t="str">
            <val>C2-209 MIRELE DJADDAH</val>
          </value>
          <value>
            <val>0</val>
          </value>
          <value t="str">
            <val>104-005-004</val>
          </value>
          <value t="str">
            <val>C2-210 JACOBO CHEJA</val>
          </value>
          <value>
            <val>0</val>
          </value>
          <value t="str">
            <val>104-005-005</val>
          </value>
          <value t="str">
            <val>C2-309 DAVID SAAD</val>
          </value>
          <value>
            <val>0</val>
          </value>
          <value t="str">
            <val>104-005-006</val>
          </value>
          <value t="str">
            <val>C2-310 JOSE AMKIE</val>
          </value>
          <value>
            <val>0</val>
          </value>
          <value t="str">
            <val>104-005-007</val>
          </value>
          <value t="str">
            <val>C2-409 ASUNCION CASTELAZO</val>
          </value>
          <value>
            <val>0</val>
          </value>
          <value t="str">
            <val>104-005-008</val>
          </value>
          <value t="str">
            <val>C2-410 LUIS GUILHERME</val>
          </value>
          <value>
            <val>0</val>
          </value>
          <value t="str">
            <val>104-005-009</val>
          </value>
          <value t="str">
            <val>C2-509 MARCOS TUACHI</val>
          </value>
          <value>
            <val>0</val>
          </value>
          <value t="str">
            <val>104-005-010</val>
          </value>
          <value t="str">
            <val>C2-510 SARITA AGAMI</val>
          </value>
          <value>
            <val>0</val>
          </value>
          <value t="str">
            <val>104-005-011</val>
          </value>
          <value t="str">
            <val>C2-609 MAURICIO FINKELSTEIN</val>
          </value>
          <value>
            <val>0</val>
          </value>
          <value t="str">
            <val>104-005-012</val>
          </value>
          <value t="str">
            <val>C2-610 MARK JERUSALMI</val>
          </value>
          <value>
            <val>0</val>
          </value>
          <value t="str">
            <val>104-005-013</val>
          </value>
          <value t="str">
            <val>C2-709 JACK GOLDBERG</val>
          </value>
          <value>
            <val>0</val>
          </value>
          <value t="str">
            <val>104-005-014</val>
          </value>
          <value t="str">
            <val>C2-710 MAURICIO COHEN</val>
          </value>
          <value>
            <val>0</val>
          </value>
          <value t="str">
            <val>104-005-015</val>
          </value>
          <value t="str">
            <val>C2-809 ESTHER CALTUM</val>
          </value>
          <value>
            <val>300</val>
          </value>
          <value t="str">
            <val>104-005-016</val>
          </value>
          <value t="str">
            <val>C2-810 SONIA FUX</val>
          </value>
          <value>
            <val>0</val>
          </value>
          <value t="str">
            <val>104-005-017</val>
          </value>
          <value t="str">
            <val>C2-909 ARIELA ZAIDMAN</val>
          </value>
          <value>
            <val>-12694</val>
          </value>
          <value t="str">
            <val>104-005-018</val>
          </value>
          <value t="str">
            <val>C2-910 ALBERTO KABLY</val>
          </value>
          <value>
            <val>0</val>
          </value>
          <value t="str">
            <val>104-005-019</val>
          </value>
          <value t="str">
            <val>C2-1009 JONATHAN SALTIEL</val>
          </value>
          <value>
            <val>0</val>
          </value>
          <value t="str">
            <val>104-005-020</val>
          </value>
          <value t="str">
            <val>C2-1010 JOSE BEJAR</val>
          </value>
          <value>
            <val>0</val>
          </value>
          <value t="str">
            <val>104-005-021</val>
          </value>
          <value t="str">
            <val>C2-1109 RAQUELITA DUEK</val>
          </value>
          <value>
            <val>-12694</val>
          </value>
          <value t="str">
            <val>104-005-022</val>
          </value>
          <value t="str">
            <val>C2-1110 FEDERICO PENHAS</val>
          </value>
          <value>
            <val>500</val>
          </value>
          <value t="str">
            <val>104-005-023</val>
          </value>
          <value t="str">
            <val>C2-1209 SHELLY SEVILLA</val>
          </value>
          <value>
            <val>0</val>
          </value>
          <value t="str">
            <val>104-005-024</val>
          </value>
          <value t="str">
            <val>C2-1210 JOSE JAFIF</val>
          </value>
          <value>
            <val>-38082</val>
          </value>
          <value t="str">
            <val>104-005-025</val>
          </value>
          <value t="str">
            <val xml:space="preserve">C2-1309 DANIELA SALTIEL </val>
          </value>
          <value>
            <val>0</val>
          </value>
          <value t="str">
            <val>104-005-026</val>
          </value>
          <value t="str">
            <val>C2-1310 VICTOR COHEN</val>
          </value>
          <value>
            <val>0</val>
          </value>
          <value t="str">
            <val>104-005-027</val>
          </value>
          <value t="str">
            <val>C2-1409 SANTIAGO GONZALES</val>
          </value>
          <value>
            <val>0</val>
          </value>
          <value t="str">
            <val>104-005-028</val>
          </value>
          <value t="str">
            <val>C2-1410 SARITA AGAMI M</val>
          </value>
          <value>
            <val>0</val>
          </value>
          <value t="str">
            <val>104-005-029</val>
          </value>
          <value t="str">
            <val>C2-1509 MARCOS ZAGA</val>
          </value>
          <value>
            <val>0</val>
          </value>
          <value t="str">
            <val>104-005-030</val>
          </value>
          <value t="str">
            <val>C2-1510 ANA BARBA</val>
          </value>
          <value>
            <val>0</val>
          </value>
          <value t="str">
            <val>104-005-031</val>
          </value>
          <value t="str">
            <val>C2-1609 DANIA DJJADDAH</val>
          </value>
          <value>
            <val>0</val>
          </value>
          <value t="str">
            <val>104-005-032</val>
          </value>
          <value t="str">
            <val>C2-1610 ESTHER MICHAN</val>
          </value>
          <value>
            <val>-12694</val>
          </value>
          <value t="str">
            <val>104-005-033</val>
          </value>
          <value t="str">
            <val>C2-1709 JOSE CAIN</val>
          </value>
          <value>
            <val>0</val>
          </value>
          <value t="str">
            <val>104-005-034</val>
          </value>
          <value t="str">
            <val>C2-1710 JOE SITT</val>
          </value>
          <value>
            <val>0</val>
          </value>
          <value t="str">
            <val>104-005-035</val>
          </value>
          <value t="str">
            <val>C2-1809 FREDELLE ZETUNE</val>
          </value>
          <value>
            <val>-12694</val>
          </value>
          <value t="str">
            <val>104-005-036</val>
          </value>
          <value t="str">
            <val>C2-1810 JACOBO CHEREM A</val>
          </value>
          <value>
            <val>0</val>
          </value>
          <value t="str">
            <val>104-005-037</val>
          </value>
          <value t="str">
            <val>C2-1909 EDUARDO CHEREM</val>
          </value>
          <value>
            <val>0</val>
          </value>
          <value t="str">
            <val>104-005-038</val>
          </value>
          <value t="str">
            <val>C2-1910 BENJAMIN FARCA</val>
          </value>
          <value>
            <val>0</val>
          </value>
          <value t="str">
            <val>104-005-039</val>
          </value>
          <value t="str">
            <val>C2-2009 POLA CALTUM</val>
          </value>
          <value>
            <val>0</val>
          </value>
          <value t="str">
            <val>104-005-040</val>
          </value>
          <value t="str">
            <val>C2-2010 CUSPIDE INDUSTRIAL CONST</val>
          </value>
          <value>
            <val>600</val>
          </value>
          <value t="str">
            <val>104-005-041</val>
          </value>
          <value t="str">
            <val>C2-2109 SARA MASRI</val>
          </value>
          <value>
            <val>-25388</val>
          </value>
          <value t="str">
            <val>104-005-042</val>
          </value>
          <value t="str">
            <val>C2-2110 SUSANA CATARIVAS</val>
          </value>
          <value>
            <val>0</val>
          </value>
          <value t="str">
            <val>104-005-043</val>
          </value>
          <value t="str">
            <val>C2-2209 SOFIA DABBAH</val>
          </value>
          <value>
            <val>1.4551915228366852E-11</val>
          </value>
          <value t="str">
            <val>104-005-044</val>
          </value>
          <value t="str">
            <val>C2-2210 AARON MASRI</val>
          </value>
          <value>
            <val>0</val>
          </value>
          <value t="str">
            <val>104-005-045</val>
          </value>
          <value t="str">
            <val>C2-2309 ISAAC ADES</val>
          </value>
          <value>
            <val>0</val>
          </value>
          <value t="str">
            <val>104-005-046</val>
          </value>
          <value t="str">
            <val>C2-2310 ISAAC JAFIF</val>
          </value>
          <value>
            <val>0</val>
          </value>
          <value t="str">
            <val>104-005-047</val>
          </value>
          <value t="str">
            <val>C2-2409 JACOBO SHAMOSH</val>
          </value>
          <value>
            <val>0</val>
          </value>
          <value t="str">
            <val>104-005-048</val>
          </value>
          <value t="str">
            <val>C2-2410 SARA MASRI</val>
          </value>
          <value>
            <val>-25388</val>
          </value>
          <value t="str">
            <val>104-005-049</val>
          </value>
          <value t="str">
            <val>C2-2509 ELIAS ZAGA</val>
          </value>
          <value>
            <val>0</val>
          </value>
          <value t="str">
            <val>104-005-050</val>
          </value>
          <value t="str">
            <val>C2-2510 ALLAN LEVY</val>
          </value>
          <value>
            <val>0</val>
          </value>
          <value t="str">
            <val>104-005-051</val>
          </value>
          <value t="str">
            <val>C2-PH09 JUAN SAN MILLAN</val>
          </value>
          <value>
            <val>0</val>
          </value>
          <value t="str">
            <val>104-005-052</val>
          </value>
          <value t="str">
            <val>C2-PH10 JEMILE RAYEK</val>
          </value>
          <value>
            <val>-12694</val>
          </value>
        </values>
      </ddeItem>
      <ddeItem name="@CTA[104-006-001..104-006-052, U, N, F]" advise="1">
        <values rows="52" cols="3">
          <value t="str">
            <val>104-006-001</val>
          </value>
          <value t="str">
            <val>C3-111 EMILIA COHEN</val>
          </value>
          <value>
            <val>300</val>
          </value>
          <value t="str">
            <val>104-006-002</val>
          </value>
          <value t="str">
            <val>C3-112 YOLANDA PRZYSZWA</val>
          </value>
          <value>
            <val>0</val>
          </value>
          <value t="str">
            <val>104-006-003</val>
          </value>
          <value t="str">
            <val>C3-211 ISAAC ZAYATH</val>
          </value>
          <value>
            <val>112266</val>
          </value>
          <value t="str">
            <val>104-006-004</val>
          </value>
          <value t="str">
            <val>C3-212 YEMI NAGAR</val>
          </value>
          <value>
            <val>0</val>
          </value>
          <value t="str">
            <val>104-006-005</val>
          </value>
          <value t="str">
            <val>C3-311 LOURDES REVILLA</val>
          </value>
          <value>
            <val>-98503.999999999971</val>
          </value>
          <value t="str">
            <val>104-006-006</val>
          </value>
          <value t="str">
            <val>C3-312 DAVID GUAKIL</val>
          </value>
          <value>
            <val>-12694</val>
          </value>
          <value t="str">
            <val>104-006-007</val>
          </value>
          <value t="str">
            <val>C3-411 DANIEL NACACH</val>
          </value>
          <value>
            <val>0</val>
          </value>
          <value t="str">
            <val>104-006-008</val>
          </value>
          <value t="str">
            <val>C3-412 ERIKA RAYNAL</val>
          </value>
          <value>
            <val>-200</val>
          </value>
          <value t="str">
            <val>104-006-009</val>
          </value>
          <value t="str">
            <val>C3-511 BENJAMIN CHEREM T</val>
          </value>
          <value>
            <val>-12694</val>
          </value>
          <value t="str">
            <val>104-006-010</val>
          </value>
          <value t="str">
            <val>C3-512 ALEJANDRO RABINOVITZ</val>
          </value>
          <value>
            <val>300</val>
          </value>
          <value t="str">
            <val>104-006-011</val>
          </value>
          <value t="str">
            <val>C3-611 JOSE CAIN</val>
          </value>
          <value>
            <val>0</val>
          </value>
          <value t="str">
            <val>104-006-012</val>
          </value>
          <value t="str">
            <val>C3-612 LORENA CARREÑO</val>
          </value>
          <value>
            <val>0</val>
          </value>
          <value t="str">
            <val>104-006-013</val>
          </value>
          <value t="str">
            <val>C3-711 RONY JERUSALMI</val>
          </value>
          <value>
            <val>0</val>
          </value>
          <value t="str">
            <val>104-006-014</val>
          </value>
          <value t="str">
            <val>C3-712 ALICIA ORTEGA</val>
          </value>
          <value>
            <val>0</val>
          </value>
          <value t="str">
            <val>104-006-015</val>
          </value>
          <value t="str">
            <val>C3-811 ELIAS TUACHI</val>
          </value>
          <value>
            <val>0</val>
          </value>
          <value t="str">
            <val>104-006-016</val>
          </value>
          <value t="str">
            <val>C3-812 SALOMON CASSAB</val>
          </value>
          <value>
            <val>-98504</val>
          </value>
          <value t="str">
            <val>104-006-017</val>
          </value>
          <value t="str">
            <val>C3-911 KAREN TURQUIE</val>
          </value>
          <value>
            <val>-12694</val>
          </value>
          <value t="str">
            <val>104-006-018</val>
          </value>
          <value t="str">
            <val>C3-912 ALBERTO ALVO</val>
          </value>
          <value>
            <val>0</val>
          </value>
          <value t="str">
            <val>104-006-019</val>
          </value>
          <value t="str">
            <val>C3-1011 DALIA GUTIERREZ</val>
          </value>
          <value>
            <val>0</val>
          </value>
          <value t="str">
            <val>104-006-020</val>
          </value>
          <value t="str">
            <val>C3-1012 DAVID COHEN</val>
          </value>
          <value>
            <val>0</val>
          </value>
          <value t="str">
            <val>104-006-021</val>
          </value>
          <value t="str">
            <val>C3-1111 ESTHER ROMANO</val>
          </value>
          <value>
            <val>27956</val>
          </value>
          <value t="str">
            <val>104-006-022</val>
          </value>
          <value t="str">
            <val xml:space="preserve">C3-1112 JOSE METTA </val>
          </value>
          <value>
            <val>0</val>
          </value>
          <value t="str">
            <val>104-006-023</val>
          </value>
          <value t="str">
            <val>C3-1211 TERESA ENTEBI</val>
          </value>
          <value>
            <val>0</val>
          </value>
          <value t="str">
            <val>104-006-024</val>
          </value>
          <value t="str">
            <val>C3-1212 FORTUNA CASSAB</val>
          </value>
          <value>
            <val>0</val>
          </value>
          <value t="str">
            <val>104-006-025</val>
          </value>
          <value t="str">
            <val>C3-1311 ESTHER GALANTE</val>
          </value>
          <value>
            <val>0</val>
          </value>
          <value t="str">
            <val>104-006-026</val>
          </value>
          <value t="str">
            <val>C3-1312 RAYMOND ZETUNE</val>
          </value>
          <value>
            <val>0</val>
          </value>
          <value t="str">
            <val>104-006-027</val>
          </value>
          <value t="str">
            <val>C3-1411 MARIA REYES</val>
          </value>
          <value>
            <val>-12694</val>
          </value>
          <value t="str">
            <val>104-006-028</val>
          </value>
          <value t="str">
            <val>C3-1412 GABRIEL TUACHI</val>
          </value>
          <value>
            <val>0</val>
          </value>
          <value t="str">
            <val>104-006-029</val>
          </value>
          <value t="str">
            <val>C3-1511 LAURA VALDES</val>
          </value>
          <value>
            <val>-25388</val>
          </value>
          <value t="str">
            <val>104-006-030</val>
          </value>
          <value t="str">
            <val>C3-1512 RODRIGO LAMBRE</val>
          </value>
          <value>
            <val>0</val>
          </value>
          <value t="str">
            <val>104-006-031</val>
          </value>
          <value t="str">
            <val>C3-1611 ESTHER HARARI ACHAR DE CHEREM</val>
          </value>
          <value>
            <val>0</val>
          </value>
          <value t="str">
            <val>104-006-032</val>
          </value>
          <value t="str">
            <val>C3-1612 RAQUEL SHABOT</val>
          </value>
          <value>
            <val>-98504</val>
          </value>
          <value t="str">
            <val>104-006-033</val>
          </value>
          <value t="str">
            <val>C3-1711 EDITH OURFALI</val>
          </value>
          <value>
            <val>0</val>
          </value>
          <value t="str">
            <val>104-006-034</val>
          </value>
          <value t="str">
            <val>C3-1712 ELIAS CHAYO</val>
          </value>
          <value>
            <val>-25388</val>
          </value>
          <value t="str">
            <val>104-006-035</val>
          </value>
          <value t="str">
            <val>C3-1811 BENJAMIN CHEREM T</val>
          </value>
          <value>
            <val>-12694</val>
          </value>
          <value t="str">
            <val>104-006-036</val>
          </value>
          <value t="str">
            <val>C3-1812 DALIA CASPI</val>
          </value>
          <value>
            <val>0</val>
          </value>
          <value t="str">
            <val>104-006-037</val>
          </value>
          <value t="str">
            <val>C3-1911 BENJAMIN ZONANA</val>
          </value>
          <value>
            <val>-12694</val>
          </value>
          <value t="str">
            <val>104-006-038</val>
          </value>
          <value t="str">
            <val xml:space="preserve">C3-1912 JACOBO CHEREM A </val>
          </value>
          <value>
            <val>0</val>
          </value>
          <value t="str">
            <val>104-006-039</val>
          </value>
          <value t="str">
            <val>C3-2011 SARA MASRI</val>
          </value>
          <value>
            <val>-25388</val>
          </value>
          <value t="str">
            <val>104-006-040</val>
          </value>
          <value t="str">
            <val>C3-2012 MARGARITA ZAGA</val>
          </value>
          <value>
            <val>0</val>
          </value>
          <value t="str">
            <val>104-006-041</val>
          </value>
          <value t="str">
            <val>C3-2111 JACOBO LEVY</val>
          </value>
          <value>
            <val>0</val>
          </value>
          <value t="str">
            <val>104-006-042</val>
          </value>
          <value t="str">
            <val>C3-2112 ALINE CHEREM</val>
          </value>
          <value>
            <val>-98504</val>
          </value>
          <value t="str">
            <val>104-006-043</val>
          </value>
          <value t="str">
            <val>C3-2211 PABLO MARTI</val>
          </value>
          <value>
            <val>-98504</val>
          </value>
          <value t="str">
            <val>104-006-044</val>
          </value>
          <value t="str">
            <val>C3-2212 GIL COHEN</val>
          </value>
          <value>
            <val>-12694</val>
          </value>
          <value t="str">
            <val>104-006-045</val>
          </value>
          <value t="str">
            <val>C3-2311 RAQUEL ACHAR</val>
          </value>
          <value>
            <val>0</val>
          </value>
          <value t="str">
            <val>104-006-046</val>
          </value>
          <value t="str">
            <val>C3-2312 MOISES PERLA</val>
          </value>
          <value>
            <val>0</val>
          </value>
          <value t="str">
            <val>104-006-047</val>
          </value>
          <value t="str">
            <val>C3-2411 JOSE MASRI</val>
          </value>
          <value>
            <val>0</val>
          </value>
          <value t="str">
            <val>104-006-048</val>
          </value>
          <value t="str">
            <val xml:space="preserve">C3-2412 MICHELLE SALTIEL </val>
          </value>
          <value>
            <val>0</val>
          </value>
          <value t="str">
            <val>104-006-049</val>
          </value>
          <value t="str">
            <val>C3-2511 LEON KASSIN</val>
          </value>
          <value>
            <val>0</val>
          </value>
          <value t="str">
            <val>104-006-050</val>
          </value>
          <value t="str">
            <val>C3-2512 EDUARDO BRIMAN</val>
          </value>
          <value>
            <val>0</val>
          </value>
          <value t="str">
            <val>104-006-051</val>
          </value>
          <value t="str">
            <val>C3-PH11 JACOBO ROMANO</val>
          </value>
          <value>
            <val>-98504</val>
          </value>
          <value t="str">
            <val>104-006-052</val>
          </value>
          <value t="str">
            <val>C3-PH12 DANIEL BRIMAN</val>
          </value>
          <value>
            <val>-98504</val>
          </value>
        </values>
      </ddeItem>
      <ddeItem name="@CTA[104-100-001, U, N, F]" advise="1">
        <values cols="3">
          <value t="str">
            <val>104-100-001</val>
          </value>
          <value t="str">
            <val>NO IDENTIFICADOS</val>
          </value>
          <value>
            <val>3.637978807091713E-12</val>
          </value>
        </values>
      </ddeItem>
      <ddeItem name="StdDocumentName" ole="1" advise="1"/>
    </ddeItems>
  </ddeLin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C670D-DF31-40DA-A108-59C39FF5041C}" name="BD" displayName="BD" ref="B4:E317" totalsRowShown="0" headerRowDxfId="6" dataDxfId="5" tableBorderDxfId="4">
  <autoFilter ref="B4:E317" xr:uid="{92D6A19F-E44D-4436-BD3E-83D7DA9096D8}"/>
  <sortState xmlns:xlrd2="http://schemas.microsoft.com/office/spreadsheetml/2017/richdata2" ref="B5:E317">
    <sortCondition descending="1" ref="D4:D317"/>
  </sortState>
  <tableColumns count="4">
    <tableColumn id="1" xr3:uid="{BFE5F4FA-3314-424D-BF6B-BF306881A57D}" name="CTA" dataDxfId="3">
      <calculatedColumnFormula>+'PT1'!B6</calculatedColumnFormula>
    </tableColumn>
    <tableColumn id="2" xr3:uid="{2330D1C7-6EFE-4EF3-8042-AC8FA1C88D0F}" name="CONDOMINO" dataDxfId="2">
      <calculatedColumnFormula>+'PT1'!C6</calculatedColumnFormula>
    </tableColumn>
    <tableColumn id="3" xr3:uid="{A1C2FF1D-07C0-4091-B127-3C36DA937A02}" name="TOTAL" dataDxfId="1" dataCellStyle="Millares">
      <calculatedColumnFormula>+'PT1'!D6</calculatedColumnFormula>
    </tableColumn>
    <tableColumn id="4" xr3:uid="{7FA9404E-1B1F-43BA-8B92-BBC6C13FB791}" name="CLASIFICACIÓN" dataDxfId="0">
      <calculatedColumnFormula>IF(D5&lt;0,"ANTICIPOS",IF(D5=$J$8,"SIN ADEUDO",IF(D5&lt;=$K$7,"DEUDA CORRIENTE",IF(D5&lt;=$K$6,"MOROSOS",IF(D5&gt;$J$5,"COBRANZA JUDICIAL")))))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662A-70C7-4FD0-A28A-338765B2C0A3}">
  <sheetPr codeName="Hoja8">
    <pageSetUpPr fitToPage="1"/>
  </sheetPr>
  <dimension ref="B3:T45"/>
  <sheetViews>
    <sheetView zoomScale="85" zoomScaleNormal="85" workbookViewId="0">
      <selection activeCell="I26" sqref="I26"/>
    </sheetView>
  </sheetViews>
  <sheetFormatPr baseColWidth="10" defaultColWidth="11.5546875" defaultRowHeight="13.8" x14ac:dyDescent="0.25"/>
  <cols>
    <col min="1" max="1" width="3.33203125" style="1" customWidth="1"/>
    <col min="2" max="2" width="11.5546875" style="2"/>
    <col min="3" max="3" width="26.33203125" style="1" bestFit="1" customWidth="1"/>
    <col min="4" max="4" width="20.5546875" style="26" customWidth="1"/>
    <col min="5" max="5" width="20.5546875" style="2" customWidth="1"/>
    <col min="6" max="6" width="3.88671875" style="1" customWidth="1"/>
    <col min="7" max="10" width="11.5546875" style="1"/>
    <col min="11" max="11" width="28.33203125" style="1" bestFit="1" customWidth="1"/>
    <col min="12" max="12" width="11.5546875" style="1"/>
    <col min="13" max="13" width="12" style="1" bestFit="1" customWidth="1"/>
    <col min="14" max="16384" width="11.5546875" style="1"/>
  </cols>
  <sheetData>
    <row r="3" spans="2:20" x14ac:dyDescent="0.25">
      <c r="J3" s="28"/>
      <c r="K3" s="29"/>
      <c r="L3" s="30"/>
      <c r="M3" s="31"/>
      <c r="N3" s="32"/>
      <c r="O3" s="33"/>
    </row>
    <row r="4" spans="2:20" ht="15.6" x14ac:dyDescent="0.3">
      <c r="J4" s="34"/>
      <c r="K4" s="35" t="s">
        <v>44</v>
      </c>
      <c r="L4" s="27"/>
      <c r="M4" s="27"/>
      <c r="N4" s="2"/>
      <c r="O4" s="36"/>
    </row>
    <row r="5" spans="2:20" ht="14.4" x14ac:dyDescent="0.3">
      <c r="J5" s="34"/>
      <c r="K5" s="5" t="s">
        <v>22</v>
      </c>
      <c r="L5" s="27"/>
      <c r="M5" s="37">
        <f>+'PT7'!D272</f>
        <v>-2442352</v>
      </c>
      <c r="N5" s="2"/>
      <c r="O5" s="36"/>
    </row>
    <row r="6" spans="2:20" s="6" customFormat="1" ht="28.2" customHeight="1" x14ac:dyDescent="0.3">
      <c r="B6" s="158" t="s">
        <v>17</v>
      </c>
      <c r="C6" s="159"/>
      <c r="D6" s="159"/>
      <c r="E6" s="7" t="str">
        <f>[1]!'@PERIODO[A]'</f>
        <v>Abril/2026</v>
      </c>
      <c r="J6" s="34"/>
      <c r="K6" s="5" t="s">
        <v>31</v>
      </c>
      <c r="L6" s="27"/>
      <c r="M6" s="38">
        <f>+D14+M5</f>
        <v>-1759205</v>
      </c>
      <c r="N6" s="2"/>
      <c r="O6" s="36"/>
      <c r="P6" s="1"/>
      <c r="Q6" s="1"/>
    </row>
    <row r="7" spans="2:20" s="6" customFormat="1" ht="5.4" customHeight="1" x14ac:dyDescent="0.3">
      <c r="C7" s="13"/>
      <c r="D7" s="21"/>
      <c r="E7" s="14"/>
      <c r="J7" s="34"/>
      <c r="K7" s="39"/>
      <c r="L7" s="5"/>
      <c r="M7" s="40"/>
      <c r="N7" s="41"/>
      <c r="O7" s="36"/>
      <c r="P7" s="1"/>
      <c r="Q7" s="1"/>
    </row>
    <row r="8" spans="2:20" s="5" customFormat="1" ht="17.399999999999999" customHeight="1" x14ac:dyDescent="0.25">
      <c r="B8" s="15" t="s">
        <v>20</v>
      </c>
      <c r="C8" s="15" t="s">
        <v>11</v>
      </c>
      <c r="D8" s="16" t="s">
        <v>18</v>
      </c>
      <c r="E8" s="17" t="s">
        <v>19</v>
      </c>
      <c r="J8" s="34"/>
      <c r="K8" s="2"/>
      <c r="L8" s="1"/>
      <c r="M8" s="42"/>
      <c r="N8" s="2"/>
      <c r="O8" s="36"/>
      <c r="P8" s="1"/>
      <c r="Q8" s="1"/>
    </row>
    <row r="9" spans="2:20" s="5" customFormat="1" ht="7.2" customHeight="1" x14ac:dyDescent="0.25">
      <c r="B9" s="8"/>
      <c r="D9" s="22"/>
      <c r="E9" s="8"/>
      <c r="J9" s="43"/>
      <c r="K9" s="44"/>
      <c r="L9" s="45"/>
      <c r="M9" s="46"/>
      <c r="N9" s="44"/>
      <c r="O9" s="47"/>
      <c r="P9" s="1"/>
      <c r="Q9" s="1"/>
      <c r="R9" s="1"/>
      <c r="S9" s="1"/>
      <c r="T9" s="1"/>
    </row>
    <row r="10" spans="2:20" s="5" customFormat="1" ht="7.2" customHeight="1" x14ac:dyDescent="0.25">
      <c r="B10" s="8"/>
      <c r="D10" s="22"/>
      <c r="E10" s="8"/>
      <c r="J10" s="1"/>
      <c r="K10" s="2"/>
      <c r="L10" s="1"/>
      <c r="M10" s="26"/>
      <c r="N10" s="2"/>
      <c r="O10" s="1"/>
      <c r="P10" s="1"/>
      <c r="Q10" s="1"/>
      <c r="R10" s="1"/>
      <c r="S10" s="1"/>
      <c r="T10" s="1"/>
    </row>
    <row r="11" spans="2:20" s="5" customFormat="1" ht="15" x14ac:dyDescent="0.3">
      <c r="B11" s="19">
        <v>1</v>
      </c>
      <c r="C11" s="5" t="str">
        <f>+'PT3'!B2</f>
        <v>COBRANZA JUDICIAL</v>
      </c>
      <c r="D11" s="23">
        <f>+'PT3'!D272</f>
        <v>386066</v>
      </c>
      <c r="E11" s="9">
        <f>+D11/$D$14</f>
        <v>0.56512873510386485</v>
      </c>
      <c r="J11" s="1"/>
      <c r="K11" s="2"/>
      <c r="L11" s="1"/>
      <c r="M11" s="26"/>
      <c r="N11" s="2"/>
      <c r="O11" s="1"/>
      <c r="P11" s="1"/>
      <c r="Q11" s="1"/>
      <c r="R11" s="1"/>
      <c r="S11" s="1"/>
      <c r="T11" s="1"/>
    </row>
    <row r="12" spans="2:20" s="5" customFormat="1" ht="15" x14ac:dyDescent="0.3">
      <c r="B12" s="19">
        <v>2</v>
      </c>
      <c r="C12" s="5" t="str">
        <f>+'PT4'!B2</f>
        <v>MOROSOS</v>
      </c>
      <c r="D12" s="23">
        <f>+'PT4'!D272</f>
        <v>203314</v>
      </c>
      <c r="E12" s="9">
        <f t="shared" ref="E12:E13" si="0">+D12/$D$14</f>
        <v>0.29761383713900524</v>
      </c>
      <c r="P12" s="20"/>
    </row>
    <row r="13" spans="2:20" s="5" customFormat="1" ht="15" x14ac:dyDescent="0.3">
      <c r="B13" s="19">
        <v>3</v>
      </c>
      <c r="C13" s="5" t="str">
        <f>+'PT5'!B2</f>
        <v>DEUDA CORRIENTE</v>
      </c>
      <c r="D13" s="23">
        <f>+'PT5'!D272</f>
        <v>93767.000000000029</v>
      </c>
      <c r="E13" s="9">
        <f t="shared" si="0"/>
        <v>0.1372574277571299</v>
      </c>
      <c r="M13" s="160" t="s">
        <v>45</v>
      </c>
      <c r="N13" s="160"/>
      <c r="O13" s="160"/>
    </row>
    <row r="14" spans="2:20" s="10" customFormat="1" ht="27.6" customHeight="1" thickBot="1" x14ac:dyDescent="0.35">
      <c r="B14" s="18"/>
      <c r="C14" s="52" t="s">
        <v>50</v>
      </c>
      <c r="D14" s="53">
        <f>SUM(D11:D13)</f>
        <v>683147</v>
      </c>
      <c r="E14" s="54">
        <f>SUM(E11:E13)</f>
        <v>1</v>
      </c>
      <c r="M14" s="160"/>
      <c r="N14" s="160"/>
      <c r="O14" s="160"/>
    </row>
    <row r="15" spans="2:20" ht="14.4" thickTop="1" x14ac:dyDescent="0.25">
      <c r="C15" s="3"/>
      <c r="D15" s="25"/>
      <c r="E15" s="4"/>
      <c r="M15" s="160"/>
      <c r="N15" s="160"/>
      <c r="O15" s="160"/>
    </row>
    <row r="16" spans="2:20" x14ac:dyDescent="0.25">
      <c r="M16" s="160"/>
      <c r="N16" s="160"/>
      <c r="O16" s="160"/>
    </row>
    <row r="17" spans="3:4" ht="15" x14ac:dyDescent="0.25">
      <c r="C17" s="51" t="s">
        <v>49</v>
      </c>
    </row>
    <row r="18" spans="3:4" x14ac:dyDescent="0.25">
      <c r="C18" s="49" t="s">
        <v>48</v>
      </c>
      <c r="D18" s="50">
        <v>1449000</v>
      </c>
    </row>
    <row r="19" spans="3:4" x14ac:dyDescent="0.25">
      <c r="C19" s="49"/>
      <c r="D19" s="50"/>
    </row>
    <row r="20" spans="3:4" x14ac:dyDescent="0.25">
      <c r="C20" s="49"/>
      <c r="D20" s="50"/>
    </row>
    <row r="21" spans="3:4" x14ac:dyDescent="0.25">
      <c r="C21" s="49"/>
      <c r="D21" s="50"/>
    </row>
    <row r="22" spans="3:4" x14ac:dyDescent="0.25">
      <c r="C22" s="49"/>
      <c r="D22" s="50"/>
    </row>
    <row r="23" spans="3:4" x14ac:dyDescent="0.25">
      <c r="C23" s="49"/>
      <c r="D23" s="50"/>
    </row>
    <row r="24" spans="3:4" x14ac:dyDescent="0.25">
      <c r="C24" s="49"/>
      <c r="D24" s="50"/>
    </row>
    <row r="25" spans="3:4" x14ac:dyDescent="0.25">
      <c r="C25" s="49"/>
      <c r="D25" s="50"/>
    </row>
    <row r="26" spans="3:4" x14ac:dyDescent="0.25">
      <c r="C26" s="49"/>
      <c r="D26" s="50"/>
    </row>
    <row r="27" spans="3:4" x14ac:dyDescent="0.25">
      <c r="C27" s="49"/>
      <c r="D27" s="50"/>
    </row>
    <row r="28" spans="3:4" x14ac:dyDescent="0.25">
      <c r="C28" s="49"/>
      <c r="D28" s="50"/>
    </row>
    <row r="29" spans="3:4" x14ac:dyDescent="0.25">
      <c r="C29" s="49"/>
      <c r="D29" s="50"/>
    </row>
    <row r="30" spans="3:4" x14ac:dyDescent="0.25">
      <c r="C30" s="49"/>
      <c r="D30" s="50"/>
    </row>
    <row r="31" spans="3:4" x14ac:dyDescent="0.25">
      <c r="C31" s="49"/>
      <c r="D31" s="50"/>
    </row>
    <row r="32" spans="3:4" x14ac:dyDescent="0.25">
      <c r="C32" s="49"/>
      <c r="D32" s="50"/>
    </row>
    <row r="33" spans="2:5" x14ac:dyDescent="0.25">
      <c r="C33" s="49"/>
      <c r="D33" s="50"/>
    </row>
    <row r="34" spans="2:5" x14ac:dyDescent="0.25">
      <c r="C34" s="49"/>
      <c r="D34" s="50"/>
    </row>
    <row r="35" spans="2:5" x14ac:dyDescent="0.25">
      <c r="C35" s="49"/>
      <c r="D35" s="50"/>
    </row>
    <row r="37" spans="2:5" x14ac:dyDescent="0.25">
      <c r="B37" s="1"/>
      <c r="D37" s="1"/>
      <c r="E37" s="1"/>
    </row>
    <row r="38" spans="2:5" x14ac:dyDescent="0.25">
      <c r="B38" s="1"/>
      <c r="D38" s="1"/>
      <c r="E38" s="1"/>
    </row>
    <row r="39" spans="2:5" x14ac:dyDescent="0.25">
      <c r="B39" s="1"/>
      <c r="D39" s="1"/>
      <c r="E39" s="1"/>
    </row>
    <row r="40" spans="2:5" x14ac:dyDescent="0.25">
      <c r="B40" s="1"/>
      <c r="D40" s="1"/>
      <c r="E40" s="1"/>
    </row>
    <row r="41" spans="2:5" x14ac:dyDescent="0.25">
      <c r="B41" s="1"/>
      <c r="D41" s="1"/>
      <c r="E41" s="1"/>
    </row>
    <row r="42" spans="2:5" x14ac:dyDescent="0.25">
      <c r="B42" s="1"/>
      <c r="D42" s="1"/>
      <c r="E42" s="1"/>
    </row>
    <row r="43" spans="2:5" x14ac:dyDescent="0.25">
      <c r="B43" s="1"/>
      <c r="D43" s="1"/>
      <c r="E43" s="1"/>
    </row>
    <row r="44" spans="2:5" x14ac:dyDescent="0.25">
      <c r="B44" s="1"/>
      <c r="D44" s="1"/>
      <c r="E44" s="1"/>
    </row>
    <row r="45" spans="2:5" x14ac:dyDescent="0.25">
      <c r="B45" s="1"/>
      <c r="D45" s="1"/>
      <c r="E45" s="1"/>
    </row>
  </sheetData>
  <mergeCells count="2">
    <mergeCell ref="B6:D6"/>
    <mergeCell ref="M13:O16"/>
  </mergeCells>
  <hyperlinks>
    <hyperlink ref="B11" location="'1.COB JUDICIAL'!A1" display="'1.COB JUDICIAL'!A1" xr:uid="{295A393D-C3F5-4CD7-81FC-0C22424BBDDE}"/>
    <hyperlink ref="B12" location="'2.MOROSO'!A1" display="'2.MOROSO'!A1" xr:uid="{06D9ED55-FFAF-4E00-8FF7-27FAD4A3D998}"/>
    <hyperlink ref="B13" location="'3. DEUDA CORR'!A1" display="'3. DEUDA CORR'!A1" xr:uid="{BB9E7429-583B-4D5F-B502-0E69EF5D5891}"/>
  </hyperlinks>
  <pageMargins left="0.70866141732283461" right="0.70866141732283461" top="2.2200000000000002" bottom="0.74803149606299213" header="0.31496062992125984" footer="0.31496062992125984"/>
  <pageSetup scale="76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9C1D-89DC-4785-8EB8-24F08D881297}">
  <sheetPr codeName="Hoja9">
    <pageSetUpPr fitToPage="1"/>
  </sheetPr>
  <dimension ref="B1:R54"/>
  <sheetViews>
    <sheetView tabSelected="1" zoomScaleNormal="100" workbookViewId="0">
      <selection activeCell="B4" sqref="B4:J26"/>
    </sheetView>
  </sheetViews>
  <sheetFormatPr baseColWidth="10" defaultColWidth="11.5546875" defaultRowHeight="13.8" x14ac:dyDescent="0.25"/>
  <cols>
    <col min="1" max="1" width="3.33203125" style="60" customWidth="1"/>
    <col min="2" max="2" width="11.5546875" style="76"/>
    <col min="3" max="3" width="26.33203125" style="60" bestFit="1" customWidth="1"/>
    <col min="4" max="4" width="20.5546875" style="82" customWidth="1"/>
    <col min="5" max="5" width="12" style="76" customWidth="1"/>
    <col min="6" max="6" width="3.88671875" style="60" customWidth="1"/>
    <col min="7" max="7" width="11.5546875" style="60"/>
    <col min="8" max="8" width="26.33203125" style="60" bestFit="1" customWidth="1"/>
    <col min="9" max="9" width="19.109375" style="60" customWidth="1"/>
    <col min="10" max="10" width="8.5546875" style="60" customWidth="1"/>
    <col min="11" max="11" width="22" style="60" customWidth="1"/>
    <col min="12" max="16384" width="11.5546875" style="60"/>
  </cols>
  <sheetData>
    <row r="1" spans="2:18" x14ac:dyDescent="0.25">
      <c r="L1" s="60" t="str">
        <f>[1]!'@PERIODO[A]'</f>
        <v>Abril/2026</v>
      </c>
    </row>
    <row r="2" spans="2:18" ht="13.95" customHeight="1" x14ac:dyDescent="0.25">
      <c r="B2" s="151" t="s">
        <v>65</v>
      </c>
      <c r="C2" s="151"/>
      <c r="D2" s="151"/>
      <c r="E2" s="151"/>
      <c r="F2" s="151"/>
      <c r="G2" s="151"/>
      <c r="H2" s="151"/>
      <c r="I2" s="151"/>
      <c r="J2" s="151"/>
    </row>
    <row r="3" spans="2:18" ht="13.95" customHeight="1" x14ac:dyDescent="0.25">
      <c r="B3" s="151"/>
      <c r="C3" s="151"/>
      <c r="D3" s="151"/>
      <c r="E3" s="151"/>
      <c r="F3" s="151"/>
      <c r="G3" s="151"/>
      <c r="H3" s="151"/>
      <c r="I3" s="151"/>
      <c r="J3" s="151"/>
    </row>
    <row r="4" spans="2:18" ht="20.399999999999999" x14ac:dyDescent="0.25">
      <c r="B4" s="152" t="s">
        <v>64</v>
      </c>
      <c r="C4" s="152"/>
      <c r="D4" s="152"/>
      <c r="E4" s="152"/>
      <c r="F4" s="152"/>
      <c r="G4" s="152"/>
      <c r="H4" s="152"/>
      <c r="I4" s="152"/>
      <c r="J4" s="152"/>
    </row>
    <row r="5" spans="2:18" ht="21.6" x14ac:dyDescent="0.25">
      <c r="B5" s="153" t="str">
        <f>"Al " &amp; DAY(EOMONTH(L1,0))&amp;" "&amp;L1</f>
        <v>Al 30 Abril/2026</v>
      </c>
      <c r="C5" s="153"/>
      <c r="D5" s="153"/>
      <c r="E5" s="153"/>
      <c r="F5" s="153"/>
      <c r="G5" s="153"/>
      <c r="H5" s="153"/>
      <c r="I5" s="153"/>
      <c r="J5" s="153"/>
    </row>
    <row r="6" spans="2:18" s="59" customFormat="1" ht="8.4" customHeight="1" x14ac:dyDescent="0.25">
      <c r="C6" s="61"/>
      <c r="D6" s="62"/>
      <c r="E6" s="63"/>
      <c r="H6" s="60"/>
      <c r="I6" s="60"/>
      <c r="J6" s="60"/>
      <c r="K6" s="60"/>
      <c r="N6" s="60"/>
      <c r="O6" s="60"/>
    </row>
    <row r="8" spans="2:18" s="59" customFormat="1" ht="5.4" customHeight="1" thickBot="1" x14ac:dyDescent="0.3">
      <c r="C8" s="61"/>
      <c r="D8" s="62"/>
      <c r="E8" s="63"/>
      <c r="N8" s="60"/>
      <c r="O8" s="60"/>
    </row>
    <row r="9" spans="2:18" s="64" customFormat="1" ht="17.399999999999999" customHeight="1" thickTop="1" thickBot="1" x14ac:dyDescent="0.3">
      <c r="B9" s="146" t="s">
        <v>61</v>
      </c>
      <c r="C9" s="146" t="s">
        <v>11</v>
      </c>
      <c r="D9" s="146" t="s">
        <v>18</v>
      </c>
      <c r="E9" s="146" t="s">
        <v>19</v>
      </c>
      <c r="N9" s="60"/>
      <c r="O9" s="60"/>
    </row>
    <row r="10" spans="2:18" s="64" customFormat="1" ht="7.95" customHeight="1" thickTop="1" x14ac:dyDescent="0.25">
      <c r="B10" s="65"/>
      <c r="C10" s="65"/>
      <c r="D10" s="66"/>
      <c r="E10" s="67"/>
      <c r="N10" s="60"/>
      <c r="O10" s="60"/>
    </row>
    <row r="11" spans="2:18" s="64" customFormat="1" ht="17.399999999999999" customHeight="1" x14ac:dyDescent="0.25">
      <c r="B11" s="157" t="s">
        <v>54</v>
      </c>
      <c r="C11" s="157"/>
      <c r="D11" s="68">
        <f>+B18*B19</f>
        <v>3960656.0011200001</v>
      </c>
      <c r="E11" s="69">
        <v>1</v>
      </c>
      <c r="N11" s="60"/>
      <c r="O11" s="60"/>
    </row>
    <row r="12" spans="2:18" s="64" customFormat="1" ht="9.6" customHeight="1" x14ac:dyDescent="0.25">
      <c r="B12" s="65"/>
      <c r="C12" s="70"/>
      <c r="D12" s="68"/>
      <c r="E12" s="69"/>
      <c r="N12" s="60"/>
      <c r="O12" s="60"/>
    </row>
    <row r="13" spans="2:18" s="64" customFormat="1" ht="15" x14ac:dyDescent="0.3">
      <c r="B13" s="71">
        <v>2</v>
      </c>
      <c r="C13" s="64" t="str">
        <f>+'PT4'!B2</f>
        <v>MOROSOS</v>
      </c>
      <c r="D13" s="72">
        <f>+'PT4'!D272</f>
        <v>203314</v>
      </c>
      <c r="E13" s="73">
        <f>+D13/$D$11</f>
        <v>5.1333415460092111E-2</v>
      </c>
      <c r="N13" s="60"/>
      <c r="O13" s="60"/>
      <c r="P13" s="60"/>
      <c r="Q13" s="60"/>
      <c r="R13" s="60"/>
    </row>
    <row r="14" spans="2:18" s="64" customFormat="1" ht="15" x14ac:dyDescent="0.3">
      <c r="B14" s="71">
        <v>3</v>
      </c>
      <c r="C14" s="64" t="str">
        <f>+'PT5'!B2</f>
        <v>DEUDA CORRIENTE</v>
      </c>
      <c r="D14" s="72">
        <f>+'PT5'!D272</f>
        <v>93767.000000000029</v>
      </c>
      <c r="E14" s="73">
        <f>+D14/$D$11</f>
        <v>2.3674613491675232E-2</v>
      </c>
      <c r="N14" s="74"/>
    </row>
    <row r="15" spans="2:18" s="64" customFormat="1" ht="15" x14ac:dyDescent="0.3">
      <c r="B15" s="71"/>
      <c r="C15" s="64" t="s">
        <v>51</v>
      </c>
      <c r="D15" s="75">
        <f>+D11-D13-D14</f>
        <v>3663575.0011200001</v>
      </c>
      <c r="E15" s="73">
        <f>+D15/$D$11</f>
        <v>0.92499197104823272</v>
      </c>
    </row>
    <row r="16" spans="2:18" x14ac:dyDescent="0.25">
      <c r="C16" s="77"/>
      <c r="D16" s="78"/>
      <c r="E16" s="79"/>
    </row>
    <row r="17" spans="2:18" ht="14.4" customHeight="1" x14ac:dyDescent="0.25">
      <c r="B17" s="156" t="s">
        <v>60</v>
      </c>
      <c r="C17" s="156"/>
      <c r="D17" s="80"/>
      <c r="E17" s="80"/>
    </row>
    <row r="18" spans="2:18" ht="19.2" customHeight="1" x14ac:dyDescent="0.25">
      <c r="B18" s="145">
        <v>312</v>
      </c>
      <c r="C18" s="81" t="s">
        <v>62</v>
      </c>
    </row>
    <row r="19" spans="2:18" s="64" customFormat="1" x14ac:dyDescent="0.25">
      <c r="B19" s="83">
        <v>12694.410260000001</v>
      </c>
      <c r="C19" s="81" t="s">
        <v>59</v>
      </c>
      <c r="K19" s="76"/>
      <c r="L19" s="76"/>
      <c r="M19" s="60"/>
      <c r="N19" s="60"/>
      <c r="O19" s="60"/>
      <c r="P19" s="60"/>
      <c r="Q19" s="60"/>
      <c r="R19" s="60"/>
    </row>
    <row r="20" spans="2:18" s="64" customFormat="1" x14ac:dyDescent="0.25">
      <c r="B20" s="83"/>
      <c r="C20" s="81"/>
      <c r="K20" s="76"/>
      <c r="L20" s="76"/>
      <c r="M20" s="60"/>
      <c r="N20" s="60"/>
      <c r="O20" s="60"/>
      <c r="P20" s="60"/>
      <c r="Q20" s="60"/>
      <c r="R20" s="60"/>
    </row>
    <row r="21" spans="2:18" s="64" customFormat="1" x14ac:dyDescent="0.25">
      <c r="K21" s="76"/>
      <c r="L21" s="76"/>
      <c r="M21" s="60"/>
      <c r="N21" s="60"/>
      <c r="O21" s="60"/>
      <c r="P21" s="60"/>
      <c r="Q21" s="60"/>
      <c r="R21" s="60"/>
    </row>
    <row r="22" spans="2:18" s="64" customFormat="1" x14ac:dyDescent="0.25">
      <c r="B22" s="155" t="s">
        <v>53</v>
      </c>
      <c r="C22" s="155"/>
      <c r="D22" s="155"/>
      <c r="E22" s="155"/>
      <c r="N22" s="74"/>
    </row>
    <row r="23" spans="2:18" s="64" customFormat="1" ht="20.399999999999999" customHeight="1" x14ac:dyDescent="0.3">
      <c r="B23" s="71">
        <v>1</v>
      </c>
      <c r="C23" s="64" t="str">
        <f>+'PT2 (FILTRAR)'!I5</f>
        <v>COBRANZA JUDICIAL</v>
      </c>
      <c r="D23" s="72">
        <f>+'PT3'!D272</f>
        <v>386066</v>
      </c>
      <c r="E23" s="73">
        <f>+D23/D26</f>
        <v>0.56512873510386485</v>
      </c>
      <c r="N23" s="74"/>
    </row>
    <row r="24" spans="2:18" s="64" customFormat="1" ht="15" x14ac:dyDescent="0.3">
      <c r="B24" s="71">
        <v>2</v>
      </c>
      <c r="C24" s="64" t="str">
        <f>+'PT2 (FILTRAR)'!I6</f>
        <v>MOROSOS</v>
      </c>
      <c r="D24" s="72">
        <f>+'PT4'!D272</f>
        <v>203314</v>
      </c>
      <c r="E24" s="73">
        <f>+D24/D26</f>
        <v>0.29761383713900524</v>
      </c>
      <c r="N24" s="74"/>
    </row>
    <row r="25" spans="2:18" ht="15" x14ac:dyDescent="0.3">
      <c r="B25" s="71">
        <v>3</v>
      </c>
      <c r="C25" s="84" t="str">
        <f>+'PT2 (FILTRAR)'!I7</f>
        <v xml:space="preserve">DEUDA CORRIENTE </v>
      </c>
      <c r="D25" s="85">
        <f>+'PT5'!D272</f>
        <v>93767.000000000029</v>
      </c>
      <c r="E25" s="86">
        <f>+D25/D26</f>
        <v>0.1372574277571299</v>
      </c>
    </row>
    <row r="26" spans="2:18" ht="15" x14ac:dyDescent="0.3">
      <c r="B26" s="71"/>
      <c r="C26" s="87" t="s">
        <v>14</v>
      </c>
      <c r="D26" s="88">
        <f>+D23+D24+D25</f>
        <v>683147</v>
      </c>
      <c r="E26" s="89">
        <f>SUM(E23:E25)</f>
        <v>1</v>
      </c>
    </row>
    <row r="27" spans="2:18" hidden="1" x14ac:dyDescent="0.25"/>
    <row r="28" spans="2:18" ht="22.2" hidden="1" customHeight="1" x14ac:dyDescent="0.25">
      <c r="J28" s="154" t="s">
        <v>45</v>
      </c>
      <c r="K28" s="154"/>
    </row>
    <row r="29" spans="2:18" hidden="1" x14ac:dyDescent="0.25">
      <c r="C29" s="90"/>
      <c r="D29" s="91"/>
    </row>
    <row r="30" spans="2:18" hidden="1" x14ac:dyDescent="0.25">
      <c r="C30" s="90"/>
      <c r="D30" s="91"/>
      <c r="J30" s="92"/>
      <c r="K30" s="93"/>
    </row>
    <row r="31" spans="2:18" ht="15.6" hidden="1" x14ac:dyDescent="0.3">
      <c r="C31" s="90"/>
      <c r="D31" s="91"/>
      <c r="J31" s="94" t="s">
        <v>44</v>
      </c>
      <c r="K31" s="95"/>
    </row>
    <row r="32" spans="2:18" hidden="1" x14ac:dyDescent="0.25">
      <c r="C32" s="90"/>
      <c r="D32" s="91"/>
      <c r="J32" s="96" t="s">
        <v>22</v>
      </c>
      <c r="K32" s="97">
        <f>+'PT7'!D272-'PT1'!D318</f>
        <v>-2442352</v>
      </c>
    </row>
    <row r="33" spans="2:11" hidden="1" x14ac:dyDescent="0.25">
      <c r="C33" s="90"/>
      <c r="D33" s="91"/>
      <c r="J33" s="96" t="s">
        <v>63</v>
      </c>
      <c r="K33" s="97">
        <f>+'PT1'!D318</f>
        <v>3.637978807091713E-12</v>
      </c>
    </row>
    <row r="34" spans="2:11" ht="13.95" hidden="1" customHeight="1" x14ac:dyDescent="0.25">
      <c r="C34" s="90"/>
      <c r="D34" s="91"/>
      <c r="J34" s="96" t="s">
        <v>31</v>
      </c>
      <c r="K34" s="98">
        <f>+D26+K32+K33</f>
        <v>-1759205</v>
      </c>
    </row>
    <row r="35" spans="2:11" ht="13.95" hidden="1" customHeight="1" x14ac:dyDescent="0.3">
      <c r="C35" s="90"/>
      <c r="D35" s="91"/>
      <c r="J35" s="99"/>
      <c r="K35" s="100"/>
    </row>
    <row r="36" spans="2:11" ht="13.95" customHeight="1" x14ac:dyDescent="0.25">
      <c r="C36" s="90"/>
      <c r="D36" s="91"/>
      <c r="J36" s="76"/>
      <c r="K36" s="101"/>
    </row>
    <row r="37" spans="2:11" x14ac:dyDescent="0.25">
      <c r="C37" s="90"/>
      <c r="D37" s="91"/>
      <c r="J37" s="76"/>
      <c r="K37" s="101"/>
    </row>
    <row r="38" spans="2:11" x14ac:dyDescent="0.25">
      <c r="C38" s="90"/>
      <c r="D38" s="91"/>
      <c r="J38" s="76"/>
      <c r="K38" s="101"/>
    </row>
    <row r="39" spans="2:11" x14ac:dyDescent="0.25">
      <c r="C39" s="90"/>
      <c r="D39" s="91"/>
      <c r="J39" s="76"/>
      <c r="K39" s="101"/>
    </row>
    <row r="40" spans="2:11" x14ac:dyDescent="0.25">
      <c r="C40" s="90"/>
      <c r="D40" s="91"/>
      <c r="J40" s="76"/>
      <c r="K40" s="82"/>
    </row>
    <row r="41" spans="2:11" x14ac:dyDescent="0.25">
      <c r="C41" s="90"/>
      <c r="D41" s="91"/>
      <c r="I41" s="64"/>
      <c r="J41" s="64"/>
      <c r="K41" s="64"/>
    </row>
    <row r="42" spans="2:11" x14ac:dyDescent="0.25">
      <c r="C42" s="90"/>
      <c r="D42" s="91"/>
      <c r="I42" s="64"/>
      <c r="J42" s="64"/>
    </row>
    <row r="43" spans="2:11" ht="22.2" x14ac:dyDescent="0.25">
      <c r="C43" s="90"/>
      <c r="D43" s="91"/>
      <c r="K43" s="102"/>
    </row>
    <row r="44" spans="2:11" ht="22.2" x14ac:dyDescent="0.25">
      <c r="C44" s="90"/>
      <c r="D44" s="91"/>
      <c r="K44" s="102"/>
    </row>
    <row r="45" spans="2:11" ht="22.2" x14ac:dyDescent="0.25">
      <c r="K45" s="102"/>
    </row>
    <row r="46" spans="2:11" x14ac:dyDescent="0.25">
      <c r="B46" s="60"/>
      <c r="D46" s="60"/>
      <c r="E46" s="60"/>
    </row>
    <row r="47" spans="2:11" x14ac:dyDescent="0.25">
      <c r="B47" s="60"/>
      <c r="D47" s="60"/>
      <c r="E47" s="60"/>
    </row>
    <row r="48" spans="2:11" x14ac:dyDescent="0.25">
      <c r="B48" s="60"/>
      <c r="D48" s="60"/>
      <c r="E48" s="60"/>
    </row>
    <row r="49" s="60" customFormat="1" x14ac:dyDescent="0.25"/>
    <row r="50" s="60" customFormat="1" x14ac:dyDescent="0.25"/>
    <row r="51" s="60" customFormat="1" x14ac:dyDescent="0.25"/>
    <row r="52" s="60" customFormat="1" x14ac:dyDescent="0.25"/>
    <row r="53" s="60" customFormat="1" x14ac:dyDescent="0.25"/>
    <row r="54" s="60" customFormat="1" x14ac:dyDescent="0.25"/>
  </sheetData>
  <mergeCells count="8">
    <mergeCell ref="B2:J3"/>
    <mergeCell ref="B4:J4"/>
    <mergeCell ref="B5:J5"/>
    <mergeCell ref="J28:K28"/>
    <mergeCell ref="B22:C22"/>
    <mergeCell ref="D22:E22"/>
    <mergeCell ref="B17:C17"/>
    <mergeCell ref="B11:C11"/>
  </mergeCells>
  <pageMargins left="0.70866141732283461" right="0.70866141732283461" top="2.2200000000000002" bottom="0.74803149606299213" header="0.31496062992125984" footer="0.31496062992125984"/>
  <pageSetup scale="63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CE58-048F-479F-B8B8-4B84DD1CCA1F}">
  <sheetPr codeName="Hoja10">
    <pageSetUpPr fitToPage="1"/>
  </sheetPr>
  <dimension ref="B1:AF284"/>
  <sheetViews>
    <sheetView zoomScale="85" zoomScaleNormal="85" workbookViewId="0">
      <pane ySplit="5" topLeftCell="A6" activePane="bottomLeft" state="frozen"/>
      <selection pane="bottomLeft" activeCell="Q9" sqref="Q9"/>
    </sheetView>
  </sheetViews>
  <sheetFormatPr baseColWidth="10" defaultColWidth="11.5546875" defaultRowHeight="14.4" x14ac:dyDescent="0.3"/>
  <cols>
    <col min="1" max="1" width="2.5546875" style="105" customWidth="1"/>
    <col min="2" max="2" width="16.6640625" style="103" customWidth="1"/>
    <col min="3" max="3" width="11.33203125" style="110" bestFit="1" customWidth="1"/>
    <col min="4" max="4" width="47.88671875" style="105" customWidth="1"/>
    <col min="5" max="5" width="2.5546875" style="105" customWidth="1"/>
    <col min="6" max="6" width="16.6640625" style="103" customWidth="1"/>
    <col min="7" max="7" width="9.88671875" style="110" bestFit="1" customWidth="1"/>
    <col min="8" max="8" width="34.6640625" style="105" customWidth="1"/>
    <col min="9" max="9" width="2.5546875" style="105" customWidth="1"/>
    <col min="10" max="10" width="17.88671875" style="103" customWidth="1"/>
    <col min="11" max="11" width="11.33203125" style="110" bestFit="1" customWidth="1"/>
    <col min="12" max="12" width="2.5546875" style="105" customWidth="1"/>
    <col min="13" max="13" width="17.88671875" style="103" customWidth="1"/>
    <col min="14" max="14" width="9.5546875" style="110" bestFit="1" customWidth="1"/>
    <col min="15" max="15" width="2.5546875" style="105" customWidth="1"/>
    <col min="16" max="16" width="17.88671875" style="103" customWidth="1"/>
    <col min="17" max="17" width="11.33203125" style="110" bestFit="1" customWidth="1"/>
    <col min="18" max="18" width="2.5546875" style="105" customWidth="1"/>
    <col min="19" max="19" width="0" style="106" hidden="1" customWidth="1"/>
    <col min="20" max="20" width="11.5546875" style="106" hidden="1" customWidth="1"/>
    <col min="21" max="21" width="19.5546875" style="106" hidden="1" customWidth="1"/>
    <col min="22" max="24" width="11.5546875" style="106" hidden="1" customWidth="1"/>
    <col min="25" max="28" width="11.5546875" style="107" customWidth="1"/>
    <col min="29" max="32" width="11.5546875" style="107"/>
    <col min="33" max="16384" width="11.5546875" style="105"/>
  </cols>
  <sheetData>
    <row r="1" spans="2:32" x14ac:dyDescent="0.3">
      <c r="C1" s="104"/>
      <c r="D1" s="103"/>
      <c r="G1" s="104"/>
      <c r="H1" s="103"/>
      <c r="K1" s="104"/>
      <c r="N1" s="104"/>
      <c r="Q1" s="104"/>
    </row>
    <row r="2" spans="2:32" ht="27.6" customHeight="1" x14ac:dyDescent="0.3">
      <c r="B2" s="161" t="s">
        <v>57</v>
      </c>
      <c r="C2" s="161"/>
      <c r="D2" s="161"/>
      <c r="E2" s="161"/>
      <c r="F2" s="161"/>
      <c r="G2" s="161"/>
      <c r="H2" s="161"/>
      <c r="I2" s="108"/>
      <c r="J2" s="108"/>
      <c r="K2" s="109"/>
      <c r="L2" s="108"/>
      <c r="O2" s="108"/>
      <c r="R2" s="108"/>
    </row>
    <row r="3" spans="2:32" ht="27.6" customHeight="1" x14ac:dyDescent="0.3">
      <c r="B3" s="162" t="str">
        <f>[1]!'@PERIODO[A]'</f>
        <v>Abril/2026</v>
      </c>
      <c r="C3" s="162"/>
      <c r="D3" s="162"/>
      <c r="E3" s="162"/>
      <c r="F3" s="162"/>
      <c r="G3" s="162"/>
      <c r="H3" s="162"/>
    </row>
    <row r="4" spans="2:32" ht="7.2" customHeight="1" x14ac:dyDescent="0.3">
      <c r="B4" s="111"/>
      <c r="C4" s="112"/>
      <c r="D4" s="111"/>
      <c r="E4" s="111"/>
      <c r="F4" s="111"/>
      <c r="G4" s="112"/>
      <c r="H4" s="111"/>
    </row>
    <row r="5" spans="2:32" s="116" customFormat="1" ht="27.6" x14ac:dyDescent="0.3">
      <c r="B5" s="113" t="s">
        <v>55</v>
      </c>
      <c r="C5" s="114" t="s">
        <v>18</v>
      </c>
      <c r="D5" s="115" t="s">
        <v>30</v>
      </c>
      <c r="F5" s="113" t="s">
        <v>56</v>
      </c>
      <c r="G5" s="114" t="s">
        <v>18</v>
      </c>
      <c r="H5" s="115" t="s">
        <v>38</v>
      </c>
      <c r="J5" s="117" t="s">
        <v>58</v>
      </c>
      <c r="K5" s="114" t="s">
        <v>18</v>
      </c>
      <c r="M5" s="118" t="s">
        <v>13</v>
      </c>
      <c r="N5" s="114" t="s">
        <v>18</v>
      </c>
      <c r="P5" s="118" t="s">
        <v>33</v>
      </c>
      <c r="Q5" s="114" t="s">
        <v>18</v>
      </c>
      <c r="S5" s="119"/>
      <c r="T5" s="119"/>
      <c r="U5" s="119" t="s">
        <v>32</v>
      </c>
      <c r="V5" s="119" t="s">
        <v>36</v>
      </c>
      <c r="W5" s="119"/>
      <c r="X5" s="119"/>
      <c r="Y5" s="120"/>
      <c r="Z5" s="120"/>
      <c r="AA5" s="120"/>
      <c r="AB5" s="120"/>
      <c r="AC5" s="120"/>
      <c r="AD5" s="120"/>
      <c r="AE5" s="120"/>
      <c r="AF5" s="120"/>
    </row>
    <row r="6" spans="2:32" x14ac:dyDescent="0.3">
      <c r="B6" s="103" t="str">
        <f>LEFT('PT3'!C5,6)</f>
        <v>C3-211</v>
      </c>
      <c r="C6" s="121">
        <f>+'PT3'!D5</f>
        <v>112266</v>
      </c>
      <c r="D6" s="103" t="s">
        <v>21</v>
      </c>
      <c r="F6" s="103" t="str">
        <f>LEFT('PT4'!C5,6)</f>
        <v>O2-120</v>
      </c>
      <c r="G6" s="121">
        <f>+'PT4'!D5</f>
        <v>39841</v>
      </c>
      <c r="H6" s="103" t="s">
        <v>21</v>
      </c>
      <c r="J6" s="103" t="str">
        <f>LEFT('PT5'!C5,6)</f>
        <v>O1-230</v>
      </c>
      <c r="K6" s="121">
        <f>+'PT5'!D5</f>
        <v>13694</v>
      </c>
      <c r="M6" s="103" t="str">
        <f>LEFT('PT6'!C5,6)</f>
        <v>C2-141</v>
      </c>
      <c r="N6" s="121">
        <f>+'PT6'!D5</f>
        <v>0</v>
      </c>
      <c r="P6" s="103" t="str">
        <f>LEFT('PT7'!C5,6)</f>
        <v>O2-210</v>
      </c>
      <c r="Q6" s="121">
        <f>+'PT7'!D5</f>
        <v>-2.9103830456733704E-11</v>
      </c>
      <c r="U6" s="106" t="s">
        <v>21</v>
      </c>
      <c r="V6" s="106" t="s">
        <v>21</v>
      </c>
    </row>
    <row r="7" spans="2:32" x14ac:dyDescent="0.3">
      <c r="B7" s="103" t="str">
        <f>LEFT('PT3'!C6,6)</f>
        <v>O1-240</v>
      </c>
      <c r="C7" s="121">
        <f>+'PT3'!D6</f>
        <v>180472</v>
      </c>
      <c r="D7" s="103" t="s">
        <v>21</v>
      </c>
      <c r="F7" s="103" t="str">
        <f>LEFT('PT4'!C6,6)</f>
        <v>O2-220</v>
      </c>
      <c r="G7" s="121">
        <f>+'PT4'!D6</f>
        <v>27288</v>
      </c>
      <c r="H7" s="103" t="s">
        <v>21</v>
      </c>
      <c r="J7" s="103" t="str">
        <f>LEFT('PT5'!C6,6)</f>
        <v>C1-707</v>
      </c>
      <c r="K7" s="121">
        <f>+'PT5'!D6</f>
        <v>13694</v>
      </c>
      <c r="M7" s="103" t="str">
        <f>LEFT('PT6'!C6,6)</f>
        <v>C3-121</v>
      </c>
      <c r="N7" s="121">
        <f>+'PT6'!D6</f>
        <v>0</v>
      </c>
      <c r="P7" s="103" t="str">
        <f>LEFT('PT7'!C6,6)</f>
        <v>O1-100</v>
      </c>
      <c r="Q7" s="121">
        <f>+'PT7'!D6</f>
        <v>-2.9103830456733704E-11</v>
      </c>
      <c r="U7" s="106" t="s">
        <v>37</v>
      </c>
      <c r="V7" s="106" t="s">
        <v>24</v>
      </c>
    </row>
    <row r="8" spans="2:32" x14ac:dyDescent="0.3">
      <c r="B8" s="103" t="str">
        <f>LEFT('PT3'!C7,6)</f>
        <v>O2-100</v>
      </c>
      <c r="C8" s="121">
        <f>+'PT3'!D7</f>
        <v>93327.999999999971</v>
      </c>
      <c r="D8" s="103" t="s">
        <v>21</v>
      </c>
      <c r="F8" s="103" t="str">
        <f>LEFT('PT4'!C7,6)</f>
        <v xml:space="preserve">A-501 </v>
      </c>
      <c r="G8" s="121">
        <f>+'PT4'!D7</f>
        <v>25000</v>
      </c>
      <c r="H8" s="103" t="s">
        <v>21</v>
      </c>
      <c r="J8" s="103" t="str">
        <f>LEFT('PT5'!C7,6)</f>
        <v>O2-PH0</v>
      </c>
      <c r="K8" s="121">
        <f>+'PT5'!D7</f>
        <v>300</v>
      </c>
      <c r="M8" s="103" t="str">
        <f>LEFT('PT6'!C7,6)</f>
        <v>O1-404</v>
      </c>
      <c r="N8" s="121">
        <f>+'PT6'!D7</f>
        <v>0</v>
      </c>
      <c r="P8" s="103" t="str">
        <f>LEFT('PT7'!C7,6)</f>
        <v>C3-161</v>
      </c>
      <c r="Q8" s="121">
        <f>+'PT7'!D7</f>
        <v>-98504</v>
      </c>
      <c r="U8" s="106" t="s">
        <v>47</v>
      </c>
      <c r="V8" s="106" t="s">
        <v>47</v>
      </c>
    </row>
    <row r="9" spans="2:32" x14ac:dyDescent="0.3">
      <c r="B9" s="103" t="str">
        <f>LEFT('PT3'!C8,6)</f>
        <v/>
      </c>
      <c r="C9" s="121" t="str">
        <f>+'PT3'!D8</f>
        <v/>
      </c>
      <c r="D9" s="103" t="s">
        <v>21</v>
      </c>
      <c r="F9" s="103" t="str">
        <f>LEFT('PT4'!C8,6)</f>
        <v>A-2201</v>
      </c>
      <c r="G9" s="121">
        <f>+'PT4'!D8</f>
        <v>28188</v>
      </c>
      <c r="H9" s="103" t="s">
        <v>21</v>
      </c>
      <c r="J9" s="103" t="str">
        <f>LEFT('PT5'!C8,6)</f>
        <v>C1-250</v>
      </c>
      <c r="K9" s="121">
        <f>+'PT5'!D8</f>
        <v>13694</v>
      </c>
      <c r="M9" s="103" t="str">
        <f>LEFT('PT6'!C8,6)</f>
        <v>A-1802</v>
      </c>
      <c r="N9" s="121">
        <f>+'PT6'!D8</f>
        <v>0</v>
      </c>
      <c r="P9" s="103" t="str">
        <f>LEFT('PT7'!C8,6)</f>
        <v>A-2301</v>
      </c>
      <c r="Q9" s="121">
        <f>+'PT7'!D8</f>
        <v>-2.9103830456733704E-11</v>
      </c>
      <c r="U9" s="106" t="s">
        <v>46</v>
      </c>
      <c r="V9" s="106" t="s">
        <v>39</v>
      </c>
    </row>
    <row r="10" spans="2:32" x14ac:dyDescent="0.3">
      <c r="B10" s="103" t="str">
        <f>LEFT('PT3'!C9,6)</f>
        <v/>
      </c>
      <c r="C10" s="121" t="str">
        <f>+'PT3'!D9</f>
        <v/>
      </c>
      <c r="D10" s="103" t="s">
        <v>21</v>
      </c>
      <c r="F10" s="103" t="str">
        <f>LEFT('PT4'!C9,6)</f>
        <v>O2-190</v>
      </c>
      <c r="G10" s="121">
        <f>+'PT4'!D9</f>
        <v>27153</v>
      </c>
      <c r="H10" s="103" t="s">
        <v>21</v>
      </c>
      <c r="J10" s="103" t="str">
        <f>LEFT('PT5'!C9,6)</f>
        <v>O2-220</v>
      </c>
      <c r="K10" s="121">
        <f>+'PT5'!D9</f>
        <v>500.00000000001455</v>
      </c>
      <c r="M10" s="103" t="str">
        <f>LEFT('PT6'!C9,6)</f>
        <v>A-2402</v>
      </c>
      <c r="N10" s="121">
        <f>+'PT6'!D9</f>
        <v>0</v>
      </c>
      <c r="P10" s="103" t="str">
        <f>LEFT('PT7'!C9,6)</f>
        <v xml:space="preserve">A-102 </v>
      </c>
      <c r="Q10" s="121">
        <f>+'PT7'!D9</f>
        <v>-12694</v>
      </c>
      <c r="V10" s="106" t="s">
        <v>40</v>
      </c>
    </row>
    <row r="11" spans="2:32" x14ac:dyDescent="0.3">
      <c r="B11" s="103" t="str">
        <f>LEFT('PT3'!C10,6)</f>
        <v/>
      </c>
      <c r="C11" s="121" t="str">
        <f>+'PT3'!D10</f>
        <v/>
      </c>
      <c r="D11" s="103" t="s">
        <v>21</v>
      </c>
      <c r="F11" s="103" t="str">
        <f>LEFT('PT4'!C10,6)</f>
        <v>C1-507</v>
      </c>
      <c r="G11" s="121">
        <f>+'PT4'!D10</f>
        <v>27888</v>
      </c>
      <c r="H11" s="103" t="s">
        <v>21</v>
      </c>
      <c r="J11" s="103" t="str">
        <f>LEFT('PT5'!C10,6)</f>
        <v>C1-150</v>
      </c>
      <c r="K11" s="121">
        <f>+'PT5'!D10</f>
        <v>13694.000000000007</v>
      </c>
      <c r="M11" s="103" t="str">
        <f>LEFT('PT6'!C10,6)</f>
        <v>O2-170</v>
      </c>
      <c r="N11" s="121">
        <f>+'PT6'!D10</f>
        <v>0</v>
      </c>
      <c r="P11" s="103" t="str">
        <f>LEFT('PT7'!C10,6)</f>
        <v xml:space="preserve">A-202 </v>
      </c>
      <c r="Q11" s="121">
        <f>+'PT7'!D10</f>
        <v>-12694</v>
      </c>
      <c r="V11" s="106" t="s">
        <v>41</v>
      </c>
    </row>
    <row r="12" spans="2:32" x14ac:dyDescent="0.3">
      <c r="B12" s="103" t="str">
        <f>LEFT('PT3'!C11,6)</f>
        <v/>
      </c>
      <c r="C12" s="121" t="str">
        <f>+'PT3'!D11</f>
        <v/>
      </c>
      <c r="D12" s="103" t="s">
        <v>21</v>
      </c>
      <c r="F12" s="103" t="str">
        <f>LEFT('PT4'!C11,6)</f>
        <v>C3-111</v>
      </c>
      <c r="G12" s="121">
        <f>+'PT4'!D11</f>
        <v>27956</v>
      </c>
      <c r="H12" s="103" t="s">
        <v>21</v>
      </c>
      <c r="J12" s="103" t="str">
        <f>LEFT('PT5'!C11,6)</f>
        <v>C3-512</v>
      </c>
      <c r="K12" s="121">
        <f>+'PT5'!D11</f>
        <v>300</v>
      </c>
      <c r="M12" s="103" t="str">
        <f>LEFT('PT6'!C11,6)</f>
        <v>C1-207</v>
      </c>
      <c r="N12" s="121">
        <f>+'PT6'!D11</f>
        <v>0</v>
      </c>
      <c r="P12" s="103" t="str">
        <f>LEFT('PT7'!C11,6)</f>
        <v xml:space="preserve">A-301 </v>
      </c>
      <c r="Q12" s="121">
        <f>+'PT7'!D11</f>
        <v>-38082</v>
      </c>
      <c r="V12" s="106" t="s">
        <v>42</v>
      </c>
    </row>
    <row r="13" spans="2:32" x14ac:dyDescent="0.3">
      <c r="B13" s="103" t="str">
        <f>LEFT('PT3'!C12,6)</f>
        <v/>
      </c>
      <c r="C13" s="121" t="str">
        <f>+'PT3'!D12</f>
        <v/>
      </c>
      <c r="D13" s="103" t="s">
        <v>21</v>
      </c>
      <c r="F13" s="103" t="str">
        <f>LEFT('PT4'!C12,6)</f>
        <v/>
      </c>
      <c r="G13" s="121" t="str">
        <f>+'PT4'!D12</f>
        <v/>
      </c>
      <c r="H13" s="103" t="s">
        <v>21</v>
      </c>
      <c r="J13" s="103" t="str">
        <f>LEFT('PT5'!C12,6)</f>
        <v>C2-220</v>
      </c>
      <c r="K13" s="121">
        <f>+'PT5'!D12</f>
        <v>1.4551915228366852E-11</v>
      </c>
      <c r="M13" s="103" t="str">
        <f>LEFT('PT6'!C12,6)</f>
        <v>C1-140</v>
      </c>
      <c r="N13" s="121">
        <f>+'PT6'!D12</f>
        <v>0</v>
      </c>
      <c r="P13" s="103" t="str">
        <f>LEFT('PT7'!C12,6)</f>
        <v xml:space="preserve">A-402 </v>
      </c>
      <c r="Q13" s="121">
        <f>+'PT7'!D12</f>
        <v>-12694</v>
      </c>
      <c r="V13" s="106" t="s">
        <v>43</v>
      </c>
    </row>
    <row r="14" spans="2:32" x14ac:dyDescent="0.3">
      <c r="B14" s="103" t="str">
        <f>LEFT('PT3'!C13,6)</f>
        <v/>
      </c>
      <c r="C14" s="121" t="str">
        <f>+'PT3'!D13</f>
        <v/>
      </c>
      <c r="D14" s="103" t="s">
        <v>21</v>
      </c>
      <c r="F14" s="103" t="str">
        <f>LEFT('PT4'!C13,6)</f>
        <v/>
      </c>
      <c r="G14" s="121" t="str">
        <f>+'PT4'!D13</f>
        <v/>
      </c>
      <c r="H14" s="103" t="s">
        <v>21</v>
      </c>
      <c r="J14" s="103" t="str">
        <f>LEFT('PT5'!C13,6)</f>
        <v>A-1702</v>
      </c>
      <c r="K14" s="121">
        <f>+'PT5'!D13</f>
        <v>500</v>
      </c>
      <c r="M14" s="103" t="str">
        <f>LEFT('PT6'!C13,6)</f>
        <v>C1-170</v>
      </c>
      <c r="N14" s="121">
        <f>+'PT6'!D13</f>
        <v>0</v>
      </c>
      <c r="P14" s="103" t="str">
        <f>LEFT('PT7'!C13,6)</f>
        <v xml:space="preserve">A-702 </v>
      </c>
      <c r="Q14" s="121">
        <f>+'PT7'!D13</f>
        <v>-2.9103830456733704E-11</v>
      </c>
      <c r="V14" s="106" t="s">
        <v>29</v>
      </c>
    </row>
    <row r="15" spans="2:32" x14ac:dyDescent="0.3">
      <c r="B15" s="103" t="str">
        <f>LEFT('PT3'!C14,6)</f>
        <v/>
      </c>
      <c r="C15" s="121" t="str">
        <f>+'PT3'!D14</f>
        <v/>
      </c>
      <c r="D15" s="103" t="s">
        <v>21</v>
      </c>
      <c r="F15" s="103" t="str">
        <f>LEFT('PT4'!C14,6)</f>
        <v/>
      </c>
      <c r="G15" s="121" t="str">
        <f>+'PT4'!D14</f>
        <v/>
      </c>
      <c r="H15" s="103" t="s">
        <v>21</v>
      </c>
      <c r="J15" s="103" t="str">
        <f>LEFT('PT5'!C14,6)</f>
        <v>O1-503</v>
      </c>
      <c r="K15" s="121">
        <f>+'PT5'!D14</f>
        <v>7.9580786405131221E-13</v>
      </c>
      <c r="M15" s="103" t="str">
        <f>LEFT('PT6'!C14,6)</f>
        <v>O2-405</v>
      </c>
      <c r="N15" s="121">
        <f>+'PT6'!D14</f>
        <v>0</v>
      </c>
      <c r="P15" s="103" t="str">
        <f>LEFT('PT7'!C14,6)</f>
        <v xml:space="preserve">A-802 </v>
      </c>
      <c r="Q15" s="121">
        <f>+'PT7'!D14</f>
        <v>-1000</v>
      </c>
      <c r="V15" s="106" t="s">
        <v>34</v>
      </c>
    </row>
    <row r="16" spans="2:32" x14ac:dyDescent="0.3">
      <c r="B16" s="103" t="str">
        <f>LEFT('PT3'!C15,6)</f>
        <v/>
      </c>
      <c r="C16" s="121" t="str">
        <f>+'PT3'!D15</f>
        <v/>
      </c>
      <c r="D16" s="103" t="s">
        <v>21</v>
      </c>
      <c r="F16" s="103" t="str">
        <f>LEFT('PT4'!C15,6)</f>
        <v/>
      </c>
      <c r="G16" s="121" t="str">
        <f>+'PT4'!D15</f>
        <v/>
      </c>
      <c r="H16" s="103" t="s">
        <v>21</v>
      </c>
      <c r="J16" s="103" t="str">
        <f>LEFT('PT5'!C15,6)</f>
        <v>O1-140</v>
      </c>
      <c r="K16" s="121">
        <f>+'PT5'!D15</f>
        <v>500</v>
      </c>
      <c r="M16" s="103" t="str">
        <f>LEFT('PT6'!C15,6)</f>
        <v>C1-100</v>
      </c>
      <c r="N16" s="121">
        <f>+'PT6'!D15</f>
        <v>0</v>
      </c>
      <c r="P16" s="103" t="str">
        <f>LEFT('PT7'!C15,6)</f>
        <v>A-1602</v>
      </c>
      <c r="Q16" s="121">
        <f>+'PT7'!D15</f>
        <v>-98504</v>
      </c>
    </row>
    <row r="17" spans="2:17" x14ac:dyDescent="0.3">
      <c r="B17" s="103" t="str">
        <f>LEFT('PT3'!C16,6)</f>
        <v/>
      </c>
      <c r="C17" s="121" t="str">
        <f>+'PT3'!D16</f>
        <v/>
      </c>
      <c r="D17" s="103" t="s">
        <v>21</v>
      </c>
      <c r="F17" s="103" t="str">
        <f>LEFT('PT4'!C16,6)</f>
        <v/>
      </c>
      <c r="G17" s="121" t="str">
        <f>+'PT4'!D16</f>
        <v/>
      </c>
      <c r="H17" s="103" t="s">
        <v>21</v>
      </c>
      <c r="J17" s="103" t="str">
        <f>LEFT('PT5'!C16,6)</f>
        <v>O1-200</v>
      </c>
      <c r="K17" s="121">
        <f>+'PT5'!D16</f>
        <v>300</v>
      </c>
      <c r="M17" s="103" t="str">
        <f>LEFT('PT6'!C16,6)</f>
        <v>C1-160</v>
      </c>
      <c r="N17" s="121">
        <f>+'PT6'!D16</f>
        <v>0</v>
      </c>
      <c r="P17" s="103" t="str">
        <f>LEFT('PT7'!C16,6)</f>
        <v>O1-403</v>
      </c>
      <c r="Q17" s="121">
        <f>+'PT7'!D16</f>
        <v>-12694</v>
      </c>
    </row>
    <row r="18" spans="2:17" x14ac:dyDescent="0.3">
      <c r="B18" s="103" t="str">
        <f>LEFT('PT3'!C17,6)</f>
        <v/>
      </c>
      <c r="C18" s="121" t="str">
        <f>+'PT3'!D17</f>
        <v/>
      </c>
      <c r="D18" s="103" t="s">
        <v>21</v>
      </c>
      <c r="F18" s="103" t="str">
        <f>LEFT('PT4'!C17,6)</f>
        <v/>
      </c>
      <c r="G18" s="121" t="str">
        <f>+'PT4'!D17</f>
        <v/>
      </c>
      <c r="H18" s="103" t="s">
        <v>21</v>
      </c>
      <c r="J18" s="103" t="str">
        <f>LEFT('PT5'!C17,6)</f>
        <v>O2-206</v>
      </c>
      <c r="K18" s="121">
        <f>+'PT5'!D17</f>
        <v>500</v>
      </c>
      <c r="M18" s="103" t="str">
        <f>LEFT('PT6'!C17,6)</f>
        <v>C2-309</v>
      </c>
      <c r="N18" s="121">
        <f>+'PT6'!D17</f>
        <v>0</v>
      </c>
      <c r="P18" s="103" t="str">
        <f>LEFT('PT7'!C17,6)</f>
        <v>O1-604</v>
      </c>
      <c r="Q18" s="121">
        <f>+'PT7'!D17</f>
        <v>-12694</v>
      </c>
    </row>
    <row r="19" spans="2:17" x14ac:dyDescent="0.3">
      <c r="B19" s="103" t="str">
        <f>LEFT('PT3'!C18,6)</f>
        <v/>
      </c>
      <c r="C19" s="121" t="str">
        <f>+'PT3'!D18</f>
        <v/>
      </c>
      <c r="D19" s="103" t="s">
        <v>21</v>
      </c>
      <c r="F19" s="103" t="str">
        <f>LEFT('PT4'!C18,6)</f>
        <v/>
      </c>
      <c r="G19" s="121" t="str">
        <f>+'PT4'!D18</f>
        <v/>
      </c>
      <c r="H19" s="103" t="s">
        <v>21</v>
      </c>
      <c r="J19" s="103" t="str">
        <f>LEFT('PT5'!C18,6)</f>
        <v>O2-305</v>
      </c>
      <c r="K19" s="121">
        <f>+'PT5'!D18</f>
        <v>300</v>
      </c>
      <c r="M19" s="103" t="str">
        <f>LEFT('PT6'!C18,6)</f>
        <v>C3-712</v>
      </c>
      <c r="N19" s="121">
        <f>+'PT6'!D18</f>
        <v>0</v>
      </c>
      <c r="P19" s="103" t="str">
        <f>LEFT('PT7'!C18,6)</f>
        <v>O1-704</v>
      </c>
      <c r="Q19" s="121">
        <f>+'PT7'!D18</f>
        <v>-9999.9999999999982</v>
      </c>
    </row>
    <row r="20" spans="2:17" x14ac:dyDescent="0.3">
      <c r="B20" s="103" t="str">
        <f>LEFT('PT3'!C19,6)</f>
        <v/>
      </c>
      <c r="C20" s="121" t="str">
        <f>+'PT3'!D19</f>
        <v/>
      </c>
      <c r="D20" s="103" t="s">
        <v>21</v>
      </c>
      <c r="F20" s="103" t="str">
        <f>LEFT('PT4'!C19,6)</f>
        <v/>
      </c>
      <c r="G20" s="121" t="str">
        <f>+'PT4'!D19</f>
        <v/>
      </c>
      <c r="H20" s="103" t="s">
        <v>21</v>
      </c>
      <c r="J20" s="103" t="str">
        <f>LEFT('PT5'!C19,6)</f>
        <v>O2-120</v>
      </c>
      <c r="K20" s="121">
        <f>+'PT5'!D19</f>
        <v>7039</v>
      </c>
      <c r="M20" s="103" t="str">
        <f>LEFT('PT6'!C19,6)</f>
        <v>A-1401</v>
      </c>
      <c r="N20" s="121">
        <f>+'PT6'!D19</f>
        <v>0</v>
      </c>
      <c r="P20" s="103" t="str">
        <f>LEFT('PT7'!C19,6)</f>
        <v>O1-100</v>
      </c>
      <c r="Q20" s="121">
        <f>+'PT7'!D19</f>
        <v>-12694</v>
      </c>
    </row>
    <row r="21" spans="2:17" x14ac:dyDescent="0.3">
      <c r="B21" s="103" t="str">
        <f>LEFT('PT3'!C20,6)</f>
        <v/>
      </c>
      <c r="C21" s="121" t="str">
        <f>+'PT3'!D20</f>
        <v/>
      </c>
      <c r="D21" s="103" t="s">
        <v>21</v>
      </c>
      <c r="F21" s="103" t="str">
        <f>LEFT('PT4'!C20,6)</f>
        <v/>
      </c>
      <c r="G21" s="121" t="str">
        <f>+'PT4'!D20</f>
        <v/>
      </c>
      <c r="H21" s="103" t="s">
        <v>21</v>
      </c>
      <c r="J21" s="103" t="str">
        <f>LEFT('PT5'!C20,6)</f>
        <v>O2-PH0</v>
      </c>
      <c r="K21" s="121">
        <f>+'PT5'!D20</f>
        <v>7039</v>
      </c>
      <c r="M21" s="103" t="str">
        <f>LEFT('PT6'!C20,6)</f>
        <v>O1-120</v>
      </c>
      <c r="N21" s="121">
        <f>+'PT6'!D20</f>
        <v>0</v>
      </c>
      <c r="P21" s="103" t="str">
        <f>LEFT('PT7'!C20,6)</f>
        <v>O1-120</v>
      </c>
      <c r="Q21" s="121">
        <f>+'PT7'!D20</f>
        <v>-12694</v>
      </c>
    </row>
    <row r="22" spans="2:17" x14ac:dyDescent="0.3">
      <c r="B22" s="103" t="str">
        <f>LEFT('PT3'!C21,6)</f>
        <v/>
      </c>
      <c r="C22" s="121" t="str">
        <f>+'PT3'!D21</f>
        <v/>
      </c>
      <c r="D22" s="103" t="s">
        <v>21</v>
      </c>
      <c r="F22" s="103" t="str">
        <f>LEFT('PT4'!C21,6)</f>
        <v/>
      </c>
      <c r="G22" s="121" t="str">
        <f>+'PT4'!D21</f>
        <v/>
      </c>
      <c r="H22" s="103" t="s">
        <v>21</v>
      </c>
      <c r="J22" s="103" t="str">
        <f>LEFT('PT5'!C21,6)</f>
        <v>C1-240</v>
      </c>
      <c r="K22" s="121">
        <f>+'PT5'!D21</f>
        <v>1000</v>
      </c>
      <c r="M22" s="103" t="str">
        <f>LEFT('PT6'!C21,6)</f>
        <v>O1-PH0</v>
      </c>
      <c r="N22" s="121">
        <f>+'PT6'!D21</f>
        <v>0</v>
      </c>
      <c r="P22" s="103" t="str">
        <f>LEFT('PT7'!C21,6)</f>
        <v>O1-170</v>
      </c>
      <c r="Q22" s="121">
        <f>+'PT7'!D21</f>
        <v>-98504</v>
      </c>
    </row>
    <row r="23" spans="2:17" x14ac:dyDescent="0.3">
      <c r="B23" s="103" t="str">
        <f>LEFT('PT3'!C22,6)</f>
        <v/>
      </c>
      <c r="C23" s="121" t="str">
        <f>+'PT3'!D22</f>
        <v/>
      </c>
      <c r="D23" s="103" t="s">
        <v>21</v>
      </c>
      <c r="F23" s="103" t="str">
        <f>LEFT('PT4'!C22,6)</f>
        <v/>
      </c>
      <c r="G23" s="121" t="str">
        <f>+'PT4'!D22</f>
        <v/>
      </c>
      <c r="H23" s="103" t="s">
        <v>21</v>
      </c>
      <c r="J23" s="103" t="str">
        <f>LEFT('PT5'!C22,6)</f>
        <v>C1-240</v>
      </c>
      <c r="K23" s="121">
        <f>+'PT5'!D22</f>
        <v>3519</v>
      </c>
      <c r="M23" s="103" t="str">
        <f>LEFT('PT6'!C22,6)</f>
        <v>C3-612</v>
      </c>
      <c r="N23" s="121">
        <f>+'PT6'!D22</f>
        <v>0</v>
      </c>
      <c r="P23" s="103" t="str">
        <f>LEFT('PT7'!C22,6)</f>
        <v>O1-180</v>
      </c>
      <c r="Q23" s="121">
        <f>+'PT7'!D22</f>
        <v>-98504</v>
      </c>
    </row>
    <row r="24" spans="2:17" x14ac:dyDescent="0.3">
      <c r="B24" s="103" t="str">
        <f>LEFT('PT3'!C23,6)</f>
        <v/>
      </c>
      <c r="C24" s="121" t="str">
        <f>+'PT3'!D23</f>
        <v/>
      </c>
      <c r="D24" s="103" t="s">
        <v>21</v>
      </c>
      <c r="F24" s="103" t="str">
        <f>LEFT('PT4'!C23,6)</f>
        <v/>
      </c>
      <c r="G24" s="121" t="str">
        <f>+'PT4'!D23</f>
        <v/>
      </c>
      <c r="H24" s="103" t="s">
        <v>21</v>
      </c>
      <c r="J24" s="103" t="str">
        <f>LEFT('PT5'!C23,6)</f>
        <v>C2-809</v>
      </c>
      <c r="K24" s="121">
        <f>+'PT5'!D23</f>
        <v>300</v>
      </c>
      <c r="M24" s="103" t="str">
        <f>LEFT('PT6'!C23,6)</f>
        <v>A-1001</v>
      </c>
      <c r="N24" s="121">
        <f>+'PT6'!D23</f>
        <v>0</v>
      </c>
      <c r="P24" s="103" t="str">
        <f>LEFT('PT7'!C23,6)</f>
        <v>O2-105</v>
      </c>
      <c r="Q24" s="121">
        <f>+'PT7'!D23</f>
        <v>-98504</v>
      </c>
    </row>
    <row r="25" spans="2:17" x14ac:dyDescent="0.3">
      <c r="B25" s="103" t="str">
        <f>LEFT('PT3'!C24,6)</f>
        <v/>
      </c>
      <c r="C25" s="121" t="str">
        <f>+'PT3'!D24</f>
        <v/>
      </c>
      <c r="D25" s="103" t="s">
        <v>21</v>
      </c>
      <c r="F25" s="103" t="str">
        <f>LEFT('PT4'!C24,6)</f>
        <v/>
      </c>
      <c r="G25" s="121" t="str">
        <f>+'PT4'!D24</f>
        <v/>
      </c>
      <c r="H25" s="103" t="s">
        <v>21</v>
      </c>
      <c r="J25" s="103" t="str">
        <f>LEFT('PT5'!C24,6)</f>
        <v>C2-111</v>
      </c>
      <c r="K25" s="121">
        <f>+'PT5'!D24</f>
        <v>500</v>
      </c>
      <c r="M25" s="103" t="str">
        <f>LEFT('PT6'!C24,6)</f>
        <v>A-1002</v>
      </c>
      <c r="N25" s="121">
        <f>+'PT6'!D24</f>
        <v>0</v>
      </c>
      <c r="P25" s="103" t="str">
        <f>LEFT('PT7'!C24,6)</f>
        <v>O2-606</v>
      </c>
      <c r="Q25" s="121">
        <f>+'PT7'!D24</f>
        <v>-12694</v>
      </c>
    </row>
    <row r="26" spans="2:17" x14ac:dyDescent="0.3">
      <c r="B26" s="103" t="str">
        <f>LEFT('PT3'!C25,6)</f>
        <v/>
      </c>
      <c r="C26" s="121" t="str">
        <f>+'PT3'!D25</f>
        <v/>
      </c>
      <c r="D26" s="103" t="s">
        <v>21</v>
      </c>
      <c r="F26" s="103" t="str">
        <f>LEFT('PT4'!C25,6)</f>
        <v/>
      </c>
      <c r="G26" s="121" t="str">
        <f>+'PT4'!D25</f>
        <v/>
      </c>
      <c r="H26" s="103" t="s">
        <v>21</v>
      </c>
      <c r="J26" s="103" t="str">
        <f>LEFT('PT5'!C25,6)</f>
        <v>C2-201</v>
      </c>
      <c r="K26" s="121">
        <f>+'PT5'!D25</f>
        <v>600</v>
      </c>
      <c r="M26" s="103" t="str">
        <f>LEFT('PT6'!C25,6)</f>
        <v>O1-190</v>
      </c>
      <c r="N26" s="121">
        <f>+'PT6'!D25</f>
        <v>0</v>
      </c>
      <c r="P26" s="103" t="str">
        <f>LEFT('PT7'!C25,6)</f>
        <v>O2-110</v>
      </c>
      <c r="Q26" s="121">
        <f>+'PT7'!D25</f>
        <v>-12694</v>
      </c>
    </row>
    <row r="27" spans="2:17" x14ac:dyDescent="0.3">
      <c r="B27" s="103" t="str">
        <f>LEFT('PT3'!C26,6)</f>
        <v/>
      </c>
      <c r="C27" s="121" t="str">
        <f>+'PT3'!D26</f>
        <v/>
      </c>
      <c r="D27" s="103"/>
      <c r="F27" s="103" t="str">
        <f>LEFT('PT4'!C26,6)</f>
        <v/>
      </c>
      <c r="G27" s="121" t="str">
        <f>+'PT4'!D26</f>
        <v/>
      </c>
      <c r="H27" s="103"/>
      <c r="J27" s="103" t="str">
        <f>LEFT('PT5'!C26,6)</f>
        <v>C3-111</v>
      </c>
      <c r="K27" s="121">
        <f>+'PT5'!D26</f>
        <v>300</v>
      </c>
      <c r="M27" s="103" t="str">
        <f>LEFT('PT6'!C26,6)</f>
        <v>C2-310</v>
      </c>
      <c r="N27" s="121">
        <f>+'PT6'!D26</f>
        <v>0</v>
      </c>
      <c r="P27" s="103" t="str">
        <f>LEFT('PT7'!C26,6)</f>
        <v>O2-250</v>
      </c>
      <c r="Q27" s="121">
        <f>+'PT7'!D26</f>
        <v>-12694</v>
      </c>
    </row>
    <row r="28" spans="2:17" x14ac:dyDescent="0.3">
      <c r="B28" s="103" t="str">
        <f>LEFT('PT3'!C27,6)</f>
        <v/>
      </c>
      <c r="C28" s="121" t="str">
        <f>+'PT3'!D27</f>
        <v/>
      </c>
      <c r="D28" s="103"/>
      <c r="F28" s="103" t="str">
        <f>LEFT('PT4'!C27,6)</f>
        <v/>
      </c>
      <c r="G28" s="121" t="str">
        <f>+'PT4'!D27</f>
        <v/>
      </c>
      <c r="H28" s="103"/>
      <c r="J28" s="103" t="str">
        <f>LEFT('PT5'!C27,6)</f>
        <v>A-2401</v>
      </c>
      <c r="K28" s="121">
        <f>+'PT5'!D27</f>
        <v>3.637978807091713E-12</v>
      </c>
      <c r="M28" s="103" t="str">
        <f>LEFT('PT6'!C27,6)</f>
        <v xml:space="preserve">A-101 </v>
      </c>
      <c r="N28" s="121">
        <f>+'PT6'!D27</f>
        <v>0</v>
      </c>
      <c r="P28" s="103" t="str">
        <f>LEFT('PT7'!C27,6)</f>
        <v>C1-107</v>
      </c>
      <c r="Q28" s="121">
        <f>+'PT7'!D27</f>
        <v>-98504</v>
      </c>
    </row>
    <row r="29" spans="2:17" x14ac:dyDescent="0.3">
      <c r="B29" s="103" t="str">
        <f>LEFT('PT3'!C28,6)</f>
        <v/>
      </c>
      <c r="C29" s="121" t="str">
        <f>+'PT3'!D28</f>
        <v/>
      </c>
      <c r="D29" s="103"/>
      <c r="F29" s="103" t="str">
        <f>LEFT('PT4'!C28,6)</f>
        <v/>
      </c>
      <c r="G29" s="121" t="str">
        <f>+'PT4'!D28</f>
        <v/>
      </c>
      <c r="H29" s="103"/>
      <c r="J29" s="103" t="str">
        <f>LEFT('PT5'!C28,6)</f>
        <v>O2-506</v>
      </c>
      <c r="K29" s="121">
        <f>+'PT5'!D28</f>
        <v>15194</v>
      </c>
      <c r="M29" s="103" t="str">
        <f>LEFT('PT6'!C28,6)</f>
        <v xml:space="preserve">A-201 </v>
      </c>
      <c r="N29" s="121">
        <f>+'PT6'!D28</f>
        <v>0</v>
      </c>
      <c r="P29" s="103" t="str">
        <f>LEFT('PT7'!C28,6)</f>
        <v>C1-120</v>
      </c>
      <c r="Q29" s="121">
        <f>+'PT7'!D28</f>
        <v>-306</v>
      </c>
    </row>
    <row r="30" spans="2:17" x14ac:dyDescent="0.3">
      <c r="B30" s="103" t="str">
        <f>LEFT('PT3'!C29,6)</f>
        <v/>
      </c>
      <c r="C30" s="121" t="str">
        <f>+'PT3'!D29</f>
        <v/>
      </c>
      <c r="D30" s="103"/>
      <c r="F30" s="103" t="str">
        <f>LEFT('PT4'!C29,6)</f>
        <v/>
      </c>
      <c r="G30" s="121" t="str">
        <f>+'PT4'!D29</f>
        <v/>
      </c>
      <c r="H30" s="103"/>
      <c r="J30" s="103" t="str">
        <f>LEFT('PT5'!C29,6)</f>
        <v>O2-150</v>
      </c>
      <c r="K30" s="121">
        <f>+'PT5'!D29</f>
        <v>300</v>
      </c>
      <c r="M30" s="103" t="str">
        <f>LEFT('PT6'!C29,6)</f>
        <v xml:space="preserve">A-302 </v>
      </c>
      <c r="N30" s="121">
        <f>+'PT6'!D29</f>
        <v>0</v>
      </c>
      <c r="P30" s="103" t="str">
        <f>LEFT('PT7'!C29,6)</f>
        <v>C1-210</v>
      </c>
      <c r="Q30" s="121">
        <f>+'PT7'!D29</f>
        <v>-98504</v>
      </c>
    </row>
    <row r="31" spans="2:17" x14ac:dyDescent="0.3">
      <c r="B31" s="103" t="str">
        <f>LEFT('PT3'!C30,6)</f>
        <v/>
      </c>
      <c r="C31" s="121" t="str">
        <f>+'PT3'!D30</f>
        <v/>
      </c>
      <c r="D31" s="103"/>
      <c r="F31" s="103" t="str">
        <f>LEFT('PT4'!C30,6)</f>
        <v/>
      </c>
      <c r="G31" s="121" t="str">
        <f>+'PT4'!D30</f>
        <v/>
      </c>
      <c r="H31" s="103"/>
      <c r="J31" s="103" t="str">
        <f>LEFT('PT5'!C30,6)</f>
        <v>NO IDE</v>
      </c>
      <c r="K31" s="121">
        <f>+'PT5'!D30</f>
        <v>3.637978807091713E-12</v>
      </c>
      <c r="M31" s="103" t="str">
        <f>LEFT('PT6'!C30,6)</f>
        <v xml:space="preserve">A-401 </v>
      </c>
      <c r="N31" s="121">
        <f>+'PT6'!D30</f>
        <v>0</v>
      </c>
      <c r="P31" s="103" t="str">
        <f>LEFT('PT7'!C30,6)</f>
        <v>C2-909</v>
      </c>
      <c r="Q31" s="121">
        <f>+'PT7'!D30</f>
        <v>-12694</v>
      </c>
    </row>
    <row r="32" spans="2:17" x14ac:dyDescent="0.3">
      <c r="B32" s="103" t="str">
        <f>LEFT('PT3'!C31,6)</f>
        <v/>
      </c>
      <c r="C32" s="121" t="str">
        <f>+'PT3'!D31</f>
        <v/>
      </c>
      <c r="D32" s="103"/>
      <c r="F32" s="103" t="str">
        <f>LEFT('PT4'!C31,6)</f>
        <v/>
      </c>
      <c r="G32" s="121" t="str">
        <f>+'PT4'!D31</f>
        <v/>
      </c>
      <c r="H32" s="103"/>
      <c r="J32" s="103" t="str">
        <f>LEFT('PT5'!C31,6)</f>
        <v/>
      </c>
      <c r="K32" s="121" t="str">
        <f>+'PT5'!D31</f>
        <v/>
      </c>
      <c r="M32" s="103" t="str">
        <f>LEFT('PT6'!C31,6)</f>
        <v xml:space="preserve">A-502 </v>
      </c>
      <c r="N32" s="121">
        <f>+'PT6'!D31</f>
        <v>0</v>
      </c>
      <c r="P32" s="103" t="str">
        <f>LEFT('PT7'!C31,6)</f>
        <v>C2-110</v>
      </c>
      <c r="Q32" s="121">
        <f>+'PT7'!D31</f>
        <v>-12694</v>
      </c>
    </row>
    <row r="33" spans="2:17" x14ac:dyDescent="0.3">
      <c r="B33" s="103" t="str">
        <f>LEFT('PT3'!C32,6)</f>
        <v/>
      </c>
      <c r="C33" s="121" t="str">
        <f>+'PT3'!D32</f>
        <v/>
      </c>
      <c r="D33" s="103"/>
      <c r="F33" s="103" t="str">
        <f>LEFT('PT4'!C32,6)</f>
        <v/>
      </c>
      <c r="G33" s="121" t="str">
        <f>+'PT4'!D32</f>
        <v/>
      </c>
      <c r="H33" s="103"/>
      <c r="J33" s="103" t="str">
        <f>LEFT('PT5'!C32,6)</f>
        <v/>
      </c>
      <c r="K33" s="121" t="str">
        <f>+'PT5'!D32</f>
        <v/>
      </c>
      <c r="M33" s="103" t="str">
        <f>LEFT('PT6'!C32,6)</f>
        <v xml:space="preserve">A-601 </v>
      </c>
      <c r="N33" s="121">
        <f>+'PT6'!D32</f>
        <v>0</v>
      </c>
      <c r="P33" s="103" t="str">
        <f>LEFT('PT7'!C32,6)</f>
        <v>C2-121</v>
      </c>
      <c r="Q33" s="121">
        <f>+'PT7'!D32</f>
        <v>-38082</v>
      </c>
    </row>
    <row r="34" spans="2:17" x14ac:dyDescent="0.3">
      <c r="B34" s="103" t="str">
        <f>LEFT('PT3'!C33,6)</f>
        <v/>
      </c>
      <c r="C34" s="121" t="str">
        <f>+'PT3'!D33</f>
        <v/>
      </c>
      <c r="D34" s="103"/>
      <c r="F34" s="103" t="str">
        <f>LEFT('PT4'!C33,6)</f>
        <v/>
      </c>
      <c r="G34" s="121" t="str">
        <f>+'PT4'!D33</f>
        <v/>
      </c>
      <c r="H34" s="103"/>
      <c r="J34" s="103" t="str">
        <f>LEFT('PT5'!C33,6)</f>
        <v/>
      </c>
      <c r="K34" s="121" t="str">
        <f>+'PT5'!D33</f>
        <v/>
      </c>
      <c r="M34" s="103" t="str">
        <f>LEFT('PT6'!C33,6)</f>
        <v xml:space="preserve">A-701 </v>
      </c>
      <c r="N34" s="121">
        <f>+'PT6'!D33</f>
        <v>0</v>
      </c>
      <c r="P34" s="103" t="str">
        <f>LEFT('PT7'!C33,6)</f>
        <v>C2-PH1</v>
      </c>
      <c r="Q34" s="121">
        <f>+'PT7'!D33</f>
        <v>-12694</v>
      </c>
    </row>
    <row r="35" spans="2:17" x14ac:dyDescent="0.3">
      <c r="B35" s="103" t="str">
        <f>LEFT('PT3'!C34,6)</f>
        <v/>
      </c>
      <c r="C35" s="121" t="str">
        <f>+'PT3'!D34</f>
        <v/>
      </c>
      <c r="D35" s="103"/>
      <c r="F35" s="103" t="str">
        <f>LEFT('PT4'!C34,6)</f>
        <v/>
      </c>
      <c r="G35" s="121" t="str">
        <f>+'PT4'!D34</f>
        <v/>
      </c>
      <c r="H35" s="103"/>
      <c r="J35" s="103" t="str">
        <f>LEFT('PT5'!C34,6)</f>
        <v/>
      </c>
      <c r="K35" s="121" t="str">
        <f>+'PT5'!D34</f>
        <v/>
      </c>
      <c r="M35" s="103" t="str">
        <f>LEFT('PT6'!C34,6)</f>
        <v xml:space="preserve">A-801 </v>
      </c>
      <c r="N35" s="121">
        <f>+'PT6'!D34</f>
        <v>0</v>
      </c>
      <c r="P35" s="103" t="str">
        <f>LEFT('PT7'!C34,6)</f>
        <v>C3-311</v>
      </c>
      <c r="Q35" s="121">
        <f>+'PT7'!D34</f>
        <v>-98503.999999999971</v>
      </c>
    </row>
    <row r="36" spans="2:17" x14ac:dyDescent="0.3">
      <c r="B36" s="103" t="str">
        <f>LEFT('PT3'!C35,6)</f>
        <v/>
      </c>
      <c r="C36" s="121" t="str">
        <f>+'PT3'!D35</f>
        <v/>
      </c>
      <c r="D36" s="103"/>
      <c r="F36" s="103" t="str">
        <f>LEFT('PT4'!C35,6)</f>
        <v/>
      </c>
      <c r="G36" s="121" t="str">
        <f>+'PT4'!D35</f>
        <v/>
      </c>
      <c r="H36" s="103"/>
      <c r="J36" s="103" t="str">
        <f>LEFT('PT5'!C35,6)</f>
        <v/>
      </c>
      <c r="K36" s="121" t="str">
        <f>+'PT5'!D35</f>
        <v/>
      </c>
      <c r="M36" s="103" t="str">
        <f>LEFT('PT6'!C35,6)</f>
        <v xml:space="preserve">A-901 </v>
      </c>
      <c r="N36" s="121">
        <f>+'PT6'!D35</f>
        <v>0</v>
      </c>
      <c r="P36" s="103" t="str">
        <f>LEFT('PT7'!C35,6)</f>
        <v>C3-312</v>
      </c>
      <c r="Q36" s="121">
        <f>+'PT7'!D35</f>
        <v>-12694</v>
      </c>
    </row>
    <row r="37" spans="2:17" x14ac:dyDescent="0.3">
      <c r="B37" s="103" t="str">
        <f>LEFT('PT3'!C36,6)</f>
        <v/>
      </c>
      <c r="C37" s="121" t="str">
        <f>+'PT3'!D36</f>
        <v/>
      </c>
      <c r="D37" s="103"/>
      <c r="F37" s="103" t="str">
        <f>LEFT('PT4'!C36,6)</f>
        <v/>
      </c>
      <c r="G37" s="121" t="str">
        <f>+'PT4'!D36</f>
        <v/>
      </c>
      <c r="H37" s="103"/>
      <c r="J37" s="103" t="str">
        <f>LEFT('PT5'!C36,6)</f>
        <v/>
      </c>
      <c r="K37" s="121" t="str">
        <f>+'PT5'!D36</f>
        <v/>
      </c>
      <c r="M37" s="103" t="str">
        <f>LEFT('PT6'!C36,6)</f>
        <v xml:space="preserve">A-902 </v>
      </c>
      <c r="N37" s="121">
        <f>+'PT6'!D36</f>
        <v>0</v>
      </c>
      <c r="P37" s="103" t="str">
        <f>LEFT('PT7'!C36,6)</f>
        <v>C3-412</v>
      </c>
      <c r="Q37" s="121">
        <f>+'PT7'!D36</f>
        <v>-200</v>
      </c>
    </row>
    <row r="38" spans="2:17" x14ac:dyDescent="0.3">
      <c r="B38" s="103" t="str">
        <f>LEFT('PT3'!C37,6)</f>
        <v/>
      </c>
      <c r="C38" s="121" t="str">
        <f>+'PT3'!D37</f>
        <v/>
      </c>
      <c r="D38" s="103"/>
      <c r="F38" s="103" t="str">
        <f>LEFT('PT4'!C37,6)</f>
        <v/>
      </c>
      <c r="G38" s="121" t="str">
        <f>+'PT4'!D37</f>
        <v/>
      </c>
      <c r="H38" s="103"/>
      <c r="J38" s="103" t="str">
        <f>LEFT('PT5'!C37,6)</f>
        <v/>
      </c>
      <c r="K38" s="121" t="str">
        <f>+'PT5'!D37</f>
        <v/>
      </c>
      <c r="M38" s="103" t="str">
        <f>LEFT('PT6'!C37,6)</f>
        <v>A-1101</v>
      </c>
      <c r="N38" s="121">
        <f>+'PT6'!D37</f>
        <v>0</v>
      </c>
      <c r="P38" s="103" t="str">
        <f>LEFT('PT7'!C37,6)</f>
        <v>C3-511</v>
      </c>
      <c r="Q38" s="121">
        <f>+'PT7'!D37</f>
        <v>-12694</v>
      </c>
    </row>
    <row r="39" spans="2:17" x14ac:dyDescent="0.3">
      <c r="B39" s="103" t="str">
        <f>LEFT('PT3'!C38,6)</f>
        <v/>
      </c>
      <c r="C39" s="121" t="str">
        <f>+'PT3'!D38</f>
        <v/>
      </c>
      <c r="D39" s="103"/>
      <c r="F39" s="103" t="str">
        <f>LEFT('PT4'!C38,6)</f>
        <v/>
      </c>
      <c r="G39" s="121" t="str">
        <f>+'PT4'!D38</f>
        <v/>
      </c>
      <c r="H39" s="103"/>
      <c r="J39" s="103" t="str">
        <f>LEFT('PT5'!C38,6)</f>
        <v/>
      </c>
      <c r="K39" s="121" t="str">
        <f>+'PT5'!D38</f>
        <v/>
      </c>
      <c r="M39" s="103" t="str">
        <f>LEFT('PT6'!C38,6)</f>
        <v>A-1201</v>
      </c>
      <c r="N39" s="121">
        <f>+'PT6'!D38</f>
        <v>0</v>
      </c>
      <c r="P39" s="103" t="str">
        <f>LEFT('PT7'!C38,6)</f>
        <v>C3-812</v>
      </c>
      <c r="Q39" s="121">
        <f>+'PT7'!D38</f>
        <v>-98504</v>
      </c>
    </row>
    <row r="40" spans="2:17" x14ac:dyDescent="0.3">
      <c r="B40" s="103" t="str">
        <f>LEFT('PT3'!C39,6)</f>
        <v/>
      </c>
      <c r="C40" s="121" t="str">
        <f>+'PT3'!D39</f>
        <v/>
      </c>
      <c r="D40" s="103"/>
      <c r="F40" s="103" t="str">
        <f>LEFT('PT4'!C39,6)</f>
        <v/>
      </c>
      <c r="G40" s="121" t="str">
        <f>+'PT4'!D39</f>
        <v/>
      </c>
      <c r="H40" s="103"/>
      <c r="J40" s="103" t="str">
        <f>LEFT('PT5'!C39,6)</f>
        <v/>
      </c>
      <c r="K40" s="121" t="str">
        <f>+'PT5'!D39</f>
        <v/>
      </c>
      <c r="M40" s="103" t="str">
        <f>LEFT('PT6'!C39,6)</f>
        <v>A-1202</v>
      </c>
      <c r="N40" s="121">
        <f>+'PT6'!D39</f>
        <v>0</v>
      </c>
      <c r="P40" s="103" t="str">
        <f>LEFT('PT7'!C39,6)</f>
        <v>C3-911</v>
      </c>
      <c r="Q40" s="121">
        <f>+'PT7'!D39</f>
        <v>-12694</v>
      </c>
    </row>
    <row r="41" spans="2:17" x14ac:dyDescent="0.3">
      <c r="B41" s="103" t="str">
        <f>LEFT('PT3'!C40,6)</f>
        <v/>
      </c>
      <c r="C41" s="121" t="str">
        <f>+'PT3'!D40</f>
        <v/>
      </c>
      <c r="D41" s="103"/>
      <c r="F41" s="103" t="str">
        <f>LEFT('PT4'!C40,6)</f>
        <v/>
      </c>
      <c r="G41" s="121" t="str">
        <f>+'PT4'!D40</f>
        <v/>
      </c>
      <c r="H41" s="103"/>
      <c r="J41" s="103" t="str">
        <f>LEFT('PT5'!C40,6)</f>
        <v/>
      </c>
      <c r="K41" s="121" t="str">
        <f>+'PT5'!D40</f>
        <v/>
      </c>
      <c r="M41" s="103" t="str">
        <f>LEFT('PT6'!C40,6)</f>
        <v>A-1301</v>
      </c>
      <c r="N41" s="121">
        <f>+'PT6'!D40</f>
        <v>0</v>
      </c>
      <c r="P41" s="103" t="str">
        <f>LEFT('PT7'!C40,6)</f>
        <v>C3-141</v>
      </c>
      <c r="Q41" s="121">
        <f>+'PT7'!D40</f>
        <v>-12694</v>
      </c>
    </row>
    <row r="42" spans="2:17" x14ac:dyDescent="0.3">
      <c r="B42" s="103" t="str">
        <f>LEFT('PT3'!C41,6)</f>
        <v/>
      </c>
      <c r="C42" s="121" t="str">
        <f>+'PT3'!D41</f>
        <v/>
      </c>
      <c r="D42" s="103"/>
      <c r="F42" s="103" t="str">
        <f>LEFT('PT4'!C41,6)</f>
        <v/>
      </c>
      <c r="G42" s="121" t="str">
        <f>+'PT4'!D41</f>
        <v/>
      </c>
      <c r="H42" s="103"/>
      <c r="J42" s="103" t="str">
        <f>LEFT('PT5'!C41,6)</f>
        <v/>
      </c>
      <c r="K42" s="121" t="str">
        <f>+'PT5'!D41</f>
        <v/>
      </c>
      <c r="M42" s="103" t="str">
        <f>LEFT('PT6'!C41,6)</f>
        <v>A-1302</v>
      </c>
      <c r="N42" s="121">
        <f>+'PT6'!D41</f>
        <v>0</v>
      </c>
      <c r="P42" s="103" t="str">
        <f>LEFT('PT7'!C41,6)</f>
        <v>C3-151</v>
      </c>
      <c r="Q42" s="121">
        <f>+'PT7'!D41</f>
        <v>-25388</v>
      </c>
    </row>
    <row r="43" spans="2:17" x14ac:dyDescent="0.3">
      <c r="B43" s="103" t="str">
        <f>LEFT('PT3'!C42,6)</f>
        <v/>
      </c>
      <c r="C43" s="121" t="str">
        <f>+'PT3'!D42</f>
        <v/>
      </c>
      <c r="D43" s="103"/>
      <c r="F43" s="103" t="str">
        <f>LEFT('PT4'!C42,6)</f>
        <v/>
      </c>
      <c r="G43" s="121" t="str">
        <f>+'PT4'!D42</f>
        <v/>
      </c>
      <c r="H43" s="103"/>
      <c r="J43" s="103" t="str">
        <f>LEFT('PT5'!C42,6)</f>
        <v/>
      </c>
      <c r="K43" s="121" t="str">
        <f>+'PT5'!D42</f>
        <v/>
      </c>
      <c r="M43" s="103" t="str">
        <f>LEFT('PT6'!C42,6)</f>
        <v>A-1501</v>
      </c>
      <c r="N43" s="121">
        <f>+'PT6'!D42</f>
        <v>0</v>
      </c>
      <c r="P43" s="103" t="str">
        <f>LEFT('PT7'!C42,6)</f>
        <v>C3-181</v>
      </c>
      <c r="Q43" s="121">
        <f>+'PT7'!D42</f>
        <v>-12694</v>
      </c>
    </row>
    <row r="44" spans="2:17" x14ac:dyDescent="0.3">
      <c r="B44" s="103" t="str">
        <f>LEFT('PT3'!C43,6)</f>
        <v/>
      </c>
      <c r="C44" s="121" t="str">
        <f>+'PT3'!D43</f>
        <v/>
      </c>
      <c r="D44" s="103"/>
      <c r="F44" s="103" t="str">
        <f>LEFT('PT4'!C43,6)</f>
        <v/>
      </c>
      <c r="G44" s="121" t="str">
        <f>+'PT4'!D43</f>
        <v/>
      </c>
      <c r="H44" s="103"/>
      <c r="J44" s="103" t="str">
        <f>LEFT('PT5'!C43,6)</f>
        <v/>
      </c>
      <c r="K44" s="121" t="str">
        <f>+'PT5'!D43</f>
        <v/>
      </c>
      <c r="M44" s="103" t="str">
        <f>LEFT('PT6'!C43,6)</f>
        <v>A-1601</v>
      </c>
      <c r="N44" s="121">
        <f>+'PT6'!D43</f>
        <v>0</v>
      </c>
      <c r="P44" s="103" t="str">
        <f>LEFT('PT7'!C43,6)</f>
        <v>C3-191</v>
      </c>
      <c r="Q44" s="121">
        <f>+'PT7'!D43</f>
        <v>-12694</v>
      </c>
    </row>
    <row r="45" spans="2:17" x14ac:dyDescent="0.3">
      <c r="B45" s="103" t="str">
        <f>LEFT('PT3'!C44,6)</f>
        <v/>
      </c>
      <c r="C45" s="121" t="str">
        <f>+'PT3'!D44</f>
        <v/>
      </c>
      <c r="D45" s="103"/>
      <c r="F45" s="103" t="str">
        <f>LEFT('PT4'!C44,6)</f>
        <v/>
      </c>
      <c r="G45" s="121" t="str">
        <f>+'PT4'!D44</f>
        <v/>
      </c>
      <c r="H45" s="103"/>
      <c r="J45" s="103" t="str">
        <f>LEFT('PT5'!C44,6)</f>
        <v/>
      </c>
      <c r="K45" s="121" t="str">
        <f>+'PT5'!D44</f>
        <v/>
      </c>
      <c r="M45" s="103" t="str">
        <f>LEFT('PT6'!C44,6)</f>
        <v>A-1801</v>
      </c>
      <c r="N45" s="121">
        <f>+'PT6'!D44</f>
        <v>0</v>
      </c>
      <c r="P45" s="103" t="str">
        <f>LEFT('PT7'!C44,6)</f>
        <v>O1-804</v>
      </c>
      <c r="Q45" s="121">
        <f>+'PT7'!D44</f>
        <v>-12694</v>
      </c>
    </row>
    <row r="46" spans="2:17" x14ac:dyDescent="0.3">
      <c r="B46" s="103" t="str">
        <f>LEFT('PT3'!C45,6)</f>
        <v/>
      </c>
      <c r="C46" s="121" t="str">
        <f>+'PT3'!D45</f>
        <v/>
      </c>
      <c r="D46" s="103"/>
      <c r="F46" s="103" t="str">
        <f>LEFT('PT4'!C45,6)</f>
        <v/>
      </c>
      <c r="G46" s="121" t="str">
        <f>+'PT4'!D45</f>
        <v/>
      </c>
      <c r="H46" s="103"/>
      <c r="J46" s="103" t="str">
        <f>LEFT('PT5'!C45,6)</f>
        <v/>
      </c>
      <c r="K46" s="121" t="str">
        <f>+'PT5'!D45</f>
        <v/>
      </c>
      <c r="M46" s="103" t="str">
        <f>LEFT('PT6'!C45,6)</f>
        <v>A-1901</v>
      </c>
      <c r="N46" s="121">
        <f>+'PT6'!D45</f>
        <v>0</v>
      </c>
      <c r="P46" s="103" t="str">
        <f>LEFT('PT7'!C45,6)</f>
        <v>C1-160</v>
      </c>
      <c r="Q46" s="121">
        <f>+'PT7'!D45</f>
        <v>-98504</v>
      </c>
    </row>
    <row r="47" spans="2:17" x14ac:dyDescent="0.3">
      <c r="B47" s="103" t="str">
        <f>LEFT('PT3'!C46,6)</f>
        <v/>
      </c>
      <c r="C47" s="121" t="str">
        <f>+'PT3'!D46</f>
        <v/>
      </c>
      <c r="D47" s="103"/>
      <c r="F47" s="103" t="str">
        <f>LEFT('PT4'!C46,6)</f>
        <v/>
      </c>
      <c r="G47" s="121" t="str">
        <f>+'PT4'!D46</f>
        <v/>
      </c>
      <c r="H47" s="103"/>
      <c r="J47" s="103" t="str">
        <f>LEFT('PT5'!C46,6)</f>
        <v/>
      </c>
      <c r="K47" s="121" t="str">
        <f>+'PT5'!D46</f>
        <v/>
      </c>
      <c r="M47" s="103" t="str">
        <f>LEFT('PT6'!C46,6)</f>
        <v>A-1902</v>
      </c>
      <c r="N47" s="121">
        <f>+'PT6'!D46</f>
        <v>0</v>
      </c>
      <c r="P47" s="103" t="str">
        <f>LEFT('PT7'!C46,6)</f>
        <v>A-1102</v>
      </c>
      <c r="Q47" s="121">
        <f>+'PT7'!D46</f>
        <v>-12694</v>
      </c>
    </row>
    <row r="48" spans="2:17" x14ac:dyDescent="0.3">
      <c r="B48" s="103" t="str">
        <f>LEFT('PT3'!C47,6)</f>
        <v/>
      </c>
      <c r="C48" s="121" t="str">
        <f>+'PT3'!D47</f>
        <v/>
      </c>
      <c r="D48" s="103"/>
      <c r="F48" s="103" t="str">
        <f>LEFT('PT4'!C47,6)</f>
        <v/>
      </c>
      <c r="G48" s="121" t="str">
        <f>+'PT4'!D47</f>
        <v/>
      </c>
      <c r="H48" s="103"/>
      <c r="J48" s="103" t="str">
        <f>LEFT('PT5'!C47,6)</f>
        <v/>
      </c>
      <c r="K48" s="121" t="str">
        <f>+'PT5'!D47</f>
        <v/>
      </c>
      <c r="M48" s="103" t="str">
        <f>LEFT('PT6'!C47,6)</f>
        <v>A-2001</v>
      </c>
      <c r="N48" s="121">
        <f>+'PT6'!D47</f>
        <v>0</v>
      </c>
      <c r="P48" s="103" t="str">
        <f>LEFT('PT7'!C47,6)</f>
        <v>O2-140</v>
      </c>
      <c r="Q48" s="121">
        <f>+'PT7'!D47</f>
        <v>-123130</v>
      </c>
    </row>
    <row r="49" spans="2:17" x14ac:dyDescent="0.3">
      <c r="B49" s="103" t="str">
        <f>LEFT('PT3'!C48,6)</f>
        <v/>
      </c>
      <c r="C49" s="121" t="str">
        <f>+'PT3'!D48</f>
        <v/>
      </c>
      <c r="D49" s="103"/>
      <c r="F49" s="103" t="str">
        <f>LEFT('PT4'!C48,6)</f>
        <v/>
      </c>
      <c r="G49" s="121" t="str">
        <f>+'PT4'!D48</f>
        <v/>
      </c>
      <c r="H49" s="103"/>
      <c r="J49" s="103" t="str">
        <f>LEFT('PT5'!C48,6)</f>
        <v/>
      </c>
      <c r="K49" s="121" t="str">
        <f>+'PT5'!D48</f>
        <v/>
      </c>
      <c r="M49" s="103" t="str">
        <f>LEFT('PT6'!C48,6)</f>
        <v>A-2002</v>
      </c>
      <c r="N49" s="121">
        <f>+'PT6'!D48</f>
        <v>0</v>
      </c>
      <c r="P49" s="103" t="str">
        <f>LEFT('PT7'!C48,6)</f>
        <v>C1-408</v>
      </c>
      <c r="Q49" s="121">
        <f>+'PT7'!D48</f>
        <v>-98504</v>
      </c>
    </row>
    <row r="50" spans="2:17" x14ac:dyDescent="0.3">
      <c r="B50" s="103" t="str">
        <f>LEFT('PT3'!C49,6)</f>
        <v/>
      </c>
      <c r="C50" s="121" t="str">
        <f>+'PT3'!D49</f>
        <v/>
      </c>
      <c r="D50" s="103"/>
      <c r="F50" s="103" t="str">
        <f>LEFT('PT4'!C49,6)</f>
        <v/>
      </c>
      <c r="G50" s="121" t="str">
        <f>+'PT4'!D49</f>
        <v/>
      </c>
      <c r="H50" s="103"/>
      <c r="J50" s="103" t="str">
        <f>LEFT('PT5'!C49,6)</f>
        <v/>
      </c>
      <c r="K50" s="121" t="str">
        <f>+'PT5'!D49</f>
        <v/>
      </c>
      <c r="M50" s="103" t="str">
        <f>LEFT('PT6'!C49,6)</f>
        <v>A-2101</v>
      </c>
      <c r="N50" s="121">
        <f>+'PT6'!D49</f>
        <v>0</v>
      </c>
      <c r="P50" s="103" t="str">
        <f>LEFT('PT7'!C49,6)</f>
        <v>C2-161</v>
      </c>
      <c r="Q50" s="121">
        <f>+'PT7'!D49</f>
        <v>-12694</v>
      </c>
    </row>
    <row r="51" spans="2:17" x14ac:dyDescent="0.3">
      <c r="B51" s="103" t="str">
        <f>LEFT('PT3'!C50,6)</f>
        <v/>
      </c>
      <c r="C51" s="121" t="str">
        <f>+'PT3'!D50</f>
        <v/>
      </c>
      <c r="D51" s="103"/>
      <c r="F51" s="103" t="str">
        <f>LEFT('PT4'!C50,6)</f>
        <v/>
      </c>
      <c r="G51" s="121" t="str">
        <f>+'PT4'!D50</f>
        <v/>
      </c>
      <c r="H51" s="103"/>
      <c r="J51" s="103" t="str">
        <f>LEFT('PT5'!C50,6)</f>
        <v/>
      </c>
      <c r="K51" s="121" t="str">
        <f>+'PT5'!D50</f>
        <v/>
      </c>
      <c r="M51" s="103" t="str">
        <f>LEFT('PT6'!C50,6)</f>
        <v>A-2102</v>
      </c>
      <c r="N51" s="121">
        <f>+'PT6'!D50</f>
        <v>0</v>
      </c>
      <c r="P51" s="103" t="str">
        <f>LEFT('PT7'!C50,6)</f>
        <v>C2-180</v>
      </c>
      <c r="Q51" s="121">
        <f>+'PT7'!D50</f>
        <v>-12694</v>
      </c>
    </row>
    <row r="52" spans="2:17" x14ac:dyDescent="0.3">
      <c r="B52" s="103" t="str">
        <f>LEFT('PT3'!C51,6)</f>
        <v/>
      </c>
      <c r="C52" s="121" t="str">
        <f>+'PT3'!D51</f>
        <v/>
      </c>
      <c r="D52" s="103"/>
      <c r="F52" s="103" t="str">
        <f>LEFT('PT4'!C51,6)</f>
        <v/>
      </c>
      <c r="G52" s="121" t="str">
        <f>+'PT4'!D51</f>
        <v/>
      </c>
      <c r="H52" s="103"/>
      <c r="J52" s="103" t="str">
        <f>LEFT('PT5'!C51,6)</f>
        <v/>
      </c>
      <c r="K52" s="121" t="str">
        <f>+'PT5'!D51</f>
        <v/>
      </c>
      <c r="M52" s="103" t="str">
        <f>LEFT('PT6'!C51,6)</f>
        <v>A-2202</v>
      </c>
      <c r="N52" s="121">
        <f>+'PT6'!D51</f>
        <v>0</v>
      </c>
      <c r="P52" s="103" t="str">
        <f>LEFT('PT7'!C51,6)</f>
        <v>C2-210</v>
      </c>
      <c r="Q52" s="121">
        <f>+'PT7'!D51</f>
        <v>-25388</v>
      </c>
    </row>
    <row r="53" spans="2:17" x14ac:dyDescent="0.3">
      <c r="B53" s="103" t="str">
        <f>LEFT('PT3'!C52,6)</f>
        <v/>
      </c>
      <c r="C53" s="121" t="str">
        <f>+'PT3'!D52</f>
        <v/>
      </c>
      <c r="D53" s="103"/>
      <c r="F53" s="103" t="str">
        <f>LEFT('PT4'!C52,6)</f>
        <v/>
      </c>
      <c r="G53" s="121" t="str">
        <f>+'PT4'!D52</f>
        <v/>
      </c>
      <c r="H53" s="103"/>
      <c r="J53" s="103" t="str">
        <f>LEFT('PT5'!C52,6)</f>
        <v/>
      </c>
      <c r="K53" s="121" t="str">
        <f>+'PT5'!D52</f>
        <v/>
      </c>
      <c r="M53" s="103" t="str">
        <f>LEFT('PT6'!C52,6)</f>
        <v>A-2302</v>
      </c>
      <c r="N53" s="121">
        <f>+'PT6'!D52</f>
        <v>0</v>
      </c>
      <c r="P53" s="103" t="str">
        <f>LEFT('PT7'!C52,6)</f>
        <v>C2-241</v>
      </c>
      <c r="Q53" s="121">
        <f>+'PT7'!D52</f>
        <v>-25388</v>
      </c>
    </row>
    <row r="54" spans="2:17" x14ac:dyDescent="0.3">
      <c r="B54" s="103" t="str">
        <f>LEFT('PT3'!C53,6)</f>
        <v/>
      </c>
      <c r="C54" s="121" t="str">
        <f>+'PT3'!D53</f>
        <v/>
      </c>
      <c r="D54" s="103"/>
      <c r="F54" s="103" t="str">
        <f>LEFT('PT4'!C53,6)</f>
        <v/>
      </c>
      <c r="G54" s="121" t="str">
        <f>+'PT4'!D53</f>
        <v/>
      </c>
      <c r="H54" s="103"/>
      <c r="J54" s="103" t="str">
        <f>LEFT('PT5'!C53,6)</f>
        <v/>
      </c>
      <c r="K54" s="121" t="str">
        <f>+'PT5'!D53</f>
        <v/>
      </c>
      <c r="M54" s="103" t="str">
        <f>LEFT('PT6'!C53,6)</f>
        <v>A-2501</v>
      </c>
      <c r="N54" s="121">
        <f>+'PT6'!D53</f>
        <v>0</v>
      </c>
      <c r="P54" s="103" t="str">
        <f>LEFT('PT7'!C53,6)</f>
        <v>C3-211</v>
      </c>
      <c r="Q54" s="121">
        <f>+'PT7'!D53</f>
        <v>-98504</v>
      </c>
    </row>
    <row r="55" spans="2:17" x14ac:dyDescent="0.3">
      <c r="B55" s="103" t="str">
        <f>LEFT('PT3'!C54,6)</f>
        <v/>
      </c>
      <c r="C55" s="121" t="str">
        <f>+'PT3'!D54</f>
        <v/>
      </c>
      <c r="D55" s="103"/>
      <c r="F55" s="103" t="str">
        <f>LEFT('PT4'!C54,6)</f>
        <v/>
      </c>
      <c r="G55" s="121" t="str">
        <f>+'PT4'!D54</f>
        <v/>
      </c>
      <c r="H55" s="103"/>
      <c r="J55" s="103" t="str">
        <f>LEFT('PT5'!C54,6)</f>
        <v/>
      </c>
      <c r="K55" s="121" t="str">
        <f>+'PT5'!D54</f>
        <v/>
      </c>
      <c r="M55" s="103" t="str">
        <f>LEFT('PT6'!C54,6)</f>
        <v>A-2502</v>
      </c>
      <c r="N55" s="121">
        <f>+'PT6'!D54</f>
        <v>0</v>
      </c>
      <c r="P55" s="103" t="str">
        <f>LEFT('PT7'!C54,6)</f>
        <v>C3-221</v>
      </c>
      <c r="Q55" s="121">
        <f>+'PT7'!D54</f>
        <v>-12694</v>
      </c>
    </row>
    <row r="56" spans="2:17" x14ac:dyDescent="0.3">
      <c r="B56" s="103" t="str">
        <f>LEFT('PT3'!C55,6)</f>
        <v/>
      </c>
      <c r="C56" s="121" t="str">
        <f>+'PT3'!D55</f>
        <v/>
      </c>
      <c r="D56" s="103"/>
      <c r="F56" s="103" t="str">
        <f>LEFT('PT4'!C55,6)</f>
        <v/>
      </c>
      <c r="G56" s="121" t="str">
        <f>+'PT4'!D55</f>
        <v/>
      </c>
      <c r="H56" s="103"/>
      <c r="J56" s="103" t="str">
        <f>LEFT('PT5'!C55,6)</f>
        <v/>
      </c>
      <c r="K56" s="121" t="str">
        <f>+'PT5'!D55</f>
        <v/>
      </c>
      <c r="M56" s="103" t="str">
        <f>LEFT('PT6'!C55,6)</f>
        <v>A-PH01</v>
      </c>
      <c r="N56" s="121">
        <f>+'PT6'!D55</f>
        <v>0</v>
      </c>
      <c r="P56" s="103" t="str">
        <f>LEFT('PT7'!C55,6)</f>
        <v>C3-201</v>
      </c>
      <c r="Q56" s="121">
        <f>+'PT7'!D55</f>
        <v>-25388</v>
      </c>
    </row>
    <row r="57" spans="2:17" x14ac:dyDescent="0.3">
      <c r="B57" s="103" t="str">
        <f>LEFT('PT3'!C56,6)</f>
        <v/>
      </c>
      <c r="C57" s="121" t="str">
        <f>+'PT3'!D56</f>
        <v/>
      </c>
      <c r="D57" s="103"/>
      <c r="F57" s="103" t="str">
        <f>LEFT('PT4'!C56,6)</f>
        <v/>
      </c>
      <c r="G57" s="121" t="str">
        <f>+'PT4'!D56</f>
        <v/>
      </c>
      <c r="H57" s="103"/>
      <c r="J57" s="103" t="str">
        <f>LEFT('PT5'!C56,6)</f>
        <v/>
      </c>
      <c r="K57" s="121" t="str">
        <f>+'PT5'!D56</f>
        <v/>
      </c>
      <c r="M57" s="103" t="str">
        <f>LEFT('PT6'!C56,6)</f>
        <v>O1-103</v>
      </c>
      <c r="N57" s="121">
        <f>+'PT6'!D56</f>
        <v>0</v>
      </c>
      <c r="P57" s="103" t="str">
        <f>LEFT('PT7'!C56,6)</f>
        <v>C3-221</v>
      </c>
      <c r="Q57" s="121">
        <f>+'PT7'!D56</f>
        <v>-98504</v>
      </c>
    </row>
    <row r="58" spans="2:17" x14ac:dyDescent="0.3">
      <c r="B58" s="103" t="str">
        <f>LEFT('PT3'!C57,6)</f>
        <v/>
      </c>
      <c r="C58" s="121" t="str">
        <f>+'PT3'!D57</f>
        <v/>
      </c>
      <c r="D58" s="103"/>
      <c r="F58" s="103" t="str">
        <f>LEFT('PT4'!C57,6)</f>
        <v/>
      </c>
      <c r="G58" s="121" t="str">
        <f>+'PT4'!D57</f>
        <v/>
      </c>
      <c r="H58" s="103"/>
      <c r="J58" s="103" t="str">
        <f>LEFT('PT5'!C57,6)</f>
        <v/>
      </c>
      <c r="K58" s="121" t="str">
        <f>+'PT5'!D57</f>
        <v/>
      </c>
      <c r="M58" s="103" t="str">
        <f>LEFT('PT6'!C57,6)</f>
        <v>O1-104</v>
      </c>
      <c r="N58" s="121">
        <f>+'PT6'!D57</f>
        <v>0</v>
      </c>
      <c r="P58" s="103" t="str">
        <f>LEFT('PT7'!C57,6)</f>
        <v>O1-110</v>
      </c>
      <c r="Q58" s="121">
        <f>+'PT7'!D57</f>
        <v>-112694</v>
      </c>
    </row>
    <row r="59" spans="2:17" x14ac:dyDescent="0.3">
      <c r="B59" s="103" t="str">
        <f>LEFT('PT3'!C58,6)</f>
        <v/>
      </c>
      <c r="C59" s="121" t="str">
        <f>+'PT3'!D58</f>
        <v/>
      </c>
      <c r="D59" s="103"/>
      <c r="F59" s="103" t="str">
        <f>LEFT('PT4'!C58,6)</f>
        <v/>
      </c>
      <c r="G59" s="121" t="str">
        <f>+'PT4'!D58</f>
        <v/>
      </c>
      <c r="H59" s="103"/>
      <c r="J59" s="103" t="str">
        <f>LEFT('PT5'!C58,6)</f>
        <v/>
      </c>
      <c r="K59" s="121" t="str">
        <f>+'PT5'!D58</f>
        <v/>
      </c>
      <c r="M59" s="103" t="str">
        <f>LEFT('PT6'!C58,6)</f>
        <v>O1-203</v>
      </c>
      <c r="N59" s="121">
        <f>+'PT6'!D58</f>
        <v>0</v>
      </c>
      <c r="P59" s="103" t="str">
        <f>LEFT('PT7'!C58,6)</f>
        <v>O1-150</v>
      </c>
      <c r="Q59" s="121">
        <f>+'PT7'!D58</f>
        <v>-98504</v>
      </c>
    </row>
    <row r="60" spans="2:17" x14ac:dyDescent="0.3">
      <c r="B60" s="103" t="str">
        <f>LEFT('PT3'!C59,6)</f>
        <v/>
      </c>
      <c r="C60" s="121" t="str">
        <f>+'PT3'!D59</f>
        <v/>
      </c>
      <c r="D60" s="103"/>
      <c r="F60" s="103" t="str">
        <f>LEFT('PT4'!C59,6)</f>
        <v/>
      </c>
      <c r="G60" s="121" t="str">
        <f>+'PT4'!D59</f>
        <v/>
      </c>
      <c r="H60" s="103"/>
      <c r="J60" s="103" t="str">
        <f>LEFT('PT5'!C59,6)</f>
        <v/>
      </c>
      <c r="K60" s="121" t="str">
        <f>+'PT5'!D59</f>
        <v/>
      </c>
      <c r="M60" s="103" t="str">
        <f>LEFT('PT6'!C59,6)</f>
        <v>O1-204</v>
      </c>
      <c r="N60" s="121">
        <f>+'PT6'!D59</f>
        <v>0</v>
      </c>
      <c r="P60" s="103" t="str">
        <f>LEFT('PT7'!C59,6)</f>
        <v>C1-130</v>
      </c>
      <c r="Q60" s="121">
        <f>+'PT7'!D59</f>
        <v>-12694</v>
      </c>
    </row>
    <row r="61" spans="2:17" x14ac:dyDescent="0.3">
      <c r="B61" s="103" t="str">
        <f>LEFT('PT3'!C60,6)</f>
        <v/>
      </c>
      <c r="C61" s="121" t="str">
        <f>+'PT3'!D60</f>
        <v/>
      </c>
      <c r="D61" s="103"/>
      <c r="F61" s="103" t="str">
        <f>LEFT('PT4'!C60,6)</f>
        <v/>
      </c>
      <c r="G61" s="121" t="str">
        <f>+'PT4'!D60</f>
        <v/>
      </c>
      <c r="H61" s="103"/>
      <c r="J61" s="103" t="str">
        <f>LEFT('PT5'!C60,6)</f>
        <v/>
      </c>
      <c r="K61" s="121" t="str">
        <f>+'PT5'!D60</f>
        <v/>
      </c>
      <c r="M61" s="103" t="str">
        <f>LEFT('PT6'!C60,6)</f>
        <v>O1-303</v>
      </c>
      <c r="N61" s="121">
        <f>+'PT6'!D60</f>
        <v>0</v>
      </c>
      <c r="P61" s="103" t="str">
        <f>LEFT('PT7'!C60,6)</f>
        <v>C3-171</v>
      </c>
      <c r="Q61" s="121">
        <f>+'PT7'!D60</f>
        <v>-25388</v>
      </c>
    </row>
    <row r="62" spans="2:17" x14ac:dyDescent="0.3">
      <c r="B62" s="103" t="str">
        <f>LEFT('PT3'!C61,6)</f>
        <v/>
      </c>
      <c r="C62" s="121" t="str">
        <f>+'PT3'!D61</f>
        <v/>
      </c>
      <c r="D62" s="103"/>
      <c r="F62" s="103" t="str">
        <f>LEFT('PT4'!C61,6)</f>
        <v/>
      </c>
      <c r="G62" s="121" t="str">
        <f>+'PT4'!D61</f>
        <v/>
      </c>
      <c r="H62" s="103"/>
      <c r="J62" s="103" t="str">
        <f>LEFT('PT5'!C61,6)</f>
        <v/>
      </c>
      <c r="K62" s="121" t="str">
        <f>+'PT5'!D61</f>
        <v/>
      </c>
      <c r="M62" s="103" t="str">
        <f>LEFT('PT6'!C61,6)</f>
        <v>O1-304</v>
      </c>
      <c r="N62" s="121">
        <f>+'PT6'!D61</f>
        <v>0</v>
      </c>
      <c r="P62" s="103" t="str">
        <f>LEFT('PT7'!C61,6)</f>
        <v>C3-PH1</v>
      </c>
      <c r="Q62" s="121">
        <f>+'PT7'!D61</f>
        <v>-98504</v>
      </c>
    </row>
    <row r="63" spans="2:17" x14ac:dyDescent="0.3">
      <c r="B63" s="103" t="str">
        <f>LEFT('PT3'!C62,6)</f>
        <v/>
      </c>
      <c r="C63" s="121" t="str">
        <f>+'PT3'!D62</f>
        <v/>
      </c>
      <c r="D63" s="103"/>
      <c r="F63" s="103" t="str">
        <f>LEFT('PT4'!C62,6)</f>
        <v/>
      </c>
      <c r="G63" s="121" t="str">
        <f>+'PT4'!D62</f>
        <v/>
      </c>
      <c r="H63" s="103"/>
      <c r="J63" s="103" t="str">
        <f>LEFT('PT5'!C62,6)</f>
        <v/>
      </c>
      <c r="K63" s="121" t="str">
        <f>+'PT5'!D62</f>
        <v/>
      </c>
      <c r="M63" s="103" t="str">
        <f>LEFT('PT6'!C62,6)</f>
        <v>O1-504</v>
      </c>
      <c r="N63" s="121">
        <f>+'PT6'!D62</f>
        <v>0</v>
      </c>
      <c r="P63" s="103" t="str">
        <f>LEFT('PT7'!C62,6)</f>
        <v>C3-PH1</v>
      </c>
      <c r="Q63" s="121">
        <f>+'PT7'!D62</f>
        <v>-98504</v>
      </c>
    </row>
    <row r="64" spans="2:17" x14ac:dyDescent="0.3">
      <c r="B64" s="103" t="str">
        <f>LEFT('PT3'!C63,6)</f>
        <v/>
      </c>
      <c r="C64" s="121" t="str">
        <f>+'PT3'!D63</f>
        <v/>
      </c>
      <c r="D64" s="103"/>
      <c r="F64" s="103" t="str">
        <f>LEFT('PT4'!C63,6)</f>
        <v/>
      </c>
      <c r="G64" s="121" t="str">
        <f>+'PT4'!D63</f>
        <v/>
      </c>
      <c r="H64" s="103"/>
      <c r="J64" s="103" t="str">
        <f>LEFT('PT5'!C63,6)</f>
        <v/>
      </c>
      <c r="K64" s="121" t="str">
        <f>+'PT5'!D63</f>
        <v/>
      </c>
      <c r="M64" s="103" t="str">
        <f>LEFT('PT6'!C63,6)</f>
        <v>O1-603</v>
      </c>
      <c r="N64" s="121">
        <f>+'PT6'!D63</f>
        <v>0</v>
      </c>
      <c r="P64" s="103" t="str">
        <f>LEFT('PT7'!C63,6)</f>
        <v>A-1701</v>
      </c>
      <c r="Q64" s="121">
        <f>+'PT7'!D63</f>
        <v>-98504</v>
      </c>
    </row>
    <row r="65" spans="2:17" x14ac:dyDescent="0.3">
      <c r="B65" s="103" t="str">
        <f>LEFT('PT3'!C64,6)</f>
        <v/>
      </c>
      <c r="C65" s="121" t="str">
        <f>+'PT3'!D64</f>
        <v/>
      </c>
      <c r="D65" s="103"/>
      <c r="F65" s="103" t="str">
        <f>LEFT('PT4'!C64,6)</f>
        <v/>
      </c>
      <c r="G65" s="121" t="str">
        <f>+'PT4'!D64</f>
        <v/>
      </c>
      <c r="H65" s="103"/>
      <c r="J65" s="103" t="str">
        <f>LEFT('PT5'!C64,6)</f>
        <v/>
      </c>
      <c r="K65" s="121" t="str">
        <f>+'PT5'!D64</f>
        <v/>
      </c>
      <c r="M65" s="103" t="str">
        <f>LEFT('PT6'!C64,6)</f>
        <v>O1-703</v>
      </c>
      <c r="N65" s="121">
        <f>+'PT6'!D64</f>
        <v>0</v>
      </c>
      <c r="P65" s="103" t="str">
        <f>LEFT('PT7'!C64,6)</f>
        <v/>
      </c>
      <c r="Q65" s="121" t="str">
        <f>+'PT7'!D64</f>
        <v/>
      </c>
    </row>
    <row r="66" spans="2:17" x14ac:dyDescent="0.3">
      <c r="B66" s="103" t="str">
        <f>LEFT('PT3'!C65,6)</f>
        <v/>
      </c>
      <c r="C66" s="121" t="str">
        <f>+'PT3'!D65</f>
        <v/>
      </c>
      <c r="D66" s="103"/>
      <c r="F66" s="103" t="str">
        <f>LEFT('PT4'!C65,6)</f>
        <v/>
      </c>
      <c r="G66" s="121" t="str">
        <f>+'PT4'!D65</f>
        <v/>
      </c>
      <c r="H66" s="103"/>
      <c r="J66" s="103" t="str">
        <f>LEFT('PT5'!C65,6)</f>
        <v/>
      </c>
      <c r="K66" s="121" t="str">
        <f>+'PT5'!D65</f>
        <v/>
      </c>
      <c r="M66" s="103" t="str">
        <f>LEFT('PT6'!C65,6)</f>
        <v>O1-803</v>
      </c>
      <c r="N66" s="121">
        <f>+'PT6'!D65</f>
        <v>0</v>
      </c>
      <c r="P66" s="103" t="str">
        <f>LEFT('PT7'!C65,6)</f>
        <v/>
      </c>
      <c r="Q66" s="121" t="str">
        <f>+'PT7'!D65</f>
        <v/>
      </c>
    </row>
    <row r="67" spans="2:17" x14ac:dyDescent="0.3">
      <c r="B67" s="103" t="str">
        <f>LEFT('PT3'!C66,6)</f>
        <v/>
      </c>
      <c r="C67" s="121" t="str">
        <f>+'PT3'!D66</f>
        <v/>
      </c>
      <c r="D67" s="103"/>
      <c r="F67" s="103" t="str">
        <f>LEFT('PT4'!C66,6)</f>
        <v/>
      </c>
      <c r="G67" s="121" t="str">
        <f>+'PT4'!D66</f>
        <v/>
      </c>
      <c r="H67" s="103"/>
      <c r="J67" s="103" t="str">
        <f>LEFT('PT5'!C66,6)</f>
        <v/>
      </c>
      <c r="K67" s="121" t="str">
        <f>+'PT5'!D66</f>
        <v/>
      </c>
      <c r="M67" s="103" t="str">
        <f>LEFT('PT6'!C66,6)</f>
        <v>O1-903</v>
      </c>
      <c r="N67" s="121">
        <f>+'PT6'!D66</f>
        <v>0</v>
      </c>
      <c r="P67" s="103" t="str">
        <f>LEFT('PT7'!C66,6)</f>
        <v/>
      </c>
      <c r="Q67" s="121" t="str">
        <f>+'PT7'!D66</f>
        <v/>
      </c>
    </row>
    <row r="68" spans="2:17" x14ac:dyDescent="0.3">
      <c r="B68" s="103" t="str">
        <f>LEFT('PT3'!C67,6)</f>
        <v/>
      </c>
      <c r="C68" s="121" t="str">
        <f>+'PT3'!D67</f>
        <v/>
      </c>
      <c r="D68" s="103"/>
      <c r="F68" s="103" t="str">
        <f>LEFT('PT4'!C67,6)</f>
        <v/>
      </c>
      <c r="G68" s="121" t="str">
        <f>+'PT4'!D67</f>
        <v/>
      </c>
      <c r="H68" s="103"/>
      <c r="J68" s="103" t="str">
        <f>LEFT('PT5'!C67,6)</f>
        <v/>
      </c>
      <c r="K68" s="121" t="str">
        <f>+'PT5'!D67</f>
        <v/>
      </c>
      <c r="M68" s="103" t="str">
        <f>LEFT('PT6'!C67,6)</f>
        <v>O1-904</v>
      </c>
      <c r="N68" s="121">
        <f>+'PT6'!D67</f>
        <v>0</v>
      </c>
      <c r="P68" s="103" t="str">
        <f>LEFT('PT7'!C67,6)</f>
        <v/>
      </c>
      <c r="Q68" s="121" t="str">
        <f>+'PT7'!D67</f>
        <v/>
      </c>
    </row>
    <row r="69" spans="2:17" x14ac:dyDescent="0.3">
      <c r="B69" s="103" t="str">
        <f>LEFT('PT3'!C68,6)</f>
        <v/>
      </c>
      <c r="C69" s="121" t="str">
        <f>+'PT3'!D68</f>
        <v/>
      </c>
      <c r="D69" s="103"/>
      <c r="F69" s="103" t="str">
        <f>LEFT('PT4'!C68,6)</f>
        <v/>
      </c>
      <c r="G69" s="121" t="str">
        <f>+'PT4'!D68</f>
        <v/>
      </c>
      <c r="H69" s="103"/>
      <c r="J69" s="103" t="str">
        <f>LEFT('PT5'!C68,6)</f>
        <v/>
      </c>
      <c r="K69" s="121" t="str">
        <f>+'PT5'!D68</f>
        <v/>
      </c>
      <c r="M69" s="103" t="str">
        <f>LEFT('PT6'!C68,6)</f>
        <v>O1-110</v>
      </c>
      <c r="N69" s="121">
        <f>+'PT6'!D68</f>
        <v>0</v>
      </c>
      <c r="P69" s="103" t="str">
        <f>LEFT('PT7'!C68,6)</f>
        <v/>
      </c>
      <c r="Q69" s="121" t="str">
        <f>+'PT7'!D68</f>
        <v/>
      </c>
    </row>
    <row r="70" spans="2:17" x14ac:dyDescent="0.3">
      <c r="B70" s="103" t="str">
        <f>LEFT('PT3'!C69,6)</f>
        <v/>
      </c>
      <c r="C70" s="121" t="str">
        <f>+'PT3'!D69</f>
        <v/>
      </c>
      <c r="D70" s="103"/>
      <c r="F70" s="103" t="str">
        <f>LEFT('PT4'!C69,6)</f>
        <v/>
      </c>
      <c r="G70" s="121" t="str">
        <f>+'PT4'!D69</f>
        <v/>
      </c>
      <c r="H70" s="103"/>
      <c r="J70" s="103" t="str">
        <f>LEFT('PT5'!C69,6)</f>
        <v/>
      </c>
      <c r="K70" s="121" t="str">
        <f>+'PT5'!D69</f>
        <v/>
      </c>
      <c r="M70" s="103" t="str">
        <f>LEFT('PT6'!C69,6)</f>
        <v>O1-130</v>
      </c>
      <c r="N70" s="121">
        <f>+'PT6'!D69</f>
        <v>0</v>
      </c>
      <c r="P70" s="103" t="str">
        <f>LEFT('PT7'!C69,6)</f>
        <v/>
      </c>
      <c r="Q70" s="121" t="str">
        <f>+'PT7'!D69</f>
        <v/>
      </c>
    </row>
    <row r="71" spans="2:17" x14ac:dyDescent="0.3">
      <c r="B71" s="103" t="str">
        <f>LEFT('PT3'!C70,6)</f>
        <v/>
      </c>
      <c r="C71" s="121" t="str">
        <f>+'PT3'!D70</f>
        <v/>
      </c>
      <c r="D71" s="103"/>
      <c r="F71" s="103" t="str">
        <f>LEFT('PT4'!C70,6)</f>
        <v/>
      </c>
      <c r="G71" s="121" t="str">
        <f>+'PT4'!D70</f>
        <v/>
      </c>
      <c r="H71" s="103"/>
      <c r="J71" s="103" t="str">
        <f>LEFT('PT5'!C70,6)</f>
        <v/>
      </c>
      <c r="K71" s="121" t="str">
        <f>+'PT5'!D70</f>
        <v/>
      </c>
      <c r="M71" s="103" t="str">
        <f>LEFT('PT6'!C70,6)</f>
        <v>O1-130</v>
      </c>
      <c r="N71" s="121">
        <f>+'PT6'!D70</f>
        <v>0</v>
      </c>
      <c r="P71" s="103" t="str">
        <f>LEFT('PT7'!C70,6)</f>
        <v/>
      </c>
      <c r="Q71" s="121" t="str">
        <f>+'PT7'!D70</f>
        <v/>
      </c>
    </row>
    <row r="72" spans="2:17" x14ac:dyDescent="0.3">
      <c r="B72" s="103" t="str">
        <f>LEFT('PT3'!C71,6)</f>
        <v/>
      </c>
      <c r="C72" s="121" t="str">
        <f>+'PT3'!D71</f>
        <v/>
      </c>
      <c r="D72" s="103"/>
      <c r="F72" s="103" t="str">
        <f>LEFT('PT4'!C71,6)</f>
        <v/>
      </c>
      <c r="G72" s="121" t="str">
        <f>+'PT4'!D71</f>
        <v/>
      </c>
      <c r="H72" s="103"/>
      <c r="J72" s="103" t="str">
        <f>LEFT('PT5'!C71,6)</f>
        <v/>
      </c>
      <c r="K72" s="121" t="str">
        <f>+'PT5'!D71</f>
        <v/>
      </c>
      <c r="M72" s="103" t="str">
        <f>LEFT('PT6'!C71,6)</f>
        <v>O1-140</v>
      </c>
      <c r="N72" s="121">
        <f>+'PT6'!D71</f>
        <v>0</v>
      </c>
      <c r="P72" s="103" t="str">
        <f>LEFT('PT7'!C71,6)</f>
        <v/>
      </c>
      <c r="Q72" s="121" t="str">
        <f>+'PT7'!D71</f>
        <v/>
      </c>
    </row>
    <row r="73" spans="2:17" x14ac:dyDescent="0.3">
      <c r="B73" s="103" t="str">
        <f>LEFT('PT3'!C72,6)</f>
        <v/>
      </c>
      <c r="C73" s="121" t="str">
        <f>+'PT3'!D72</f>
        <v/>
      </c>
      <c r="D73" s="103"/>
      <c r="F73" s="103" t="str">
        <f>LEFT('PT4'!C72,6)</f>
        <v/>
      </c>
      <c r="G73" s="121" t="str">
        <f>+'PT4'!D72</f>
        <v/>
      </c>
      <c r="H73" s="103"/>
      <c r="J73" s="103" t="str">
        <f>LEFT('PT5'!C72,6)</f>
        <v/>
      </c>
      <c r="K73" s="121" t="str">
        <f>+'PT5'!D72</f>
        <v/>
      </c>
      <c r="M73" s="103" t="str">
        <f>LEFT('PT6'!C72,6)</f>
        <v>O1-150</v>
      </c>
      <c r="N73" s="121">
        <f>+'PT6'!D72</f>
        <v>0</v>
      </c>
      <c r="P73" s="103" t="str">
        <f>LEFT('PT7'!C72,6)</f>
        <v/>
      </c>
      <c r="Q73" s="121" t="str">
        <f>+'PT7'!D72</f>
        <v/>
      </c>
    </row>
    <row r="74" spans="2:17" x14ac:dyDescent="0.3">
      <c r="B74" s="103" t="str">
        <f>LEFT('PT3'!C73,6)</f>
        <v/>
      </c>
      <c r="C74" s="121" t="str">
        <f>+'PT3'!D73</f>
        <v/>
      </c>
      <c r="D74" s="103"/>
      <c r="F74" s="103" t="str">
        <f>LEFT('PT4'!C73,6)</f>
        <v/>
      </c>
      <c r="G74" s="121" t="str">
        <f>+'PT4'!D73</f>
        <v/>
      </c>
      <c r="H74" s="103"/>
      <c r="J74" s="103" t="str">
        <f>LEFT('PT5'!C73,6)</f>
        <v/>
      </c>
      <c r="K74" s="121" t="str">
        <f>+'PT5'!D73</f>
        <v/>
      </c>
      <c r="M74" s="103" t="str">
        <f>LEFT('PT6'!C73,6)</f>
        <v>O1-160</v>
      </c>
      <c r="N74" s="121">
        <f>+'PT6'!D73</f>
        <v>0</v>
      </c>
      <c r="P74" s="103" t="str">
        <f>LEFT('PT7'!C73,6)</f>
        <v/>
      </c>
      <c r="Q74" s="121" t="str">
        <f>+'PT7'!D73</f>
        <v/>
      </c>
    </row>
    <row r="75" spans="2:17" x14ac:dyDescent="0.3">
      <c r="B75" s="103" t="str">
        <f>LEFT('PT3'!C74,6)</f>
        <v/>
      </c>
      <c r="C75" s="121" t="str">
        <f>+'PT3'!D74</f>
        <v/>
      </c>
      <c r="D75" s="103"/>
      <c r="F75" s="103" t="str">
        <f>LEFT('PT4'!C74,6)</f>
        <v/>
      </c>
      <c r="G75" s="121" t="str">
        <f>+'PT4'!D74</f>
        <v/>
      </c>
      <c r="H75" s="103"/>
      <c r="J75" s="103" t="str">
        <f>LEFT('PT5'!C74,6)</f>
        <v/>
      </c>
      <c r="K75" s="121" t="str">
        <f>+'PT5'!D74</f>
        <v/>
      </c>
      <c r="M75" s="103" t="str">
        <f>LEFT('PT6'!C74,6)</f>
        <v>O1-160</v>
      </c>
      <c r="N75" s="121">
        <f>+'PT6'!D74</f>
        <v>0</v>
      </c>
      <c r="P75" s="103" t="str">
        <f>LEFT('PT7'!C74,6)</f>
        <v/>
      </c>
      <c r="Q75" s="121" t="str">
        <f>+'PT7'!D74</f>
        <v/>
      </c>
    </row>
    <row r="76" spans="2:17" x14ac:dyDescent="0.3">
      <c r="B76" s="103" t="str">
        <f>LEFT('PT3'!C75,6)</f>
        <v/>
      </c>
      <c r="C76" s="121" t="str">
        <f>+'PT3'!D75</f>
        <v/>
      </c>
      <c r="D76" s="103"/>
      <c r="F76" s="103" t="str">
        <f>LEFT('PT4'!C75,6)</f>
        <v/>
      </c>
      <c r="G76" s="121" t="str">
        <f>+'PT4'!D75</f>
        <v/>
      </c>
      <c r="H76" s="103"/>
      <c r="J76" s="103" t="str">
        <f>LEFT('PT5'!C75,6)</f>
        <v/>
      </c>
      <c r="K76" s="121" t="str">
        <f>+'PT5'!D75</f>
        <v/>
      </c>
      <c r="M76" s="103" t="str">
        <f>LEFT('PT6'!C75,6)</f>
        <v>O1-170</v>
      </c>
      <c r="N76" s="121">
        <f>+'PT6'!D75</f>
        <v>0</v>
      </c>
      <c r="P76" s="103" t="str">
        <f>LEFT('PT7'!C75,6)</f>
        <v/>
      </c>
      <c r="Q76" s="121" t="str">
        <f>+'PT7'!D75</f>
        <v/>
      </c>
    </row>
    <row r="77" spans="2:17" x14ac:dyDescent="0.3">
      <c r="B77" s="103" t="str">
        <f>LEFT('PT3'!C76,6)</f>
        <v/>
      </c>
      <c r="C77" s="121" t="str">
        <f>+'PT3'!D76</f>
        <v/>
      </c>
      <c r="D77" s="103"/>
      <c r="F77" s="103" t="str">
        <f>LEFT('PT4'!C76,6)</f>
        <v/>
      </c>
      <c r="G77" s="121" t="str">
        <f>+'PT4'!D76</f>
        <v/>
      </c>
      <c r="H77" s="103"/>
      <c r="J77" s="103" t="str">
        <f>LEFT('PT5'!C76,6)</f>
        <v/>
      </c>
      <c r="K77" s="121" t="str">
        <f>+'PT5'!D76</f>
        <v/>
      </c>
      <c r="M77" s="103" t="str">
        <f>LEFT('PT6'!C76,6)</f>
        <v>O1-180</v>
      </c>
      <c r="N77" s="121">
        <f>+'PT6'!D76</f>
        <v>0</v>
      </c>
      <c r="P77" s="103" t="str">
        <f>LEFT('PT7'!C76,6)</f>
        <v/>
      </c>
      <c r="Q77" s="121" t="str">
        <f>+'PT7'!D76</f>
        <v/>
      </c>
    </row>
    <row r="78" spans="2:17" x14ac:dyDescent="0.3">
      <c r="B78" s="103" t="str">
        <f>LEFT('PT3'!C77,6)</f>
        <v/>
      </c>
      <c r="C78" s="121" t="str">
        <f>+'PT3'!D77</f>
        <v/>
      </c>
      <c r="D78" s="103"/>
      <c r="F78" s="103" t="str">
        <f>LEFT('PT4'!C77,6)</f>
        <v/>
      </c>
      <c r="G78" s="121" t="str">
        <f>+'PT4'!D77</f>
        <v/>
      </c>
      <c r="H78" s="103"/>
      <c r="J78" s="103" t="str">
        <f>LEFT('PT5'!C77,6)</f>
        <v/>
      </c>
      <c r="K78" s="121" t="str">
        <f>+'PT5'!D77</f>
        <v/>
      </c>
      <c r="M78" s="103" t="str">
        <f>LEFT('PT6'!C77,6)</f>
        <v>O1-190</v>
      </c>
      <c r="N78" s="121">
        <f>+'PT6'!D77</f>
        <v>0</v>
      </c>
      <c r="P78" s="103" t="str">
        <f>LEFT('PT7'!C77,6)</f>
        <v/>
      </c>
      <c r="Q78" s="121" t="str">
        <f>+'PT7'!D77</f>
        <v/>
      </c>
    </row>
    <row r="79" spans="2:17" x14ac:dyDescent="0.3">
      <c r="B79" s="103" t="str">
        <f>LEFT('PT3'!C78,6)</f>
        <v/>
      </c>
      <c r="C79" s="121" t="str">
        <f>+'PT3'!D78</f>
        <v/>
      </c>
      <c r="D79" s="103"/>
      <c r="F79" s="103" t="str">
        <f>LEFT('PT4'!C78,6)</f>
        <v/>
      </c>
      <c r="G79" s="121" t="str">
        <f>+'PT4'!D78</f>
        <v/>
      </c>
      <c r="H79" s="103"/>
      <c r="J79" s="103" t="str">
        <f>LEFT('PT5'!C78,6)</f>
        <v/>
      </c>
      <c r="K79" s="121" t="str">
        <f>+'PT5'!D78</f>
        <v/>
      </c>
      <c r="M79" s="103" t="str">
        <f>LEFT('PT6'!C78,6)</f>
        <v>O1-200</v>
      </c>
      <c r="N79" s="121">
        <f>+'PT6'!D78</f>
        <v>0</v>
      </c>
      <c r="P79" s="103" t="str">
        <f>LEFT('PT7'!C78,6)</f>
        <v/>
      </c>
      <c r="Q79" s="121" t="str">
        <f>+'PT7'!D78</f>
        <v/>
      </c>
    </row>
    <row r="80" spans="2:17" x14ac:dyDescent="0.3">
      <c r="B80" s="103" t="str">
        <f>LEFT('PT3'!C79,6)</f>
        <v/>
      </c>
      <c r="C80" s="121" t="str">
        <f>+'PT3'!D79</f>
        <v/>
      </c>
      <c r="D80" s="103"/>
      <c r="F80" s="103" t="str">
        <f>LEFT('PT4'!C79,6)</f>
        <v/>
      </c>
      <c r="G80" s="121" t="str">
        <f>+'PT4'!D79</f>
        <v/>
      </c>
      <c r="H80" s="103"/>
      <c r="J80" s="103" t="str">
        <f>LEFT('PT5'!C79,6)</f>
        <v/>
      </c>
      <c r="K80" s="121" t="str">
        <f>+'PT5'!D79</f>
        <v/>
      </c>
      <c r="M80" s="103" t="str">
        <f>LEFT('PT6'!C79,6)</f>
        <v>O1-210</v>
      </c>
      <c r="N80" s="121">
        <f>+'PT6'!D79</f>
        <v>0</v>
      </c>
      <c r="P80" s="103" t="str">
        <f>LEFT('PT7'!C79,6)</f>
        <v/>
      </c>
      <c r="Q80" s="121" t="str">
        <f>+'PT7'!D79</f>
        <v/>
      </c>
    </row>
    <row r="81" spans="2:17" x14ac:dyDescent="0.3">
      <c r="B81" s="103" t="str">
        <f>LEFT('PT3'!C80,6)</f>
        <v/>
      </c>
      <c r="C81" s="121" t="str">
        <f>+'PT3'!D80</f>
        <v/>
      </c>
      <c r="D81" s="103"/>
      <c r="F81" s="103" t="str">
        <f>LEFT('PT4'!C80,6)</f>
        <v/>
      </c>
      <c r="G81" s="121" t="str">
        <f>+'PT4'!D80</f>
        <v/>
      </c>
      <c r="H81" s="103"/>
      <c r="J81" s="103" t="str">
        <f>LEFT('PT5'!C80,6)</f>
        <v/>
      </c>
      <c r="K81" s="121" t="str">
        <f>+'PT5'!D80</f>
        <v/>
      </c>
      <c r="M81" s="103" t="str">
        <f>LEFT('PT6'!C80,6)</f>
        <v>O1-210</v>
      </c>
      <c r="N81" s="121">
        <f>+'PT6'!D80</f>
        <v>0</v>
      </c>
      <c r="P81" s="103" t="str">
        <f>LEFT('PT7'!C80,6)</f>
        <v/>
      </c>
      <c r="Q81" s="121" t="str">
        <f>+'PT7'!D80</f>
        <v/>
      </c>
    </row>
    <row r="82" spans="2:17" x14ac:dyDescent="0.3">
      <c r="B82" s="103" t="str">
        <f>LEFT('PT3'!C81,6)</f>
        <v/>
      </c>
      <c r="C82" s="121" t="str">
        <f>+'PT3'!D81</f>
        <v/>
      </c>
      <c r="D82" s="103"/>
      <c r="F82" s="103" t="str">
        <f>LEFT('PT4'!C81,6)</f>
        <v/>
      </c>
      <c r="G82" s="121" t="str">
        <f>+'PT4'!D81</f>
        <v/>
      </c>
      <c r="H82" s="103"/>
      <c r="J82" s="103" t="str">
        <f>LEFT('PT5'!C81,6)</f>
        <v/>
      </c>
      <c r="K82" s="121" t="str">
        <f>+'PT5'!D81</f>
        <v/>
      </c>
      <c r="M82" s="103" t="str">
        <f>LEFT('PT6'!C81,6)</f>
        <v>O1-220</v>
      </c>
      <c r="N82" s="121">
        <f>+'PT6'!D81</f>
        <v>0</v>
      </c>
      <c r="P82" s="103" t="str">
        <f>LEFT('PT7'!C81,6)</f>
        <v/>
      </c>
      <c r="Q82" s="121" t="str">
        <f>+'PT7'!D81</f>
        <v/>
      </c>
    </row>
    <row r="83" spans="2:17" x14ac:dyDescent="0.3">
      <c r="B83" s="103" t="str">
        <f>LEFT('PT3'!C82,6)</f>
        <v/>
      </c>
      <c r="C83" s="121" t="str">
        <f>+'PT3'!D82</f>
        <v/>
      </c>
      <c r="D83" s="103"/>
      <c r="F83" s="103" t="str">
        <f>LEFT('PT4'!C82,6)</f>
        <v/>
      </c>
      <c r="G83" s="121" t="str">
        <f>+'PT4'!D82</f>
        <v/>
      </c>
      <c r="H83" s="103"/>
      <c r="J83" s="103" t="str">
        <f>LEFT('PT5'!C82,6)</f>
        <v/>
      </c>
      <c r="K83" s="121" t="str">
        <f>+'PT5'!D82</f>
        <v/>
      </c>
      <c r="M83" s="103" t="str">
        <f>LEFT('PT6'!C82,6)</f>
        <v>O1-230</v>
      </c>
      <c r="N83" s="121">
        <f>+'PT6'!D82</f>
        <v>0</v>
      </c>
      <c r="P83" s="103" t="str">
        <f>LEFT('PT7'!C82,6)</f>
        <v/>
      </c>
      <c r="Q83" s="121" t="str">
        <f>+'PT7'!D82</f>
        <v/>
      </c>
    </row>
    <row r="84" spans="2:17" x14ac:dyDescent="0.3">
      <c r="B84" s="103" t="str">
        <f>LEFT('PT3'!C83,6)</f>
        <v/>
      </c>
      <c r="C84" s="121" t="str">
        <f>+'PT3'!D83</f>
        <v/>
      </c>
      <c r="D84" s="103"/>
      <c r="F84" s="103" t="str">
        <f>LEFT('PT4'!C83,6)</f>
        <v/>
      </c>
      <c r="G84" s="121" t="str">
        <f>+'PT4'!D83</f>
        <v/>
      </c>
      <c r="H84" s="103"/>
      <c r="J84" s="103" t="str">
        <f>LEFT('PT5'!C83,6)</f>
        <v/>
      </c>
      <c r="K84" s="121" t="str">
        <f>+'PT5'!D83</f>
        <v/>
      </c>
      <c r="M84" s="103" t="str">
        <f>LEFT('PT6'!C83,6)</f>
        <v>O1-240</v>
      </c>
      <c r="N84" s="121">
        <f>+'PT6'!D83</f>
        <v>0</v>
      </c>
      <c r="P84" s="103" t="str">
        <f>LEFT('PT7'!C83,6)</f>
        <v/>
      </c>
      <c r="Q84" s="121" t="str">
        <f>+'PT7'!D83</f>
        <v/>
      </c>
    </row>
    <row r="85" spans="2:17" x14ac:dyDescent="0.3">
      <c r="B85" s="103" t="str">
        <f>LEFT('PT3'!C84,6)</f>
        <v/>
      </c>
      <c r="C85" s="121" t="str">
        <f>+'PT3'!D84</f>
        <v/>
      </c>
      <c r="D85" s="103"/>
      <c r="F85" s="103" t="str">
        <f>LEFT('PT4'!C84,6)</f>
        <v/>
      </c>
      <c r="G85" s="121" t="str">
        <f>+'PT4'!D84</f>
        <v/>
      </c>
      <c r="H85" s="103"/>
      <c r="J85" s="103" t="str">
        <f>LEFT('PT5'!C84,6)</f>
        <v/>
      </c>
      <c r="K85" s="121" t="str">
        <f>+'PT5'!D84</f>
        <v/>
      </c>
      <c r="M85" s="103" t="str">
        <f>LEFT('PT6'!C84,6)</f>
        <v>O1-250</v>
      </c>
      <c r="N85" s="121">
        <f>+'PT6'!D84</f>
        <v>0</v>
      </c>
      <c r="P85" s="103" t="str">
        <f>LEFT('PT7'!C84,6)</f>
        <v/>
      </c>
      <c r="Q85" s="121" t="str">
        <f>+'PT7'!D84</f>
        <v/>
      </c>
    </row>
    <row r="86" spans="2:17" x14ac:dyDescent="0.3">
      <c r="B86" s="103" t="str">
        <f>LEFT('PT3'!C85,6)</f>
        <v/>
      </c>
      <c r="C86" s="121" t="str">
        <f>+'PT3'!D85</f>
        <v/>
      </c>
      <c r="D86" s="103"/>
      <c r="F86" s="103" t="str">
        <f>LEFT('PT4'!C85,6)</f>
        <v/>
      </c>
      <c r="G86" s="121" t="str">
        <f>+'PT4'!D85</f>
        <v/>
      </c>
      <c r="H86" s="103"/>
      <c r="J86" s="103" t="str">
        <f>LEFT('PT5'!C85,6)</f>
        <v/>
      </c>
      <c r="K86" s="121" t="str">
        <f>+'PT5'!D85</f>
        <v/>
      </c>
      <c r="M86" s="103" t="str">
        <f>LEFT('PT6'!C85,6)</f>
        <v>O1-250</v>
      </c>
      <c r="N86" s="121">
        <f>+'PT6'!D85</f>
        <v>0</v>
      </c>
      <c r="P86" s="103" t="str">
        <f>LEFT('PT7'!C85,6)</f>
        <v/>
      </c>
      <c r="Q86" s="121" t="str">
        <f>+'PT7'!D85</f>
        <v/>
      </c>
    </row>
    <row r="87" spans="2:17" x14ac:dyDescent="0.3">
      <c r="B87" s="103" t="str">
        <f>LEFT('PT3'!C86,6)</f>
        <v/>
      </c>
      <c r="C87" s="121" t="str">
        <f>+'PT3'!D86</f>
        <v/>
      </c>
      <c r="D87" s="103"/>
      <c r="F87" s="103" t="str">
        <f>LEFT('PT4'!C86,6)</f>
        <v/>
      </c>
      <c r="G87" s="121" t="str">
        <f>+'PT4'!D86</f>
        <v/>
      </c>
      <c r="H87" s="103"/>
      <c r="J87" s="103" t="str">
        <f>LEFT('PT5'!C86,6)</f>
        <v/>
      </c>
      <c r="K87" s="121" t="str">
        <f>+'PT5'!D86</f>
        <v/>
      </c>
      <c r="M87" s="103" t="str">
        <f>LEFT('PT6'!C86,6)</f>
        <v>O1-PH0</v>
      </c>
      <c r="N87" s="121">
        <f>+'PT6'!D86</f>
        <v>0</v>
      </c>
      <c r="P87" s="103" t="str">
        <f>LEFT('PT7'!C86,6)</f>
        <v/>
      </c>
      <c r="Q87" s="121" t="str">
        <f>+'PT7'!D86</f>
        <v/>
      </c>
    </row>
    <row r="88" spans="2:17" x14ac:dyDescent="0.3">
      <c r="B88" s="103" t="str">
        <f>LEFT('PT3'!C87,6)</f>
        <v/>
      </c>
      <c r="C88" s="121" t="str">
        <f>+'PT3'!D87</f>
        <v/>
      </c>
      <c r="D88" s="103"/>
      <c r="F88" s="103" t="str">
        <f>LEFT('PT4'!C87,6)</f>
        <v/>
      </c>
      <c r="G88" s="121" t="str">
        <f>+'PT4'!D87</f>
        <v/>
      </c>
      <c r="H88" s="103"/>
      <c r="J88" s="103" t="str">
        <f>LEFT('PT5'!C87,6)</f>
        <v/>
      </c>
      <c r="K88" s="121" t="str">
        <f>+'PT5'!D87</f>
        <v/>
      </c>
      <c r="M88" s="103" t="str">
        <f>LEFT('PT6'!C87,6)</f>
        <v>O2-205</v>
      </c>
      <c r="N88" s="121">
        <f>+'PT6'!D87</f>
        <v>0</v>
      </c>
      <c r="P88" s="103" t="str">
        <f>LEFT('PT7'!C87,6)</f>
        <v/>
      </c>
      <c r="Q88" s="121" t="str">
        <f>+'PT7'!D87</f>
        <v/>
      </c>
    </row>
    <row r="89" spans="2:17" x14ac:dyDescent="0.3">
      <c r="B89" s="103" t="str">
        <f>LEFT('PT3'!C88,6)</f>
        <v/>
      </c>
      <c r="C89" s="121" t="str">
        <f>+'PT3'!D88</f>
        <v/>
      </c>
      <c r="D89" s="103"/>
      <c r="F89" s="103" t="str">
        <f>LEFT('PT4'!C88,6)</f>
        <v/>
      </c>
      <c r="G89" s="121" t="str">
        <f>+'PT4'!D88</f>
        <v/>
      </c>
      <c r="H89" s="103"/>
      <c r="J89" s="103" t="str">
        <f>LEFT('PT5'!C88,6)</f>
        <v/>
      </c>
      <c r="K89" s="121" t="str">
        <f>+'PT5'!D88</f>
        <v/>
      </c>
      <c r="M89" s="103" t="str">
        <f>LEFT('PT6'!C88,6)</f>
        <v>O2-306</v>
      </c>
      <c r="N89" s="121">
        <f>+'PT6'!D88</f>
        <v>0</v>
      </c>
      <c r="P89" s="103" t="str">
        <f>LEFT('PT7'!C88,6)</f>
        <v/>
      </c>
      <c r="Q89" s="121" t="str">
        <f>+'PT7'!D88</f>
        <v/>
      </c>
    </row>
    <row r="90" spans="2:17" x14ac:dyDescent="0.3">
      <c r="B90" s="103" t="str">
        <f>LEFT('PT3'!C89,6)</f>
        <v/>
      </c>
      <c r="C90" s="121" t="str">
        <f>+'PT3'!D89</f>
        <v/>
      </c>
      <c r="D90" s="103"/>
      <c r="F90" s="103" t="str">
        <f>LEFT('PT4'!C89,6)</f>
        <v/>
      </c>
      <c r="G90" s="121" t="str">
        <f>+'PT4'!D89</f>
        <v/>
      </c>
      <c r="H90" s="103"/>
      <c r="J90" s="103" t="str">
        <f>LEFT('PT5'!C89,6)</f>
        <v/>
      </c>
      <c r="K90" s="121" t="str">
        <f>+'PT5'!D89</f>
        <v/>
      </c>
      <c r="M90" s="103" t="str">
        <f>LEFT('PT6'!C89,6)</f>
        <v>O2-406</v>
      </c>
      <c r="N90" s="121">
        <f>+'PT6'!D89</f>
        <v>0</v>
      </c>
      <c r="P90" s="103" t="str">
        <f>LEFT('PT7'!C89,6)</f>
        <v/>
      </c>
      <c r="Q90" s="121" t="str">
        <f>+'PT7'!D89</f>
        <v/>
      </c>
    </row>
    <row r="91" spans="2:17" x14ac:dyDescent="0.3">
      <c r="B91" s="103" t="str">
        <f>LEFT('PT3'!C90,6)</f>
        <v/>
      </c>
      <c r="C91" s="121" t="str">
        <f>+'PT3'!D90</f>
        <v/>
      </c>
      <c r="D91" s="103"/>
      <c r="F91" s="103" t="str">
        <f>LEFT('PT4'!C90,6)</f>
        <v/>
      </c>
      <c r="G91" s="121" t="str">
        <f>+'PT4'!D90</f>
        <v/>
      </c>
      <c r="H91" s="103"/>
      <c r="J91" s="103" t="str">
        <f>LEFT('PT5'!C90,6)</f>
        <v/>
      </c>
      <c r="K91" s="121" t="str">
        <f>+'PT5'!D90</f>
        <v/>
      </c>
      <c r="M91" s="103" t="str">
        <f>LEFT('PT6'!C90,6)</f>
        <v>O2-505</v>
      </c>
      <c r="N91" s="121">
        <f>+'PT6'!D90</f>
        <v>0</v>
      </c>
      <c r="P91" s="103" t="str">
        <f>LEFT('PT7'!C90,6)</f>
        <v/>
      </c>
      <c r="Q91" s="121" t="str">
        <f>+'PT7'!D90</f>
        <v/>
      </c>
    </row>
    <row r="92" spans="2:17" x14ac:dyDescent="0.3">
      <c r="B92" s="103" t="str">
        <f>LEFT('PT3'!C91,6)</f>
        <v/>
      </c>
      <c r="C92" s="121" t="str">
        <f>+'PT3'!D91</f>
        <v/>
      </c>
      <c r="D92" s="103"/>
      <c r="F92" s="103" t="str">
        <f>LEFT('PT4'!C91,6)</f>
        <v/>
      </c>
      <c r="G92" s="121" t="str">
        <f>+'PT4'!D91</f>
        <v/>
      </c>
      <c r="H92" s="103"/>
      <c r="J92" s="103" t="str">
        <f>LEFT('PT5'!C91,6)</f>
        <v/>
      </c>
      <c r="K92" s="121" t="str">
        <f>+'PT5'!D91</f>
        <v/>
      </c>
      <c r="M92" s="103" t="str">
        <f>LEFT('PT6'!C91,6)</f>
        <v>O2-605</v>
      </c>
      <c r="N92" s="121">
        <f>+'PT6'!D91</f>
        <v>0</v>
      </c>
      <c r="P92" s="103" t="str">
        <f>LEFT('PT7'!C91,6)</f>
        <v/>
      </c>
      <c r="Q92" s="121" t="str">
        <f>+'PT7'!D91</f>
        <v/>
      </c>
    </row>
    <row r="93" spans="2:17" x14ac:dyDescent="0.3">
      <c r="B93" s="103" t="str">
        <f>LEFT('PT3'!C92,6)</f>
        <v/>
      </c>
      <c r="C93" s="121" t="str">
        <f>+'PT3'!D92</f>
        <v/>
      </c>
      <c r="D93" s="103"/>
      <c r="F93" s="103" t="str">
        <f>LEFT('PT4'!C92,6)</f>
        <v/>
      </c>
      <c r="G93" s="121" t="str">
        <f>+'PT4'!D92</f>
        <v/>
      </c>
      <c r="H93" s="103"/>
      <c r="J93" s="103" t="str">
        <f>LEFT('PT5'!C92,6)</f>
        <v/>
      </c>
      <c r="K93" s="121" t="str">
        <f>+'PT5'!D92</f>
        <v/>
      </c>
      <c r="M93" s="103" t="str">
        <f>LEFT('PT6'!C92,6)</f>
        <v>O2-705</v>
      </c>
      <c r="N93" s="121">
        <f>+'PT6'!D92</f>
        <v>0</v>
      </c>
      <c r="P93" s="103" t="str">
        <f>LEFT('PT7'!C92,6)</f>
        <v/>
      </c>
      <c r="Q93" s="121" t="str">
        <f>+'PT7'!D92</f>
        <v/>
      </c>
    </row>
    <row r="94" spans="2:17" x14ac:dyDescent="0.3">
      <c r="B94" s="103" t="str">
        <f>LEFT('PT3'!C93,6)</f>
        <v/>
      </c>
      <c r="C94" s="121" t="str">
        <f>+'PT3'!D93</f>
        <v/>
      </c>
      <c r="D94" s="103"/>
      <c r="F94" s="103" t="str">
        <f>LEFT('PT4'!C93,6)</f>
        <v/>
      </c>
      <c r="G94" s="121" t="str">
        <f>+'PT4'!D93</f>
        <v/>
      </c>
      <c r="H94" s="103"/>
      <c r="J94" s="103" t="str">
        <f>LEFT('PT5'!C93,6)</f>
        <v/>
      </c>
      <c r="K94" s="121" t="str">
        <f>+'PT5'!D93</f>
        <v/>
      </c>
      <c r="M94" s="103" t="str">
        <f>LEFT('PT6'!C93,6)</f>
        <v>O2-706</v>
      </c>
      <c r="N94" s="121">
        <f>+'PT6'!D93</f>
        <v>0</v>
      </c>
      <c r="P94" s="103" t="str">
        <f>LEFT('PT7'!C93,6)</f>
        <v/>
      </c>
      <c r="Q94" s="121" t="str">
        <f>+'PT7'!D93</f>
        <v/>
      </c>
    </row>
    <row r="95" spans="2:17" x14ac:dyDescent="0.3">
      <c r="B95" s="103" t="str">
        <f>LEFT('PT3'!C94,6)</f>
        <v/>
      </c>
      <c r="C95" s="121" t="str">
        <f>+'PT3'!D94</f>
        <v/>
      </c>
      <c r="D95" s="103"/>
      <c r="F95" s="103" t="str">
        <f>LEFT('PT4'!C94,6)</f>
        <v/>
      </c>
      <c r="G95" s="121" t="str">
        <f>+'PT4'!D94</f>
        <v/>
      </c>
      <c r="H95" s="103"/>
      <c r="J95" s="103" t="str">
        <f>LEFT('PT5'!C94,6)</f>
        <v/>
      </c>
      <c r="K95" s="121" t="str">
        <f>+'PT5'!D94</f>
        <v/>
      </c>
      <c r="M95" s="103" t="str">
        <f>LEFT('PT6'!C94,6)</f>
        <v>O2-805</v>
      </c>
      <c r="N95" s="121">
        <f>+'PT6'!D94</f>
        <v>0</v>
      </c>
      <c r="P95" s="103" t="str">
        <f>LEFT('PT7'!C94,6)</f>
        <v/>
      </c>
      <c r="Q95" s="121" t="str">
        <f>+'PT7'!D94</f>
        <v/>
      </c>
    </row>
    <row r="96" spans="2:17" x14ac:dyDescent="0.3">
      <c r="B96" s="103" t="str">
        <f>LEFT('PT3'!C95,6)</f>
        <v/>
      </c>
      <c r="C96" s="121" t="str">
        <f>+'PT3'!D95</f>
        <v/>
      </c>
      <c r="D96" s="103"/>
      <c r="F96" s="103" t="str">
        <f>LEFT('PT4'!C95,6)</f>
        <v/>
      </c>
      <c r="G96" s="121" t="str">
        <f>+'PT4'!D95</f>
        <v/>
      </c>
      <c r="H96" s="103"/>
      <c r="J96" s="103" t="str">
        <f>LEFT('PT5'!C95,6)</f>
        <v/>
      </c>
      <c r="K96" s="121" t="str">
        <f>+'PT5'!D95</f>
        <v/>
      </c>
      <c r="M96" s="103" t="str">
        <f>LEFT('PT6'!C95,6)</f>
        <v>O2-806</v>
      </c>
      <c r="N96" s="121">
        <f>+'PT6'!D95</f>
        <v>0</v>
      </c>
      <c r="P96" s="103" t="str">
        <f>LEFT('PT7'!C95,6)</f>
        <v/>
      </c>
      <c r="Q96" s="121" t="str">
        <f>+'PT7'!D95</f>
        <v/>
      </c>
    </row>
    <row r="97" spans="2:17" x14ac:dyDescent="0.3">
      <c r="B97" s="103" t="str">
        <f>LEFT('PT3'!C96,6)</f>
        <v/>
      </c>
      <c r="C97" s="121" t="str">
        <f>+'PT3'!D96</f>
        <v/>
      </c>
      <c r="D97" s="103"/>
      <c r="F97" s="103" t="str">
        <f>LEFT('PT4'!C96,6)</f>
        <v/>
      </c>
      <c r="G97" s="121" t="str">
        <f>+'PT4'!D96</f>
        <v/>
      </c>
      <c r="H97" s="103"/>
      <c r="J97" s="103" t="str">
        <f>LEFT('PT5'!C96,6)</f>
        <v/>
      </c>
      <c r="K97" s="121" t="str">
        <f>+'PT5'!D96</f>
        <v/>
      </c>
      <c r="M97" s="103" t="str">
        <f>LEFT('PT6'!C96,6)</f>
        <v>O2-905</v>
      </c>
      <c r="N97" s="121">
        <f>+'PT6'!D96</f>
        <v>0</v>
      </c>
      <c r="P97" s="103" t="str">
        <f>LEFT('PT7'!C96,6)</f>
        <v/>
      </c>
      <c r="Q97" s="121" t="str">
        <f>+'PT7'!D96</f>
        <v/>
      </c>
    </row>
    <row r="98" spans="2:17" x14ac:dyDescent="0.3">
      <c r="B98" s="103" t="str">
        <f>LEFT('PT3'!C97,6)</f>
        <v/>
      </c>
      <c r="C98" s="121" t="str">
        <f>+'PT3'!D97</f>
        <v/>
      </c>
      <c r="D98" s="103"/>
      <c r="F98" s="103" t="str">
        <f>LEFT('PT4'!C97,6)</f>
        <v/>
      </c>
      <c r="G98" s="121" t="str">
        <f>+'PT4'!D97</f>
        <v/>
      </c>
      <c r="H98" s="103"/>
      <c r="J98" s="103" t="str">
        <f>LEFT('PT5'!C97,6)</f>
        <v/>
      </c>
      <c r="K98" s="121" t="str">
        <f>+'PT5'!D97</f>
        <v/>
      </c>
      <c r="M98" s="103" t="str">
        <f>LEFT('PT6'!C97,6)</f>
        <v>O2-906</v>
      </c>
      <c r="N98" s="121">
        <f>+'PT6'!D97</f>
        <v>0</v>
      </c>
      <c r="P98" s="103" t="str">
        <f>LEFT('PT7'!C97,6)</f>
        <v/>
      </c>
      <c r="Q98" s="121" t="str">
        <f>+'PT7'!D97</f>
        <v/>
      </c>
    </row>
    <row r="99" spans="2:17" x14ac:dyDescent="0.3">
      <c r="B99" s="103" t="str">
        <f>LEFT('PT3'!C98,6)</f>
        <v/>
      </c>
      <c r="C99" s="121" t="str">
        <f>+'PT3'!D98</f>
        <v/>
      </c>
      <c r="D99" s="103"/>
      <c r="F99" s="103" t="str">
        <f>LEFT('PT4'!C98,6)</f>
        <v/>
      </c>
      <c r="G99" s="121" t="str">
        <f>+'PT4'!D98</f>
        <v/>
      </c>
      <c r="H99" s="103"/>
      <c r="J99" s="103" t="str">
        <f>LEFT('PT5'!C98,6)</f>
        <v/>
      </c>
      <c r="K99" s="121" t="str">
        <f>+'PT5'!D98</f>
        <v/>
      </c>
      <c r="M99" s="103" t="str">
        <f>LEFT('PT6'!C98,6)</f>
        <v>O2-100</v>
      </c>
      <c r="N99" s="121">
        <f>+'PT6'!D98</f>
        <v>0</v>
      </c>
      <c r="P99" s="103" t="str">
        <f>LEFT('PT7'!C98,6)</f>
        <v/>
      </c>
      <c r="Q99" s="121" t="str">
        <f>+'PT7'!D98</f>
        <v/>
      </c>
    </row>
    <row r="100" spans="2:17" x14ac:dyDescent="0.3">
      <c r="B100" s="103" t="str">
        <f>LEFT('PT3'!C99,6)</f>
        <v/>
      </c>
      <c r="C100" s="121" t="str">
        <f>+'PT3'!D99</f>
        <v/>
      </c>
      <c r="D100" s="103"/>
      <c r="F100" s="103" t="str">
        <f>LEFT('PT4'!C99,6)</f>
        <v/>
      </c>
      <c r="G100" s="121" t="str">
        <f>+'PT4'!D99</f>
        <v/>
      </c>
      <c r="H100" s="103"/>
      <c r="J100" s="103" t="str">
        <f>LEFT('PT5'!C99,6)</f>
        <v/>
      </c>
      <c r="K100" s="121" t="str">
        <f>+'PT5'!D99</f>
        <v/>
      </c>
      <c r="M100" s="103" t="str">
        <f>LEFT('PT6'!C99,6)</f>
        <v>O2-110</v>
      </c>
      <c r="N100" s="121">
        <f>+'PT6'!D99</f>
        <v>0</v>
      </c>
      <c r="P100" s="103" t="str">
        <f>LEFT('PT7'!C99,6)</f>
        <v/>
      </c>
      <c r="Q100" s="121" t="str">
        <f>+'PT7'!D99</f>
        <v/>
      </c>
    </row>
    <row r="101" spans="2:17" x14ac:dyDescent="0.3">
      <c r="B101" s="103" t="str">
        <f>LEFT('PT3'!C100,6)</f>
        <v/>
      </c>
      <c r="C101" s="121" t="str">
        <f>+'PT3'!D100</f>
        <v/>
      </c>
      <c r="D101" s="103"/>
      <c r="F101" s="103" t="str">
        <f>LEFT('PT4'!C100,6)</f>
        <v/>
      </c>
      <c r="G101" s="121" t="str">
        <f>+'PT4'!D100</f>
        <v/>
      </c>
      <c r="H101" s="103"/>
      <c r="J101" s="103" t="str">
        <f>LEFT('PT5'!C100,6)</f>
        <v/>
      </c>
      <c r="K101" s="121" t="str">
        <f>+'PT5'!D100</f>
        <v/>
      </c>
      <c r="M101" s="103" t="str">
        <f>LEFT('PT6'!C100,6)</f>
        <v>O2-130</v>
      </c>
      <c r="N101" s="121">
        <f>+'PT6'!D100</f>
        <v>0</v>
      </c>
      <c r="P101" s="103" t="str">
        <f>LEFT('PT7'!C100,6)</f>
        <v/>
      </c>
      <c r="Q101" s="121" t="str">
        <f>+'PT7'!D100</f>
        <v/>
      </c>
    </row>
    <row r="102" spans="2:17" x14ac:dyDescent="0.3">
      <c r="B102" s="103" t="str">
        <f>LEFT('PT3'!C101,6)</f>
        <v/>
      </c>
      <c r="C102" s="121" t="str">
        <f>+'PT3'!D101</f>
        <v/>
      </c>
      <c r="D102" s="103"/>
      <c r="F102" s="103" t="str">
        <f>LEFT('PT4'!C101,6)</f>
        <v/>
      </c>
      <c r="G102" s="121" t="str">
        <f>+'PT4'!D101</f>
        <v/>
      </c>
      <c r="H102" s="103"/>
      <c r="J102" s="103" t="str">
        <f>LEFT('PT5'!C101,6)</f>
        <v/>
      </c>
      <c r="K102" s="121" t="str">
        <f>+'PT5'!D101</f>
        <v/>
      </c>
      <c r="M102" s="103" t="str">
        <f>LEFT('PT6'!C101,6)</f>
        <v>O2-130</v>
      </c>
      <c r="N102" s="121">
        <f>+'PT6'!D101</f>
        <v>0</v>
      </c>
      <c r="P102" s="103" t="str">
        <f>LEFT('PT7'!C101,6)</f>
        <v/>
      </c>
      <c r="Q102" s="121" t="str">
        <f>+'PT7'!D101</f>
        <v/>
      </c>
    </row>
    <row r="103" spans="2:17" x14ac:dyDescent="0.3">
      <c r="B103" s="103" t="str">
        <f>LEFT('PT3'!C102,6)</f>
        <v/>
      </c>
      <c r="C103" s="121" t="str">
        <f>+'PT3'!D102</f>
        <v/>
      </c>
      <c r="D103" s="103"/>
      <c r="F103" s="103" t="str">
        <f>LEFT('PT4'!C102,6)</f>
        <v/>
      </c>
      <c r="G103" s="121" t="str">
        <f>+'PT4'!D102</f>
        <v/>
      </c>
      <c r="H103" s="103"/>
      <c r="J103" s="103" t="str">
        <f>LEFT('PT5'!C102,6)</f>
        <v/>
      </c>
      <c r="K103" s="121" t="str">
        <f>+'PT5'!D102</f>
        <v/>
      </c>
      <c r="M103" s="103" t="str">
        <f>LEFT('PT6'!C102,6)</f>
        <v>O2-150</v>
      </c>
      <c r="N103" s="121">
        <f>+'PT6'!D102</f>
        <v>0</v>
      </c>
      <c r="P103" s="103" t="str">
        <f>LEFT('PT7'!C102,6)</f>
        <v/>
      </c>
      <c r="Q103" s="121" t="str">
        <f>+'PT7'!D102</f>
        <v/>
      </c>
    </row>
    <row r="104" spans="2:17" x14ac:dyDescent="0.3">
      <c r="B104" s="103" t="str">
        <f>LEFT('PT3'!C103,6)</f>
        <v/>
      </c>
      <c r="C104" s="121" t="str">
        <f>+'PT3'!D103</f>
        <v/>
      </c>
      <c r="D104" s="103"/>
      <c r="F104" s="103" t="str">
        <f>LEFT('PT4'!C103,6)</f>
        <v/>
      </c>
      <c r="G104" s="121" t="str">
        <f>+'PT4'!D103</f>
        <v/>
      </c>
      <c r="H104" s="103"/>
      <c r="J104" s="103" t="str">
        <f>LEFT('PT5'!C103,6)</f>
        <v/>
      </c>
      <c r="K104" s="121" t="str">
        <f>+'PT5'!D103</f>
        <v/>
      </c>
      <c r="M104" s="103" t="str">
        <f>LEFT('PT6'!C103,6)</f>
        <v>O2-160</v>
      </c>
      <c r="N104" s="121">
        <f>+'PT6'!D103</f>
        <v>0</v>
      </c>
      <c r="P104" s="103" t="str">
        <f>LEFT('PT7'!C103,6)</f>
        <v/>
      </c>
      <c r="Q104" s="121" t="str">
        <f>+'PT7'!D103</f>
        <v/>
      </c>
    </row>
    <row r="105" spans="2:17" x14ac:dyDescent="0.3">
      <c r="B105" s="103" t="str">
        <f>LEFT('PT3'!C104,6)</f>
        <v/>
      </c>
      <c r="C105" s="121" t="str">
        <f>+'PT3'!D104</f>
        <v/>
      </c>
      <c r="D105" s="103"/>
      <c r="F105" s="103" t="str">
        <f>LEFT('PT4'!C104,6)</f>
        <v/>
      </c>
      <c r="G105" s="121" t="str">
        <f>+'PT4'!D104</f>
        <v/>
      </c>
      <c r="H105" s="103"/>
      <c r="J105" s="103" t="str">
        <f>LEFT('PT5'!C104,6)</f>
        <v/>
      </c>
      <c r="K105" s="121" t="str">
        <f>+'PT5'!D104</f>
        <v/>
      </c>
      <c r="M105" s="103" t="str">
        <f>LEFT('PT6'!C104,6)</f>
        <v>O2-160</v>
      </c>
      <c r="N105" s="121">
        <f>+'PT6'!D104</f>
        <v>0</v>
      </c>
      <c r="P105" s="103" t="str">
        <f>LEFT('PT7'!C104,6)</f>
        <v/>
      </c>
      <c r="Q105" s="121" t="str">
        <f>+'PT7'!D104</f>
        <v/>
      </c>
    </row>
    <row r="106" spans="2:17" x14ac:dyDescent="0.3">
      <c r="B106" s="103" t="str">
        <f>LEFT('PT3'!C105,6)</f>
        <v/>
      </c>
      <c r="C106" s="121" t="str">
        <f>+'PT3'!D105</f>
        <v/>
      </c>
      <c r="D106" s="103"/>
      <c r="F106" s="103" t="str">
        <f>LEFT('PT4'!C105,6)</f>
        <v/>
      </c>
      <c r="G106" s="121" t="str">
        <f>+'PT4'!D105</f>
        <v/>
      </c>
      <c r="H106" s="103"/>
      <c r="J106" s="103" t="str">
        <f>LEFT('PT5'!C105,6)</f>
        <v/>
      </c>
      <c r="K106" s="121" t="str">
        <f>+'PT5'!D105</f>
        <v/>
      </c>
      <c r="M106" s="103" t="str">
        <f>LEFT('PT6'!C105,6)</f>
        <v>O2-170</v>
      </c>
      <c r="N106" s="121">
        <f>+'PT6'!D105</f>
        <v>0</v>
      </c>
      <c r="P106" s="103" t="str">
        <f>LEFT('PT7'!C105,6)</f>
        <v/>
      </c>
      <c r="Q106" s="121" t="str">
        <f>+'PT7'!D105</f>
        <v/>
      </c>
    </row>
    <row r="107" spans="2:17" x14ac:dyDescent="0.3">
      <c r="B107" s="103" t="str">
        <f>LEFT('PT3'!C106,6)</f>
        <v/>
      </c>
      <c r="C107" s="121" t="str">
        <f>+'PT3'!D106</f>
        <v/>
      </c>
      <c r="D107" s="103"/>
      <c r="F107" s="103" t="str">
        <f>LEFT('PT4'!C106,6)</f>
        <v/>
      </c>
      <c r="G107" s="121" t="str">
        <f>+'PT4'!D106</f>
        <v/>
      </c>
      <c r="H107" s="103"/>
      <c r="J107" s="103" t="str">
        <f>LEFT('PT5'!C106,6)</f>
        <v/>
      </c>
      <c r="K107" s="121" t="str">
        <f>+'PT5'!D106</f>
        <v/>
      </c>
      <c r="M107" s="103" t="str">
        <f>LEFT('PT6'!C106,6)</f>
        <v>O2-180</v>
      </c>
      <c r="N107" s="121">
        <f>+'PT6'!D106</f>
        <v>0</v>
      </c>
      <c r="P107" s="103" t="str">
        <f>LEFT('PT7'!C106,6)</f>
        <v/>
      </c>
      <c r="Q107" s="121" t="str">
        <f>+'PT7'!D106</f>
        <v/>
      </c>
    </row>
    <row r="108" spans="2:17" x14ac:dyDescent="0.3">
      <c r="B108" s="103" t="str">
        <f>LEFT('PT3'!C107,6)</f>
        <v/>
      </c>
      <c r="C108" s="121" t="str">
        <f>+'PT3'!D107</f>
        <v/>
      </c>
      <c r="D108" s="103"/>
      <c r="F108" s="103" t="str">
        <f>LEFT('PT4'!C107,6)</f>
        <v/>
      </c>
      <c r="G108" s="121" t="str">
        <f>+'PT4'!D107</f>
        <v/>
      </c>
      <c r="H108" s="103"/>
      <c r="J108" s="103" t="str">
        <f>LEFT('PT5'!C107,6)</f>
        <v/>
      </c>
      <c r="K108" s="121" t="str">
        <f>+'PT5'!D107</f>
        <v/>
      </c>
      <c r="M108" s="103" t="str">
        <f>LEFT('PT6'!C107,6)</f>
        <v>O2-180</v>
      </c>
      <c r="N108" s="121">
        <f>+'PT6'!D107</f>
        <v>0</v>
      </c>
      <c r="P108" s="103" t="str">
        <f>LEFT('PT7'!C107,6)</f>
        <v/>
      </c>
      <c r="Q108" s="121" t="str">
        <f>+'PT7'!D107</f>
        <v/>
      </c>
    </row>
    <row r="109" spans="2:17" x14ac:dyDescent="0.3">
      <c r="B109" s="103" t="str">
        <f>LEFT('PT3'!C108,6)</f>
        <v/>
      </c>
      <c r="C109" s="121" t="str">
        <f>+'PT3'!D108</f>
        <v/>
      </c>
      <c r="D109" s="103"/>
      <c r="F109" s="103" t="str">
        <f>LEFT('PT4'!C108,6)</f>
        <v/>
      </c>
      <c r="G109" s="121" t="str">
        <f>+'PT4'!D108</f>
        <v/>
      </c>
      <c r="H109" s="103"/>
      <c r="J109" s="103" t="str">
        <f>LEFT('PT5'!C108,6)</f>
        <v/>
      </c>
      <c r="K109" s="121" t="str">
        <f>+'PT5'!D108</f>
        <v/>
      </c>
      <c r="M109" s="103" t="str">
        <f>LEFT('PT6'!C108,6)</f>
        <v>O2-190</v>
      </c>
      <c r="N109" s="121">
        <f>+'PT6'!D108</f>
        <v>0</v>
      </c>
      <c r="P109" s="103" t="str">
        <f>LEFT('PT7'!C108,6)</f>
        <v/>
      </c>
      <c r="Q109" s="121" t="str">
        <f>+'PT7'!D108</f>
        <v/>
      </c>
    </row>
    <row r="110" spans="2:17" x14ac:dyDescent="0.3">
      <c r="B110" s="103" t="str">
        <f>LEFT('PT3'!C109,6)</f>
        <v/>
      </c>
      <c r="C110" s="121" t="str">
        <f>+'PT3'!D109</f>
        <v/>
      </c>
      <c r="D110" s="103"/>
      <c r="F110" s="103" t="str">
        <f>LEFT('PT4'!C109,6)</f>
        <v/>
      </c>
      <c r="G110" s="121" t="str">
        <f>+'PT4'!D109</f>
        <v/>
      </c>
      <c r="H110" s="103"/>
      <c r="J110" s="103" t="str">
        <f>LEFT('PT5'!C109,6)</f>
        <v/>
      </c>
      <c r="K110" s="121" t="str">
        <f>+'PT5'!D109</f>
        <v/>
      </c>
      <c r="M110" s="103" t="str">
        <f>LEFT('PT6'!C109,6)</f>
        <v>O2-200</v>
      </c>
      <c r="N110" s="121">
        <f>+'PT6'!D109</f>
        <v>0</v>
      </c>
      <c r="P110" s="103" t="str">
        <f>LEFT('PT7'!C109,6)</f>
        <v/>
      </c>
      <c r="Q110" s="121" t="str">
        <f>+'PT7'!D109</f>
        <v/>
      </c>
    </row>
    <row r="111" spans="2:17" x14ac:dyDescent="0.3">
      <c r="B111" s="103" t="str">
        <f>LEFT('PT3'!C110,6)</f>
        <v/>
      </c>
      <c r="C111" s="121" t="str">
        <f>+'PT3'!D110</f>
        <v/>
      </c>
      <c r="D111" s="103"/>
      <c r="F111" s="103" t="str">
        <f>LEFT('PT4'!C110,6)</f>
        <v/>
      </c>
      <c r="G111" s="121" t="str">
        <f>+'PT4'!D110</f>
        <v/>
      </c>
      <c r="H111" s="103"/>
      <c r="J111" s="103" t="str">
        <f>LEFT('PT5'!C110,6)</f>
        <v/>
      </c>
      <c r="K111" s="121" t="str">
        <f>+'PT5'!D110</f>
        <v/>
      </c>
      <c r="M111" s="103" t="str">
        <f>LEFT('PT6'!C110,6)</f>
        <v>O2-200</v>
      </c>
      <c r="N111" s="121">
        <f>+'PT6'!D110</f>
        <v>0</v>
      </c>
      <c r="P111" s="103" t="str">
        <f>LEFT('PT7'!C110,6)</f>
        <v/>
      </c>
      <c r="Q111" s="121" t="str">
        <f>+'PT7'!D110</f>
        <v/>
      </c>
    </row>
    <row r="112" spans="2:17" x14ac:dyDescent="0.3">
      <c r="B112" s="103" t="str">
        <f>LEFT('PT3'!C111,6)</f>
        <v/>
      </c>
      <c r="C112" s="121" t="str">
        <f>+'PT3'!D111</f>
        <v/>
      </c>
      <c r="D112" s="103"/>
      <c r="F112" s="103" t="str">
        <f>LEFT('PT4'!C111,6)</f>
        <v/>
      </c>
      <c r="G112" s="121" t="str">
        <f>+'PT4'!D111</f>
        <v/>
      </c>
      <c r="H112" s="103"/>
      <c r="J112" s="103" t="str">
        <f>LEFT('PT5'!C111,6)</f>
        <v/>
      </c>
      <c r="K112" s="121" t="str">
        <f>+'PT5'!D111</f>
        <v/>
      </c>
      <c r="M112" s="103" t="str">
        <f>LEFT('PT6'!C111,6)</f>
        <v>O2-210</v>
      </c>
      <c r="N112" s="121">
        <f>+'PT6'!D111</f>
        <v>0</v>
      </c>
      <c r="P112" s="103" t="str">
        <f>LEFT('PT7'!C111,6)</f>
        <v/>
      </c>
      <c r="Q112" s="121" t="str">
        <f>+'PT7'!D111</f>
        <v/>
      </c>
    </row>
    <row r="113" spans="2:17" x14ac:dyDescent="0.3">
      <c r="B113" s="103" t="str">
        <f>LEFT('PT3'!C112,6)</f>
        <v/>
      </c>
      <c r="C113" s="121" t="str">
        <f>+'PT3'!D112</f>
        <v/>
      </c>
      <c r="D113" s="103"/>
      <c r="F113" s="103" t="str">
        <f>LEFT('PT4'!C112,6)</f>
        <v/>
      </c>
      <c r="G113" s="121" t="str">
        <f>+'PT4'!D112</f>
        <v/>
      </c>
      <c r="H113" s="103"/>
      <c r="J113" s="103" t="str">
        <f>LEFT('PT5'!C112,6)</f>
        <v/>
      </c>
      <c r="K113" s="121" t="str">
        <f>+'PT5'!D112</f>
        <v/>
      </c>
      <c r="M113" s="103" t="str">
        <f>LEFT('PT6'!C112,6)</f>
        <v>O2-230</v>
      </c>
      <c r="N113" s="121">
        <f>+'PT6'!D112</f>
        <v>0</v>
      </c>
      <c r="P113" s="103" t="str">
        <f>LEFT('PT7'!C112,6)</f>
        <v/>
      </c>
      <c r="Q113" s="121" t="str">
        <f>+'PT7'!D112</f>
        <v/>
      </c>
    </row>
    <row r="114" spans="2:17" x14ac:dyDescent="0.3">
      <c r="B114" s="103" t="str">
        <f>LEFT('PT3'!C113,6)</f>
        <v/>
      </c>
      <c r="C114" s="121" t="str">
        <f>+'PT3'!D113</f>
        <v/>
      </c>
      <c r="D114" s="103"/>
      <c r="F114" s="103" t="str">
        <f>LEFT('PT4'!C113,6)</f>
        <v/>
      </c>
      <c r="G114" s="121" t="str">
        <f>+'PT4'!D113</f>
        <v/>
      </c>
      <c r="H114" s="103"/>
      <c r="J114" s="103" t="str">
        <f>LEFT('PT5'!C113,6)</f>
        <v/>
      </c>
      <c r="K114" s="121" t="str">
        <f>+'PT5'!D113</f>
        <v/>
      </c>
      <c r="M114" s="103" t="str">
        <f>LEFT('PT6'!C113,6)</f>
        <v>O2-230</v>
      </c>
      <c r="N114" s="121">
        <f>+'PT6'!D113</f>
        <v>0</v>
      </c>
      <c r="P114" s="103" t="str">
        <f>LEFT('PT7'!C113,6)</f>
        <v/>
      </c>
      <c r="Q114" s="121" t="str">
        <f>+'PT7'!D113</f>
        <v/>
      </c>
    </row>
    <row r="115" spans="2:17" x14ac:dyDescent="0.3">
      <c r="B115" s="103" t="str">
        <f>LEFT('PT3'!C114,6)</f>
        <v/>
      </c>
      <c r="C115" s="121" t="str">
        <f>+'PT3'!D114</f>
        <v/>
      </c>
      <c r="D115" s="103"/>
      <c r="F115" s="103" t="str">
        <f>LEFT('PT4'!C114,6)</f>
        <v/>
      </c>
      <c r="G115" s="121" t="str">
        <f>+'PT4'!D114</f>
        <v/>
      </c>
      <c r="H115" s="103"/>
      <c r="J115" s="103" t="str">
        <f>LEFT('PT5'!C114,6)</f>
        <v/>
      </c>
      <c r="K115" s="121" t="str">
        <f>+'PT5'!D114</f>
        <v/>
      </c>
      <c r="M115" s="103" t="str">
        <f>LEFT('PT6'!C114,6)</f>
        <v>O2-240</v>
      </c>
      <c r="N115" s="121">
        <f>+'PT6'!D114</f>
        <v>0</v>
      </c>
      <c r="P115" s="103" t="str">
        <f>LEFT('PT7'!C114,6)</f>
        <v/>
      </c>
      <c r="Q115" s="121" t="str">
        <f>+'PT7'!D114</f>
        <v/>
      </c>
    </row>
    <row r="116" spans="2:17" x14ac:dyDescent="0.3">
      <c r="B116" s="103" t="str">
        <f>LEFT('PT3'!C115,6)</f>
        <v/>
      </c>
      <c r="C116" s="121" t="str">
        <f>+'PT3'!D115</f>
        <v/>
      </c>
      <c r="D116" s="103"/>
      <c r="F116" s="103" t="str">
        <f>LEFT('PT4'!C115,6)</f>
        <v/>
      </c>
      <c r="G116" s="121" t="str">
        <f>+'PT4'!D115</f>
        <v/>
      </c>
      <c r="H116" s="103"/>
      <c r="J116" s="103" t="str">
        <f>LEFT('PT5'!C115,6)</f>
        <v/>
      </c>
      <c r="K116" s="121" t="str">
        <f>+'PT5'!D115</f>
        <v/>
      </c>
      <c r="M116" s="103" t="str">
        <f>LEFT('PT6'!C115,6)</f>
        <v>O2-240</v>
      </c>
      <c r="N116" s="121">
        <f>+'PT6'!D115</f>
        <v>0</v>
      </c>
      <c r="P116" s="103" t="str">
        <f>LEFT('PT7'!C115,6)</f>
        <v/>
      </c>
      <c r="Q116" s="121" t="str">
        <f>+'PT7'!D115</f>
        <v/>
      </c>
    </row>
    <row r="117" spans="2:17" x14ac:dyDescent="0.3">
      <c r="B117" s="103" t="str">
        <f>LEFT('PT3'!C116,6)</f>
        <v/>
      </c>
      <c r="C117" s="121" t="str">
        <f>+'PT3'!D116</f>
        <v/>
      </c>
      <c r="D117" s="103"/>
      <c r="F117" s="103" t="str">
        <f>LEFT('PT4'!C116,6)</f>
        <v/>
      </c>
      <c r="G117" s="121" t="str">
        <f>+'PT4'!D116</f>
        <v/>
      </c>
      <c r="H117" s="103"/>
      <c r="J117" s="103" t="str">
        <f>LEFT('PT5'!C116,6)</f>
        <v/>
      </c>
      <c r="K117" s="121" t="str">
        <f>+'PT5'!D116</f>
        <v/>
      </c>
      <c r="M117" s="103" t="str">
        <f>LEFT('PT6'!C116,6)</f>
        <v>O2-250</v>
      </c>
      <c r="N117" s="121">
        <f>+'PT6'!D116</f>
        <v>0</v>
      </c>
      <c r="P117" s="103" t="str">
        <f>LEFT('PT7'!C116,6)</f>
        <v/>
      </c>
      <c r="Q117" s="121" t="str">
        <f>+'PT7'!D116</f>
        <v/>
      </c>
    </row>
    <row r="118" spans="2:17" x14ac:dyDescent="0.3">
      <c r="B118" s="103" t="str">
        <f>LEFT('PT3'!C117,6)</f>
        <v/>
      </c>
      <c r="C118" s="121" t="str">
        <f>+'PT3'!D117</f>
        <v/>
      </c>
      <c r="D118" s="103"/>
      <c r="F118" s="103" t="str">
        <f>LEFT('PT4'!C117,6)</f>
        <v/>
      </c>
      <c r="G118" s="121" t="str">
        <f>+'PT4'!D117</f>
        <v/>
      </c>
      <c r="H118" s="103"/>
      <c r="J118" s="103" t="str">
        <f>LEFT('PT5'!C117,6)</f>
        <v/>
      </c>
      <c r="K118" s="121" t="str">
        <f>+'PT5'!D117</f>
        <v/>
      </c>
      <c r="M118" s="103" t="str">
        <f>LEFT('PT6'!C117,6)</f>
        <v>C1-108</v>
      </c>
      <c r="N118" s="121">
        <f>+'PT6'!D117</f>
        <v>0</v>
      </c>
      <c r="P118" s="103" t="str">
        <f>LEFT('PT7'!C117,6)</f>
        <v/>
      </c>
      <c r="Q118" s="121" t="str">
        <f>+'PT7'!D117</f>
        <v/>
      </c>
    </row>
    <row r="119" spans="2:17" x14ac:dyDescent="0.3">
      <c r="B119" s="103" t="str">
        <f>LEFT('PT3'!C118,6)</f>
        <v/>
      </c>
      <c r="C119" s="121" t="str">
        <f>+'PT3'!D118</f>
        <v/>
      </c>
      <c r="D119" s="103"/>
      <c r="F119" s="103" t="str">
        <f>LEFT('PT4'!C118,6)</f>
        <v/>
      </c>
      <c r="G119" s="121" t="str">
        <f>+'PT4'!D118</f>
        <v/>
      </c>
      <c r="H119" s="103"/>
      <c r="J119" s="103" t="str">
        <f>LEFT('PT5'!C118,6)</f>
        <v/>
      </c>
      <c r="K119" s="121" t="str">
        <f>+'PT5'!D118</f>
        <v/>
      </c>
      <c r="M119" s="103" t="str">
        <f>LEFT('PT6'!C118,6)</f>
        <v>C1-208</v>
      </c>
      <c r="N119" s="121">
        <f>+'PT6'!D118</f>
        <v>0</v>
      </c>
      <c r="P119" s="103" t="str">
        <f>LEFT('PT7'!C118,6)</f>
        <v/>
      </c>
      <c r="Q119" s="121" t="str">
        <f>+'PT7'!D118</f>
        <v/>
      </c>
    </row>
    <row r="120" spans="2:17" x14ac:dyDescent="0.3">
      <c r="B120" s="103" t="str">
        <f>LEFT('PT3'!C119,6)</f>
        <v/>
      </c>
      <c r="C120" s="121" t="str">
        <f>+'PT3'!D119</f>
        <v/>
      </c>
      <c r="D120" s="103"/>
      <c r="F120" s="103" t="str">
        <f>LEFT('PT4'!C119,6)</f>
        <v/>
      </c>
      <c r="G120" s="121" t="str">
        <f>+'PT4'!D119</f>
        <v/>
      </c>
      <c r="H120" s="103"/>
      <c r="J120" s="103" t="str">
        <f>LEFT('PT5'!C119,6)</f>
        <v/>
      </c>
      <c r="K120" s="121" t="str">
        <f>+'PT5'!D119</f>
        <v/>
      </c>
      <c r="M120" s="103" t="str">
        <f>LEFT('PT6'!C119,6)</f>
        <v>C1-307</v>
      </c>
      <c r="N120" s="121">
        <f>+'PT6'!D119</f>
        <v>0</v>
      </c>
      <c r="P120" s="103" t="str">
        <f>LEFT('PT7'!C119,6)</f>
        <v/>
      </c>
      <c r="Q120" s="121" t="str">
        <f>+'PT7'!D119</f>
        <v/>
      </c>
    </row>
    <row r="121" spans="2:17" x14ac:dyDescent="0.3">
      <c r="B121" s="103" t="str">
        <f>LEFT('PT3'!C120,6)</f>
        <v/>
      </c>
      <c r="C121" s="121" t="str">
        <f>+'PT3'!D120</f>
        <v/>
      </c>
      <c r="D121" s="103"/>
      <c r="F121" s="103" t="str">
        <f>LEFT('PT4'!C120,6)</f>
        <v/>
      </c>
      <c r="G121" s="121" t="str">
        <f>+'PT4'!D120</f>
        <v/>
      </c>
      <c r="H121" s="103"/>
      <c r="J121" s="103" t="str">
        <f>LEFT('PT5'!C120,6)</f>
        <v/>
      </c>
      <c r="K121" s="121" t="str">
        <f>+'PT5'!D120</f>
        <v/>
      </c>
      <c r="M121" s="103" t="str">
        <f>LEFT('PT6'!C120,6)</f>
        <v>C1-308</v>
      </c>
      <c r="N121" s="121">
        <f>+'PT6'!D120</f>
        <v>0</v>
      </c>
      <c r="P121" s="103" t="str">
        <f>LEFT('PT7'!C120,6)</f>
        <v/>
      </c>
      <c r="Q121" s="121" t="str">
        <f>+'PT7'!D120</f>
        <v/>
      </c>
    </row>
    <row r="122" spans="2:17" x14ac:dyDescent="0.3">
      <c r="B122" s="103" t="str">
        <f>LEFT('PT3'!C121,6)</f>
        <v/>
      </c>
      <c r="C122" s="121" t="str">
        <f>+'PT3'!D121</f>
        <v/>
      </c>
      <c r="D122" s="103"/>
      <c r="F122" s="103" t="str">
        <f>LEFT('PT4'!C121,6)</f>
        <v/>
      </c>
      <c r="G122" s="121" t="str">
        <f>+'PT4'!D121</f>
        <v/>
      </c>
      <c r="H122" s="103"/>
      <c r="J122" s="103" t="str">
        <f>LEFT('PT5'!C121,6)</f>
        <v/>
      </c>
      <c r="K122" s="121" t="str">
        <f>+'PT5'!D121</f>
        <v/>
      </c>
      <c r="M122" s="103" t="str">
        <f>LEFT('PT6'!C121,6)</f>
        <v>C1-407</v>
      </c>
      <c r="N122" s="121">
        <f>+'PT6'!D121</f>
        <v>0</v>
      </c>
      <c r="P122" s="103" t="str">
        <f>LEFT('PT7'!C121,6)</f>
        <v/>
      </c>
      <c r="Q122" s="121" t="str">
        <f>+'PT7'!D121</f>
        <v/>
      </c>
    </row>
    <row r="123" spans="2:17" x14ac:dyDescent="0.3">
      <c r="B123" s="103" t="str">
        <f>LEFT('PT3'!C122,6)</f>
        <v/>
      </c>
      <c r="C123" s="121" t="str">
        <f>+'PT3'!D122</f>
        <v/>
      </c>
      <c r="D123" s="103"/>
      <c r="F123" s="103" t="str">
        <f>LEFT('PT4'!C122,6)</f>
        <v/>
      </c>
      <c r="G123" s="121" t="str">
        <f>+'PT4'!D122</f>
        <v/>
      </c>
      <c r="H123" s="103"/>
      <c r="J123" s="103" t="str">
        <f>LEFT('PT5'!C122,6)</f>
        <v/>
      </c>
      <c r="K123" s="121" t="str">
        <f>+'PT5'!D122</f>
        <v/>
      </c>
      <c r="M123" s="103" t="str">
        <f>LEFT('PT6'!C122,6)</f>
        <v>C1-607</v>
      </c>
      <c r="N123" s="121">
        <f>+'PT6'!D122</f>
        <v>0</v>
      </c>
      <c r="P123" s="103" t="str">
        <f>LEFT('PT7'!C122,6)</f>
        <v/>
      </c>
      <c r="Q123" s="121" t="str">
        <f>+'PT7'!D122</f>
        <v/>
      </c>
    </row>
    <row r="124" spans="2:17" x14ac:dyDescent="0.3">
      <c r="B124" s="103" t="str">
        <f>LEFT('PT3'!C123,6)</f>
        <v/>
      </c>
      <c r="C124" s="121" t="str">
        <f>+'PT3'!D123</f>
        <v/>
      </c>
      <c r="D124" s="103"/>
      <c r="F124" s="103" t="str">
        <f>LEFT('PT4'!C123,6)</f>
        <v/>
      </c>
      <c r="G124" s="121" t="str">
        <f>+'PT4'!D123</f>
        <v/>
      </c>
      <c r="H124" s="103"/>
      <c r="J124" s="103" t="str">
        <f>LEFT('PT5'!C123,6)</f>
        <v/>
      </c>
      <c r="K124" s="121" t="str">
        <f>+'PT5'!D123</f>
        <v/>
      </c>
      <c r="M124" s="103" t="str">
        <f>LEFT('PT6'!C123,6)</f>
        <v>C1-608</v>
      </c>
      <c r="N124" s="121">
        <f>+'PT6'!D123</f>
        <v>0</v>
      </c>
      <c r="P124" s="103" t="str">
        <f>LEFT('PT7'!C123,6)</f>
        <v/>
      </c>
      <c r="Q124" s="121" t="str">
        <f>+'PT7'!D123</f>
        <v/>
      </c>
    </row>
    <row r="125" spans="2:17" x14ac:dyDescent="0.3">
      <c r="B125" s="103" t="str">
        <f>LEFT('PT3'!C124,6)</f>
        <v/>
      </c>
      <c r="C125" s="121" t="str">
        <f>+'PT3'!D124</f>
        <v/>
      </c>
      <c r="D125" s="103"/>
      <c r="F125" s="103" t="str">
        <f>LEFT('PT4'!C124,6)</f>
        <v/>
      </c>
      <c r="G125" s="121" t="str">
        <f>+'PT4'!D124</f>
        <v/>
      </c>
      <c r="H125" s="103"/>
      <c r="J125" s="103" t="str">
        <f>LEFT('PT5'!C124,6)</f>
        <v/>
      </c>
      <c r="K125" s="121" t="str">
        <f>+'PT5'!D124</f>
        <v/>
      </c>
      <c r="M125" s="103" t="str">
        <f>LEFT('PT6'!C124,6)</f>
        <v>C1-708</v>
      </c>
      <c r="N125" s="121">
        <f>+'PT6'!D124</f>
        <v>0</v>
      </c>
      <c r="P125" s="103" t="str">
        <f>LEFT('PT7'!C124,6)</f>
        <v/>
      </c>
      <c r="Q125" s="121" t="str">
        <f>+'PT7'!D124</f>
        <v/>
      </c>
    </row>
    <row r="126" spans="2:17" x14ac:dyDescent="0.3">
      <c r="B126" s="103" t="str">
        <f>LEFT('PT3'!C125,6)</f>
        <v/>
      </c>
      <c r="C126" s="121" t="str">
        <f>+'PT3'!D125</f>
        <v/>
      </c>
      <c r="D126" s="103"/>
      <c r="F126" s="103" t="str">
        <f>LEFT('PT4'!C125,6)</f>
        <v/>
      </c>
      <c r="G126" s="121" t="str">
        <f>+'PT4'!D125</f>
        <v/>
      </c>
      <c r="H126" s="103"/>
      <c r="J126" s="103" t="str">
        <f>LEFT('PT5'!C125,6)</f>
        <v/>
      </c>
      <c r="K126" s="121" t="str">
        <f>+'PT5'!D125</f>
        <v/>
      </c>
      <c r="M126" s="103" t="str">
        <f>LEFT('PT6'!C125,6)</f>
        <v>C1-807</v>
      </c>
      <c r="N126" s="121">
        <f>+'PT6'!D125</f>
        <v>0</v>
      </c>
      <c r="P126" s="103" t="str">
        <f>LEFT('PT7'!C125,6)</f>
        <v/>
      </c>
      <c r="Q126" s="121" t="str">
        <f>+'PT7'!D125</f>
        <v/>
      </c>
    </row>
    <row r="127" spans="2:17" x14ac:dyDescent="0.3">
      <c r="B127" s="103" t="str">
        <f>LEFT('PT3'!C126,6)</f>
        <v/>
      </c>
      <c r="C127" s="121" t="str">
        <f>+'PT3'!D126</f>
        <v/>
      </c>
      <c r="D127" s="103"/>
      <c r="F127" s="103" t="str">
        <f>LEFT('PT4'!C126,6)</f>
        <v/>
      </c>
      <c r="G127" s="121" t="str">
        <f>+'PT4'!D126</f>
        <v/>
      </c>
      <c r="H127" s="103"/>
      <c r="J127" s="103" t="str">
        <f>LEFT('PT5'!C126,6)</f>
        <v/>
      </c>
      <c r="K127" s="121" t="str">
        <f>+'PT5'!D126</f>
        <v/>
      </c>
      <c r="M127" s="103" t="str">
        <f>LEFT('PT6'!C126,6)</f>
        <v>C1-808</v>
      </c>
      <c r="N127" s="121">
        <f>+'PT6'!D126</f>
        <v>0</v>
      </c>
      <c r="P127" s="103" t="str">
        <f>LEFT('PT7'!C126,6)</f>
        <v/>
      </c>
      <c r="Q127" s="121" t="str">
        <f>+'PT7'!D126</f>
        <v/>
      </c>
    </row>
    <row r="128" spans="2:17" x14ac:dyDescent="0.3">
      <c r="B128" s="103" t="str">
        <f>LEFT('PT3'!C127,6)</f>
        <v/>
      </c>
      <c r="C128" s="121" t="str">
        <f>+'PT3'!D127</f>
        <v/>
      </c>
      <c r="D128" s="103"/>
      <c r="F128" s="103" t="str">
        <f>LEFT('PT4'!C127,6)</f>
        <v/>
      </c>
      <c r="G128" s="121" t="str">
        <f>+'PT4'!D127</f>
        <v/>
      </c>
      <c r="H128" s="103"/>
      <c r="J128" s="103" t="str">
        <f>LEFT('PT5'!C127,6)</f>
        <v/>
      </c>
      <c r="K128" s="121" t="str">
        <f>+'PT5'!D127</f>
        <v/>
      </c>
      <c r="M128" s="103" t="str">
        <f>LEFT('PT6'!C127,6)</f>
        <v>C1-908</v>
      </c>
      <c r="N128" s="121">
        <f>+'PT6'!D127</f>
        <v>0</v>
      </c>
      <c r="P128" s="103" t="str">
        <f>LEFT('PT7'!C127,6)</f>
        <v/>
      </c>
      <c r="Q128" s="121" t="str">
        <f>+'PT7'!D127</f>
        <v/>
      </c>
    </row>
    <row r="129" spans="2:17" x14ac:dyDescent="0.3">
      <c r="B129" s="103" t="str">
        <f>LEFT('PT3'!C128,6)</f>
        <v/>
      </c>
      <c r="C129" s="121" t="str">
        <f>+'PT3'!D128</f>
        <v/>
      </c>
      <c r="D129" s="103"/>
      <c r="F129" s="103" t="str">
        <f>LEFT('PT4'!C128,6)</f>
        <v/>
      </c>
      <c r="G129" s="121" t="str">
        <f>+'PT4'!D128</f>
        <v/>
      </c>
      <c r="H129" s="103"/>
      <c r="J129" s="103" t="str">
        <f>LEFT('PT5'!C128,6)</f>
        <v/>
      </c>
      <c r="K129" s="121" t="str">
        <f>+'PT5'!D128</f>
        <v/>
      </c>
      <c r="M129" s="103" t="str">
        <f>LEFT('PT6'!C128,6)</f>
        <v>C1-100</v>
      </c>
      <c r="N129" s="121">
        <f>+'PT6'!D128</f>
        <v>0</v>
      </c>
      <c r="P129" s="103" t="str">
        <f>LEFT('PT7'!C128,6)</f>
        <v/>
      </c>
      <c r="Q129" s="121" t="str">
        <f>+'PT7'!D128</f>
        <v/>
      </c>
    </row>
    <row r="130" spans="2:17" x14ac:dyDescent="0.3">
      <c r="B130" s="103" t="str">
        <f>LEFT('PT3'!C129,6)</f>
        <v/>
      </c>
      <c r="C130" s="121" t="str">
        <f>+'PT3'!D129</f>
        <v/>
      </c>
      <c r="D130" s="103"/>
      <c r="F130" s="103" t="str">
        <f>LEFT('PT4'!C129,6)</f>
        <v/>
      </c>
      <c r="G130" s="121" t="str">
        <f>+'PT4'!D129</f>
        <v/>
      </c>
      <c r="H130" s="103"/>
      <c r="J130" s="103" t="str">
        <f>LEFT('PT5'!C129,6)</f>
        <v/>
      </c>
      <c r="K130" s="121" t="str">
        <f>+'PT5'!D129</f>
        <v/>
      </c>
      <c r="M130" s="103" t="str">
        <f>LEFT('PT6'!C129,6)</f>
        <v>C1-110</v>
      </c>
      <c r="N130" s="121">
        <f>+'PT6'!D129</f>
        <v>0</v>
      </c>
      <c r="P130" s="103" t="str">
        <f>LEFT('PT7'!C129,6)</f>
        <v/>
      </c>
      <c r="Q130" s="121" t="str">
        <f>+'PT7'!D129</f>
        <v/>
      </c>
    </row>
    <row r="131" spans="2:17" x14ac:dyDescent="0.3">
      <c r="B131" s="103" t="str">
        <f>LEFT('PT3'!C130,6)</f>
        <v/>
      </c>
      <c r="C131" s="121" t="str">
        <f>+'PT3'!D130</f>
        <v/>
      </c>
      <c r="D131" s="103"/>
      <c r="F131" s="103" t="str">
        <f>LEFT('PT4'!C130,6)</f>
        <v/>
      </c>
      <c r="G131" s="121" t="str">
        <f>+'PT4'!D130</f>
        <v/>
      </c>
      <c r="H131" s="103"/>
      <c r="J131" s="103" t="str">
        <f>LEFT('PT5'!C130,6)</f>
        <v/>
      </c>
      <c r="K131" s="121" t="str">
        <f>+'PT5'!D130</f>
        <v/>
      </c>
      <c r="M131" s="103" t="str">
        <f>LEFT('PT6'!C130,6)</f>
        <v>C1-130</v>
      </c>
      <c r="N131" s="121">
        <f>+'PT6'!D130</f>
        <v>0</v>
      </c>
      <c r="P131" s="103" t="str">
        <f>LEFT('PT7'!C130,6)</f>
        <v/>
      </c>
      <c r="Q131" s="121" t="str">
        <f>+'PT7'!D130</f>
        <v/>
      </c>
    </row>
    <row r="132" spans="2:17" x14ac:dyDescent="0.3">
      <c r="B132" s="103" t="str">
        <f>LEFT('PT3'!C131,6)</f>
        <v/>
      </c>
      <c r="C132" s="121" t="str">
        <f>+'PT3'!D131</f>
        <v/>
      </c>
      <c r="D132" s="103"/>
      <c r="F132" s="103" t="str">
        <f>LEFT('PT4'!C131,6)</f>
        <v/>
      </c>
      <c r="G132" s="121" t="str">
        <f>+'PT4'!D131</f>
        <v/>
      </c>
      <c r="H132" s="103"/>
      <c r="J132" s="103" t="str">
        <f>LEFT('PT5'!C131,6)</f>
        <v/>
      </c>
      <c r="K132" s="121" t="str">
        <f>+'PT5'!D131</f>
        <v/>
      </c>
      <c r="M132" s="103" t="str">
        <f>LEFT('PT6'!C131,6)</f>
        <v>C1-140</v>
      </c>
      <c r="N132" s="121">
        <f>+'PT6'!D131</f>
        <v>0</v>
      </c>
      <c r="P132" s="103" t="str">
        <f>LEFT('PT7'!C131,6)</f>
        <v/>
      </c>
      <c r="Q132" s="121" t="str">
        <f>+'PT7'!D131</f>
        <v/>
      </c>
    </row>
    <row r="133" spans="2:17" x14ac:dyDescent="0.3">
      <c r="B133" s="103" t="str">
        <f>LEFT('PT3'!C132,6)</f>
        <v/>
      </c>
      <c r="C133" s="121" t="str">
        <f>+'PT3'!D132</f>
        <v/>
      </c>
      <c r="D133" s="103"/>
      <c r="F133" s="103" t="str">
        <f>LEFT('PT4'!C132,6)</f>
        <v/>
      </c>
      <c r="G133" s="121" t="str">
        <f>+'PT4'!D132</f>
        <v/>
      </c>
      <c r="H133" s="103"/>
      <c r="J133" s="103" t="str">
        <f>LEFT('PT5'!C132,6)</f>
        <v/>
      </c>
      <c r="K133" s="121" t="str">
        <f>+'PT5'!D132</f>
        <v/>
      </c>
      <c r="M133" s="103" t="str">
        <f>LEFT('PT6'!C132,6)</f>
        <v>C1-150</v>
      </c>
      <c r="N133" s="121">
        <f>+'PT6'!D132</f>
        <v>0</v>
      </c>
      <c r="P133" s="103" t="str">
        <f>LEFT('PT7'!C132,6)</f>
        <v/>
      </c>
      <c r="Q133" s="121" t="str">
        <f>+'PT7'!D132</f>
        <v/>
      </c>
    </row>
    <row r="134" spans="2:17" x14ac:dyDescent="0.3">
      <c r="B134" s="103" t="str">
        <f>LEFT('PT3'!C133,6)</f>
        <v/>
      </c>
      <c r="C134" s="121" t="str">
        <f>+'PT3'!D133</f>
        <v/>
      </c>
      <c r="D134" s="103"/>
      <c r="F134" s="103" t="str">
        <f>LEFT('PT4'!C133,6)</f>
        <v/>
      </c>
      <c r="G134" s="121" t="str">
        <f>+'PT4'!D133</f>
        <v/>
      </c>
      <c r="H134" s="103"/>
      <c r="J134" s="103" t="str">
        <f>LEFT('PT5'!C133,6)</f>
        <v/>
      </c>
      <c r="K134" s="121" t="str">
        <f>+'PT5'!D133</f>
        <v/>
      </c>
      <c r="M134" s="103" t="str">
        <f>LEFT('PT6'!C133,6)</f>
        <v>C1-180</v>
      </c>
      <c r="N134" s="121">
        <f>+'PT6'!D133</f>
        <v>0</v>
      </c>
      <c r="P134" s="103" t="str">
        <f>LEFT('PT7'!C133,6)</f>
        <v/>
      </c>
      <c r="Q134" s="121" t="str">
        <f>+'PT7'!D133</f>
        <v/>
      </c>
    </row>
    <row r="135" spans="2:17" x14ac:dyDescent="0.3">
      <c r="B135" s="103" t="str">
        <f>LEFT('PT3'!C134,6)</f>
        <v/>
      </c>
      <c r="C135" s="121" t="str">
        <f>+'PT3'!D134</f>
        <v/>
      </c>
      <c r="D135" s="103"/>
      <c r="F135" s="103" t="str">
        <f>LEFT('PT4'!C134,6)</f>
        <v/>
      </c>
      <c r="G135" s="121" t="str">
        <f>+'PT4'!D134</f>
        <v/>
      </c>
      <c r="H135" s="103"/>
      <c r="J135" s="103" t="str">
        <f>LEFT('PT5'!C134,6)</f>
        <v/>
      </c>
      <c r="K135" s="121" t="str">
        <f>+'PT5'!D134</f>
        <v/>
      </c>
      <c r="M135" s="103" t="str">
        <f>LEFT('PT6'!C134,6)</f>
        <v>C1-180</v>
      </c>
      <c r="N135" s="121">
        <f>+'PT6'!D134</f>
        <v>0</v>
      </c>
      <c r="P135" s="103" t="str">
        <f>LEFT('PT7'!C134,6)</f>
        <v/>
      </c>
      <c r="Q135" s="121" t="str">
        <f>+'PT7'!D134</f>
        <v/>
      </c>
    </row>
    <row r="136" spans="2:17" x14ac:dyDescent="0.3">
      <c r="B136" s="103" t="str">
        <f>LEFT('PT3'!C135,6)</f>
        <v/>
      </c>
      <c r="C136" s="121" t="str">
        <f>+'PT3'!D135</f>
        <v/>
      </c>
      <c r="D136" s="103"/>
      <c r="F136" s="103" t="str">
        <f>LEFT('PT4'!C135,6)</f>
        <v/>
      </c>
      <c r="G136" s="121" t="str">
        <f>+'PT4'!D135</f>
        <v/>
      </c>
      <c r="H136" s="103"/>
      <c r="J136" s="103" t="str">
        <f>LEFT('PT5'!C135,6)</f>
        <v/>
      </c>
      <c r="K136" s="121" t="str">
        <f>+'PT5'!D135</f>
        <v/>
      </c>
      <c r="M136" s="103" t="str">
        <f>LEFT('PT6'!C135,6)</f>
        <v>C1-190</v>
      </c>
      <c r="N136" s="121">
        <f>+'PT6'!D135</f>
        <v>0</v>
      </c>
      <c r="P136" s="103" t="str">
        <f>LEFT('PT7'!C135,6)</f>
        <v/>
      </c>
      <c r="Q136" s="121" t="str">
        <f>+'PT7'!D135</f>
        <v/>
      </c>
    </row>
    <row r="137" spans="2:17" x14ac:dyDescent="0.3">
      <c r="B137" s="103" t="str">
        <f>LEFT('PT3'!C136,6)</f>
        <v/>
      </c>
      <c r="C137" s="121" t="str">
        <f>+'PT3'!D136</f>
        <v/>
      </c>
      <c r="D137" s="103"/>
      <c r="F137" s="103" t="str">
        <f>LEFT('PT4'!C136,6)</f>
        <v/>
      </c>
      <c r="G137" s="121" t="str">
        <f>+'PT4'!D136</f>
        <v/>
      </c>
      <c r="H137" s="103"/>
      <c r="J137" s="103" t="str">
        <f>LEFT('PT5'!C136,6)</f>
        <v/>
      </c>
      <c r="K137" s="121" t="str">
        <f>+'PT5'!D136</f>
        <v/>
      </c>
      <c r="M137" s="103" t="str">
        <f>LEFT('PT6'!C136,6)</f>
        <v>C1-190</v>
      </c>
      <c r="N137" s="121">
        <f>+'PT6'!D136</f>
        <v>0</v>
      </c>
      <c r="P137" s="103" t="str">
        <f>LEFT('PT7'!C136,6)</f>
        <v/>
      </c>
      <c r="Q137" s="121" t="str">
        <f>+'PT7'!D136</f>
        <v/>
      </c>
    </row>
    <row r="138" spans="2:17" x14ac:dyDescent="0.3">
      <c r="B138" s="103" t="str">
        <f>LEFT('PT3'!C137,6)</f>
        <v/>
      </c>
      <c r="C138" s="121" t="str">
        <f>+'PT3'!D137</f>
        <v/>
      </c>
      <c r="D138" s="103"/>
      <c r="F138" s="103" t="str">
        <f>LEFT('PT4'!C137,6)</f>
        <v/>
      </c>
      <c r="G138" s="121" t="str">
        <f>+'PT4'!D137</f>
        <v/>
      </c>
      <c r="H138" s="103"/>
      <c r="J138" s="103" t="str">
        <f>LEFT('PT5'!C137,6)</f>
        <v/>
      </c>
      <c r="K138" s="121" t="str">
        <f>+'PT5'!D137</f>
        <v/>
      </c>
      <c r="M138" s="103" t="str">
        <f>LEFT('PT6'!C137,6)</f>
        <v>C1-200</v>
      </c>
      <c r="N138" s="121">
        <f>+'PT6'!D137</f>
        <v>0</v>
      </c>
      <c r="P138" s="103" t="str">
        <f>LEFT('PT7'!C137,6)</f>
        <v/>
      </c>
      <c r="Q138" s="121" t="str">
        <f>+'PT7'!D137</f>
        <v/>
      </c>
    </row>
    <row r="139" spans="2:17" x14ac:dyDescent="0.3">
      <c r="B139" s="103" t="str">
        <f>LEFT('PT3'!C138,6)</f>
        <v/>
      </c>
      <c r="C139" s="121" t="str">
        <f>+'PT3'!D138</f>
        <v/>
      </c>
      <c r="D139" s="103"/>
      <c r="F139" s="103" t="str">
        <f>LEFT('PT4'!C138,6)</f>
        <v/>
      </c>
      <c r="G139" s="121" t="str">
        <f>+'PT4'!D138</f>
        <v/>
      </c>
      <c r="H139" s="103"/>
      <c r="J139" s="103" t="str">
        <f>LEFT('PT5'!C138,6)</f>
        <v/>
      </c>
      <c r="K139" s="121" t="str">
        <f>+'PT5'!D138</f>
        <v/>
      </c>
      <c r="M139" s="103" t="str">
        <f>LEFT('PT6'!C138,6)</f>
        <v>C1-210</v>
      </c>
      <c r="N139" s="121">
        <f>+'PT6'!D138</f>
        <v>0</v>
      </c>
      <c r="P139" s="103" t="str">
        <f>LEFT('PT7'!C138,6)</f>
        <v/>
      </c>
      <c r="Q139" s="121" t="str">
        <f>+'PT7'!D138</f>
        <v/>
      </c>
    </row>
    <row r="140" spans="2:17" x14ac:dyDescent="0.3">
      <c r="B140" s="103" t="str">
        <f>LEFT('PT3'!C139,6)</f>
        <v/>
      </c>
      <c r="C140" s="121" t="str">
        <f>+'PT3'!D139</f>
        <v/>
      </c>
      <c r="D140" s="103"/>
      <c r="F140" s="103" t="str">
        <f>LEFT('PT4'!C139,6)</f>
        <v/>
      </c>
      <c r="G140" s="121" t="str">
        <f>+'PT4'!D139</f>
        <v/>
      </c>
      <c r="H140" s="103"/>
      <c r="J140" s="103" t="str">
        <f>LEFT('PT5'!C139,6)</f>
        <v/>
      </c>
      <c r="K140" s="121" t="str">
        <f>+'PT5'!D139</f>
        <v/>
      </c>
      <c r="M140" s="103" t="str">
        <f>LEFT('PT6'!C139,6)</f>
        <v>C1-220</v>
      </c>
      <c r="N140" s="121">
        <f>+'PT6'!D139</f>
        <v>0</v>
      </c>
      <c r="P140" s="103" t="str">
        <f>LEFT('PT7'!C139,6)</f>
        <v/>
      </c>
      <c r="Q140" s="121" t="str">
        <f>+'PT7'!D139</f>
        <v/>
      </c>
    </row>
    <row r="141" spans="2:17" x14ac:dyDescent="0.3">
      <c r="B141" s="103" t="str">
        <f>LEFT('PT3'!C140,6)</f>
        <v/>
      </c>
      <c r="C141" s="121" t="str">
        <f>+'PT3'!D140</f>
        <v/>
      </c>
      <c r="D141" s="103"/>
      <c r="F141" s="103" t="str">
        <f>LEFT('PT4'!C140,6)</f>
        <v/>
      </c>
      <c r="G141" s="121" t="str">
        <f>+'PT4'!D140</f>
        <v/>
      </c>
      <c r="H141" s="103"/>
      <c r="J141" s="103" t="str">
        <f>LEFT('PT5'!C140,6)</f>
        <v/>
      </c>
      <c r="K141" s="121" t="str">
        <f>+'PT5'!D140</f>
        <v/>
      </c>
      <c r="M141" s="103" t="str">
        <f>LEFT('PT6'!C140,6)</f>
        <v>C1-230</v>
      </c>
      <c r="N141" s="121">
        <f>+'PT6'!D140</f>
        <v>0</v>
      </c>
      <c r="P141" s="103" t="str">
        <f>LEFT('PT7'!C140,6)</f>
        <v/>
      </c>
      <c r="Q141" s="121" t="str">
        <f>+'PT7'!D140</f>
        <v/>
      </c>
    </row>
    <row r="142" spans="2:17" x14ac:dyDescent="0.3">
      <c r="B142" s="103" t="str">
        <f>LEFT('PT3'!C141,6)</f>
        <v/>
      </c>
      <c r="C142" s="121" t="str">
        <f>+'PT3'!D141</f>
        <v/>
      </c>
      <c r="D142" s="103"/>
      <c r="F142" s="103" t="str">
        <f>LEFT('PT4'!C141,6)</f>
        <v/>
      </c>
      <c r="G142" s="121" t="str">
        <f>+'PT4'!D141</f>
        <v/>
      </c>
      <c r="H142" s="103"/>
      <c r="J142" s="103" t="str">
        <f>LEFT('PT5'!C141,6)</f>
        <v/>
      </c>
      <c r="K142" s="121" t="str">
        <f>+'PT5'!D141</f>
        <v/>
      </c>
      <c r="M142" s="103" t="str">
        <f>LEFT('PT6'!C141,6)</f>
        <v>C1-250</v>
      </c>
      <c r="N142" s="121">
        <f>+'PT6'!D141</f>
        <v>0</v>
      </c>
      <c r="P142" s="103" t="str">
        <f>LEFT('PT7'!C141,6)</f>
        <v/>
      </c>
      <c r="Q142" s="121" t="str">
        <f>+'PT7'!D141</f>
        <v/>
      </c>
    </row>
    <row r="143" spans="2:17" x14ac:dyDescent="0.3">
      <c r="B143" s="103" t="str">
        <f>LEFT('PT3'!C142,6)</f>
        <v/>
      </c>
      <c r="C143" s="121" t="str">
        <f>+'PT3'!D142</f>
        <v/>
      </c>
      <c r="D143" s="103"/>
      <c r="F143" s="103" t="str">
        <f>LEFT('PT4'!C142,6)</f>
        <v/>
      </c>
      <c r="G143" s="121" t="str">
        <f>+'PT4'!D142</f>
        <v/>
      </c>
      <c r="H143" s="103"/>
      <c r="J143" s="103" t="str">
        <f>LEFT('PT5'!C142,6)</f>
        <v/>
      </c>
      <c r="K143" s="121" t="str">
        <f>+'PT5'!D142</f>
        <v/>
      </c>
      <c r="M143" s="103" t="str">
        <f>LEFT('PT6'!C142,6)</f>
        <v>C1-PH0</v>
      </c>
      <c r="N143" s="121">
        <f>+'PT6'!D142</f>
        <v>0</v>
      </c>
      <c r="P143" s="103" t="str">
        <f>LEFT('PT7'!C142,6)</f>
        <v/>
      </c>
      <c r="Q143" s="121" t="str">
        <f>+'PT7'!D142</f>
        <v/>
      </c>
    </row>
    <row r="144" spans="2:17" x14ac:dyDescent="0.3">
      <c r="B144" s="103" t="str">
        <f>LEFT('PT3'!C143,6)</f>
        <v/>
      </c>
      <c r="C144" s="121" t="str">
        <f>+'PT3'!D143</f>
        <v/>
      </c>
      <c r="D144" s="103"/>
      <c r="F144" s="103" t="str">
        <f>LEFT('PT4'!C143,6)</f>
        <v/>
      </c>
      <c r="G144" s="121" t="str">
        <f>+'PT4'!D143</f>
        <v/>
      </c>
      <c r="H144" s="103"/>
      <c r="J144" s="103" t="str">
        <f>LEFT('PT5'!C143,6)</f>
        <v/>
      </c>
      <c r="K144" s="121" t="str">
        <f>+'PT5'!D143</f>
        <v/>
      </c>
      <c r="M144" s="103" t="str">
        <f>LEFT('PT6'!C143,6)</f>
        <v>C1-PH0</v>
      </c>
      <c r="N144" s="121">
        <f>+'PT6'!D143</f>
        <v>0</v>
      </c>
      <c r="P144" s="103" t="str">
        <f>LEFT('PT7'!C143,6)</f>
        <v/>
      </c>
      <c r="Q144" s="121" t="str">
        <f>+'PT7'!D143</f>
        <v/>
      </c>
    </row>
    <row r="145" spans="2:17" x14ac:dyDescent="0.3">
      <c r="B145" s="103" t="str">
        <f>LEFT('PT3'!C144,6)</f>
        <v/>
      </c>
      <c r="C145" s="121" t="str">
        <f>+'PT3'!D144</f>
        <v/>
      </c>
      <c r="D145" s="103"/>
      <c r="F145" s="103" t="str">
        <f>LEFT('PT4'!C144,6)</f>
        <v/>
      </c>
      <c r="G145" s="121" t="str">
        <f>+'PT4'!D144</f>
        <v/>
      </c>
      <c r="H145" s="103"/>
      <c r="J145" s="103" t="str">
        <f>LEFT('PT5'!C144,6)</f>
        <v/>
      </c>
      <c r="K145" s="121" t="str">
        <f>+'PT5'!D144</f>
        <v/>
      </c>
      <c r="M145" s="103" t="str">
        <f>LEFT('PT6'!C144,6)</f>
        <v>C2-109</v>
      </c>
      <c r="N145" s="121">
        <f>+'PT6'!D144</f>
        <v>0</v>
      </c>
      <c r="P145" s="103" t="str">
        <f>LEFT('PT7'!C144,6)</f>
        <v/>
      </c>
      <c r="Q145" s="121" t="str">
        <f>+'PT7'!D144</f>
        <v/>
      </c>
    </row>
    <row r="146" spans="2:17" x14ac:dyDescent="0.3">
      <c r="B146" s="103" t="str">
        <f>LEFT('PT3'!C145,6)</f>
        <v/>
      </c>
      <c r="C146" s="121" t="str">
        <f>+'PT3'!D145</f>
        <v/>
      </c>
      <c r="D146" s="103"/>
      <c r="F146" s="103" t="str">
        <f>LEFT('PT4'!C145,6)</f>
        <v/>
      </c>
      <c r="G146" s="121" t="str">
        <f>+'PT4'!D145</f>
        <v/>
      </c>
      <c r="H146" s="103"/>
      <c r="J146" s="103" t="str">
        <f>LEFT('PT5'!C145,6)</f>
        <v/>
      </c>
      <c r="K146" s="121" t="str">
        <f>+'PT5'!D145</f>
        <v/>
      </c>
      <c r="M146" s="103" t="str">
        <f>LEFT('PT6'!C145,6)</f>
        <v>C2-110</v>
      </c>
      <c r="N146" s="121">
        <f>+'PT6'!D145</f>
        <v>0</v>
      </c>
      <c r="P146" s="103" t="str">
        <f>LEFT('PT7'!C145,6)</f>
        <v/>
      </c>
      <c r="Q146" s="121" t="str">
        <f>+'PT7'!D145</f>
        <v/>
      </c>
    </row>
    <row r="147" spans="2:17" x14ac:dyDescent="0.3">
      <c r="B147" s="103" t="str">
        <f>LEFT('PT3'!C146,6)</f>
        <v/>
      </c>
      <c r="C147" s="121" t="str">
        <f>+'PT3'!D146</f>
        <v/>
      </c>
      <c r="D147" s="103"/>
      <c r="F147" s="103" t="str">
        <f>LEFT('PT4'!C146,6)</f>
        <v/>
      </c>
      <c r="G147" s="121" t="str">
        <f>+'PT4'!D146</f>
        <v/>
      </c>
      <c r="H147" s="103"/>
      <c r="J147" s="103" t="str">
        <f>LEFT('PT5'!C146,6)</f>
        <v/>
      </c>
      <c r="K147" s="121" t="str">
        <f>+'PT5'!D146</f>
        <v/>
      </c>
      <c r="M147" s="103" t="str">
        <f>LEFT('PT6'!C146,6)</f>
        <v>C2-209</v>
      </c>
      <c r="N147" s="121">
        <f>+'PT6'!D146</f>
        <v>0</v>
      </c>
      <c r="P147" s="103" t="str">
        <f>LEFT('PT7'!C146,6)</f>
        <v/>
      </c>
      <c r="Q147" s="121" t="str">
        <f>+'PT7'!D146</f>
        <v/>
      </c>
    </row>
    <row r="148" spans="2:17" x14ac:dyDescent="0.3">
      <c r="B148" s="103" t="str">
        <f>LEFT('PT3'!C147,6)</f>
        <v/>
      </c>
      <c r="C148" s="121" t="str">
        <f>+'PT3'!D147</f>
        <v/>
      </c>
      <c r="D148" s="103"/>
      <c r="F148" s="103" t="str">
        <f>LEFT('PT4'!C147,6)</f>
        <v/>
      </c>
      <c r="G148" s="121" t="str">
        <f>+'PT4'!D147</f>
        <v/>
      </c>
      <c r="H148" s="103"/>
      <c r="J148" s="103" t="str">
        <f>LEFT('PT5'!C147,6)</f>
        <v/>
      </c>
      <c r="K148" s="121" t="str">
        <f>+'PT5'!D147</f>
        <v/>
      </c>
      <c r="M148" s="103" t="str">
        <f>LEFT('PT6'!C147,6)</f>
        <v>C2-210</v>
      </c>
      <c r="N148" s="121">
        <f>+'PT6'!D147</f>
        <v>0</v>
      </c>
      <c r="P148" s="103" t="str">
        <f>LEFT('PT7'!C147,6)</f>
        <v/>
      </c>
      <c r="Q148" s="121" t="str">
        <f>+'PT7'!D147</f>
        <v/>
      </c>
    </row>
    <row r="149" spans="2:17" x14ac:dyDescent="0.3">
      <c r="B149" s="103" t="str">
        <f>LEFT('PT3'!C148,6)</f>
        <v/>
      </c>
      <c r="C149" s="121" t="str">
        <f>+'PT3'!D148</f>
        <v/>
      </c>
      <c r="D149" s="103"/>
      <c r="F149" s="103" t="str">
        <f>LEFT('PT4'!C148,6)</f>
        <v/>
      </c>
      <c r="G149" s="121" t="str">
        <f>+'PT4'!D148</f>
        <v/>
      </c>
      <c r="H149" s="103"/>
      <c r="J149" s="103" t="str">
        <f>LEFT('PT5'!C148,6)</f>
        <v/>
      </c>
      <c r="K149" s="121" t="str">
        <f>+'PT5'!D148</f>
        <v/>
      </c>
      <c r="M149" s="103" t="str">
        <f>LEFT('PT6'!C148,6)</f>
        <v>C2-409</v>
      </c>
      <c r="N149" s="121">
        <f>+'PT6'!D148</f>
        <v>0</v>
      </c>
      <c r="P149" s="103" t="str">
        <f>LEFT('PT7'!C148,6)</f>
        <v/>
      </c>
      <c r="Q149" s="121" t="str">
        <f>+'PT7'!D148</f>
        <v/>
      </c>
    </row>
    <row r="150" spans="2:17" x14ac:dyDescent="0.3">
      <c r="B150" s="103" t="str">
        <f>LEFT('PT3'!C149,6)</f>
        <v/>
      </c>
      <c r="C150" s="121" t="str">
        <f>+'PT3'!D149</f>
        <v/>
      </c>
      <c r="D150" s="103"/>
      <c r="F150" s="103" t="str">
        <f>LEFT('PT4'!C149,6)</f>
        <v/>
      </c>
      <c r="G150" s="121" t="str">
        <f>+'PT4'!D149</f>
        <v/>
      </c>
      <c r="H150" s="103"/>
      <c r="J150" s="103" t="str">
        <f>LEFT('PT5'!C149,6)</f>
        <v/>
      </c>
      <c r="K150" s="121" t="str">
        <f>+'PT5'!D149</f>
        <v/>
      </c>
      <c r="M150" s="103" t="str">
        <f>LEFT('PT6'!C149,6)</f>
        <v>C2-410</v>
      </c>
      <c r="N150" s="121">
        <f>+'PT6'!D149</f>
        <v>0</v>
      </c>
      <c r="P150" s="103" t="str">
        <f>LEFT('PT7'!C149,6)</f>
        <v/>
      </c>
      <c r="Q150" s="121" t="str">
        <f>+'PT7'!D149</f>
        <v/>
      </c>
    </row>
    <row r="151" spans="2:17" x14ac:dyDescent="0.3">
      <c r="B151" s="103" t="str">
        <f>LEFT('PT3'!C150,6)</f>
        <v/>
      </c>
      <c r="C151" s="121" t="str">
        <f>+'PT3'!D150</f>
        <v/>
      </c>
      <c r="D151" s="103"/>
      <c r="F151" s="103" t="str">
        <f>LEFT('PT4'!C150,6)</f>
        <v/>
      </c>
      <c r="G151" s="121" t="str">
        <f>+'PT4'!D150</f>
        <v/>
      </c>
      <c r="H151" s="103"/>
      <c r="J151" s="103" t="str">
        <f>LEFT('PT5'!C150,6)</f>
        <v/>
      </c>
      <c r="K151" s="121" t="str">
        <f>+'PT5'!D150</f>
        <v/>
      </c>
      <c r="M151" s="103" t="str">
        <f>LEFT('PT6'!C150,6)</f>
        <v>C2-509</v>
      </c>
      <c r="N151" s="121">
        <f>+'PT6'!D150</f>
        <v>0</v>
      </c>
      <c r="P151" s="103" t="str">
        <f>LEFT('PT7'!C150,6)</f>
        <v/>
      </c>
      <c r="Q151" s="121" t="str">
        <f>+'PT7'!D150</f>
        <v/>
      </c>
    </row>
    <row r="152" spans="2:17" x14ac:dyDescent="0.3">
      <c r="B152" s="103" t="str">
        <f>LEFT('PT3'!C151,6)</f>
        <v/>
      </c>
      <c r="C152" s="121" t="str">
        <f>+'PT3'!D151</f>
        <v/>
      </c>
      <c r="D152" s="103"/>
      <c r="F152" s="103" t="str">
        <f>LEFT('PT4'!C151,6)</f>
        <v/>
      </c>
      <c r="G152" s="121" t="str">
        <f>+'PT4'!D151</f>
        <v/>
      </c>
      <c r="H152" s="103"/>
      <c r="J152" s="103" t="str">
        <f>LEFT('PT5'!C151,6)</f>
        <v/>
      </c>
      <c r="K152" s="121" t="str">
        <f>+'PT5'!D151</f>
        <v/>
      </c>
      <c r="M152" s="103" t="str">
        <f>LEFT('PT6'!C151,6)</f>
        <v>C2-510</v>
      </c>
      <c r="N152" s="121">
        <f>+'PT6'!D151</f>
        <v>0</v>
      </c>
      <c r="P152" s="103" t="str">
        <f>LEFT('PT7'!C151,6)</f>
        <v/>
      </c>
      <c r="Q152" s="121" t="str">
        <f>+'PT7'!D151</f>
        <v/>
      </c>
    </row>
    <row r="153" spans="2:17" x14ac:dyDescent="0.3">
      <c r="B153" s="103" t="str">
        <f>LEFT('PT3'!C152,6)</f>
        <v/>
      </c>
      <c r="C153" s="121" t="str">
        <f>+'PT3'!D152</f>
        <v/>
      </c>
      <c r="D153" s="103"/>
      <c r="F153" s="103" t="str">
        <f>LEFT('PT4'!C152,6)</f>
        <v/>
      </c>
      <c r="G153" s="121" t="str">
        <f>+'PT4'!D152</f>
        <v/>
      </c>
      <c r="H153" s="103"/>
      <c r="J153" s="103" t="str">
        <f>LEFT('PT5'!C152,6)</f>
        <v/>
      </c>
      <c r="K153" s="121" t="str">
        <f>+'PT5'!D152</f>
        <v/>
      </c>
      <c r="M153" s="103" t="str">
        <f>LEFT('PT6'!C152,6)</f>
        <v>C2-609</v>
      </c>
      <c r="N153" s="121">
        <f>+'PT6'!D152</f>
        <v>0</v>
      </c>
      <c r="P153" s="103" t="str">
        <f>LEFT('PT7'!C152,6)</f>
        <v/>
      </c>
      <c r="Q153" s="121" t="str">
        <f>+'PT7'!D152</f>
        <v/>
      </c>
    </row>
    <row r="154" spans="2:17" x14ac:dyDescent="0.3">
      <c r="B154" s="103" t="str">
        <f>LEFT('PT3'!C153,6)</f>
        <v/>
      </c>
      <c r="C154" s="121" t="str">
        <f>+'PT3'!D153</f>
        <v/>
      </c>
      <c r="D154" s="103"/>
      <c r="F154" s="103" t="str">
        <f>LEFT('PT4'!C153,6)</f>
        <v/>
      </c>
      <c r="G154" s="121" t="str">
        <f>+'PT4'!D153</f>
        <v/>
      </c>
      <c r="H154" s="103"/>
      <c r="J154" s="103" t="str">
        <f>LEFT('PT5'!C153,6)</f>
        <v/>
      </c>
      <c r="K154" s="121" t="str">
        <f>+'PT5'!D153</f>
        <v/>
      </c>
      <c r="M154" s="103" t="str">
        <f>LEFT('PT6'!C153,6)</f>
        <v>C2-610</v>
      </c>
      <c r="N154" s="121">
        <f>+'PT6'!D153</f>
        <v>0</v>
      </c>
      <c r="P154" s="103" t="str">
        <f>LEFT('PT7'!C153,6)</f>
        <v/>
      </c>
      <c r="Q154" s="121" t="str">
        <f>+'PT7'!D153</f>
        <v/>
      </c>
    </row>
    <row r="155" spans="2:17" x14ac:dyDescent="0.3">
      <c r="B155" s="103" t="str">
        <f>LEFT('PT3'!C154,6)</f>
        <v/>
      </c>
      <c r="C155" s="121" t="str">
        <f>+'PT3'!D154</f>
        <v/>
      </c>
      <c r="D155" s="103"/>
      <c r="F155" s="103" t="str">
        <f>LEFT('PT4'!C154,6)</f>
        <v/>
      </c>
      <c r="G155" s="121" t="str">
        <f>+'PT4'!D154</f>
        <v/>
      </c>
      <c r="H155" s="103"/>
      <c r="J155" s="103" t="str">
        <f>LEFT('PT5'!C154,6)</f>
        <v/>
      </c>
      <c r="K155" s="121" t="str">
        <f>+'PT5'!D154</f>
        <v/>
      </c>
      <c r="M155" s="103" t="str">
        <f>LEFT('PT6'!C154,6)</f>
        <v>C2-709</v>
      </c>
      <c r="N155" s="121">
        <f>+'PT6'!D154</f>
        <v>0</v>
      </c>
      <c r="P155" s="103" t="str">
        <f>LEFT('PT7'!C154,6)</f>
        <v/>
      </c>
      <c r="Q155" s="121" t="str">
        <f>+'PT7'!D154</f>
        <v/>
      </c>
    </row>
    <row r="156" spans="2:17" x14ac:dyDescent="0.3">
      <c r="B156" s="103" t="str">
        <f>LEFT('PT3'!C155,6)</f>
        <v/>
      </c>
      <c r="C156" s="121" t="str">
        <f>+'PT3'!D155</f>
        <v/>
      </c>
      <c r="D156" s="103"/>
      <c r="F156" s="103" t="str">
        <f>LEFT('PT4'!C155,6)</f>
        <v/>
      </c>
      <c r="G156" s="121" t="str">
        <f>+'PT4'!D155</f>
        <v/>
      </c>
      <c r="H156" s="103"/>
      <c r="J156" s="103" t="str">
        <f>LEFT('PT5'!C155,6)</f>
        <v/>
      </c>
      <c r="K156" s="121" t="str">
        <f>+'PT5'!D155</f>
        <v/>
      </c>
      <c r="M156" s="103" t="str">
        <f>LEFT('PT6'!C155,6)</f>
        <v>C2-710</v>
      </c>
      <c r="N156" s="121">
        <f>+'PT6'!D155</f>
        <v>0</v>
      </c>
      <c r="P156" s="103" t="str">
        <f>LEFT('PT7'!C155,6)</f>
        <v/>
      </c>
      <c r="Q156" s="121" t="str">
        <f>+'PT7'!D155</f>
        <v/>
      </c>
    </row>
    <row r="157" spans="2:17" x14ac:dyDescent="0.3">
      <c r="B157" s="103" t="str">
        <f>LEFT('PT3'!C156,6)</f>
        <v/>
      </c>
      <c r="C157" s="121" t="str">
        <f>+'PT3'!D156</f>
        <v/>
      </c>
      <c r="D157" s="103"/>
      <c r="F157" s="103" t="str">
        <f>LEFT('PT4'!C156,6)</f>
        <v/>
      </c>
      <c r="G157" s="121" t="str">
        <f>+'PT4'!D156</f>
        <v/>
      </c>
      <c r="H157" s="103"/>
      <c r="J157" s="103" t="str">
        <f>LEFT('PT5'!C156,6)</f>
        <v/>
      </c>
      <c r="K157" s="121" t="str">
        <f>+'PT5'!D156</f>
        <v/>
      </c>
      <c r="M157" s="103" t="str">
        <f>LEFT('PT6'!C156,6)</f>
        <v>C2-810</v>
      </c>
      <c r="N157" s="121">
        <f>+'PT6'!D156</f>
        <v>0</v>
      </c>
      <c r="P157" s="103" t="str">
        <f>LEFT('PT7'!C156,6)</f>
        <v/>
      </c>
      <c r="Q157" s="121" t="str">
        <f>+'PT7'!D156</f>
        <v/>
      </c>
    </row>
    <row r="158" spans="2:17" x14ac:dyDescent="0.3">
      <c r="B158" s="103" t="str">
        <f>LEFT('PT3'!C157,6)</f>
        <v/>
      </c>
      <c r="C158" s="121" t="str">
        <f>+'PT3'!D157</f>
        <v/>
      </c>
      <c r="D158" s="103"/>
      <c r="F158" s="103" t="str">
        <f>LEFT('PT4'!C157,6)</f>
        <v/>
      </c>
      <c r="G158" s="121" t="str">
        <f>+'PT4'!D157</f>
        <v/>
      </c>
      <c r="H158" s="103"/>
      <c r="J158" s="103" t="str">
        <f>LEFT('PT5'!C157,6)</f>
        <v/>
      </c>
      <c r="K158" s="121" t="str">
        <f>+'PT5'!D157</f>
        <v/>
      </c>
      <c r="M158" s="103" t="str">
        <f>LEFT('PT6'!C157,6)</f>
        <v>C2-910</v>
      </c>
      <c r="N158" s="121">
        <f>+'PT6'!D157</f>
        <v>0</v>
      </c>
      <c r="P158" s="103" t="str">
        <f>LEFT('PT7'!C157,6)</f>
        <v/>
      </c>
      <c r="Q158" s="121" t="str">
        <f>+'PT7'!D157</f>
        <v/>
      </c>
    </row>
    <row r="159" spans="2:17" x14ac:dyDescent="0.3">
      <c r="B159" s="103" t="str">
        <f>LEFT('PT3'!C158,6)</f>
        <v/>
      </c>
      <c r="C159" s="121" t="str">
        <f>+'PT3'!D158</f>
        <v/>
      </c>
      <c r="D159" s="103"/>
      <c r="F159" s="103" t="str">
        <f>LEFT('PT4'!C158,6)</f>
        <v/>
      </c>
      <c r="G159" s="121" t="str">
        <f>+'PT4'!D158</f>
        <v/>
      </c>
      <c r="H159" s="103"/>
      <c r="J159" s="103" t="str">
        <f>LEFT('PT5'!C158,6)</f>
        <v/>
      </c>
      <c r="K159" s="121" t="str">
        <f>+'PT5'!D158</f>
        <v/>
      </c>
      <c r="M159" s="103" t="str">
        <f>LEFT('PT6'!C158,6)</f>
        <v>C2-100</v>
      </c>
      <c r="N159" s="121">
        <f>+'PT6'!D158</f>
        <v>0</v>
      </c>
      <c r="P159" s="103" t="str">
        <f>LEFT('PT7'!C158,6)</f>
        <v/>
      </c>
      <c r="Q159" s="121" t="str">
        <f>+'PT7'!D158</f>
        <v/>
      </c>
    </row>
    <row r="160" spans="2:17" x14ac:dyDescent="0.3">
      <c r="B160" s="103" t="str">
        <f>LEFT('PT3'!C159,6)</f>
        <v/>
      </c>
      <c r="C160" s="121" t="str">
        <f>+'PT3'!D159</f>
        <v/>
      </c>
      <c r="D160" s="103"/>
      <c r="F160" s="103" t="str">
        <f>LEFT('PT4'!C159,6)</f>
        <v/>
      </c>
      <c r="G160" s="121" t="str">
        <f>+'PT4'!D159</f>
        <v/>
      </c>
      <c r="H160" s="103"/>
      <c r="J160" s="103" t="str">
        <f>LEFT('PT5'!C159,6)</f>
        <v/>
      </c>
      <c r="K160" s="121" t="str">
        <f>+'PT5'!D159</f>
        <v/>
      </c>
      <c r="M160" s="103" t="str">
        <f>LEFT('PT6'!C159,6)</f>
        <v>C2-101</v>
      </c>
      <c r="N160" s="121">
        <f>+'PT6'!D159</f>
        <v>0</v>
      </c>
      <c r="P160" s="103" t="str">
        <f>LEFT('PT7'!C159,6)</f>
        <v/>
      </c>
      <c r="Q160" s="121" t="str">
        <f>+'PT7'!D159</f>
        <v/>
      </c>
    </row>
    <row r="161" spans="2:17" x14ac:dyDescent="0.3">
      <c r="B161" s="103" t="str">
        <f>LEFT('PT3'!C160,6)</f>
        <v/>
      </c>
      <c r="C161" s="121" t="str">
        <f>+'PT3'!D160</f>
        <v/>
      </c>
      <c r="D161" s="103"/>
      <c r="F161" s="103" t="str">
        <f>LEFT('PT4'!C160,6)</f>
        <v/>
      </c>
      <c r="G161" s="121" t="str">
        <f>+'PT4'!D160</f>
        <v/>
      </c>
      <c r="H161" s="103"/>
      <c r="J161" s="103" t="str">
        <f>LEFT('PT5'!C160,6)</f>
        <v/>
      </c>
      <c r="K161" s="121" t="str">
        <f>+'PT5'!D160</f>
        <v/>
      </c>
      <c r="M161" s="103" t="str">
        <f>LEFT('PT6'!C160,6)</f>
        <v>C2-120</v>
      </c>
      <c r="N161" s="121">
        <f>+'PT6'!D160</f>
        <v>0</v>
      </c>
      <c r="P161" s="103" t="str">
        <f>LEFT('PT7'!C160,6)</f>
        <v/>
      </c>
      <c r="Q161" s="121" t="str">
        <f>+'PT7'!D160</f>
        <v/>
      </c>
    </row>
    <row r="162" spans="2:17" x14ac:dyDescent="0.3">
      <c r="B162" s="103" t="str">
        <f>LEFT('PT3'!C161,6)</f>
        <v/>
      </c>
      <c r="C162" s="121" t="str">
        <f>+'PT3'!D161</f>
        <v/>
      </c>
      <c r="D162" s="103"/>
      <c r="F162" s="103" t="str">
        <f>LEFT('PT4'!C161,6)</f>
        <v/>
      </c>
      <c r="G162" s="121" t="str">
        <f>+'PT4'!D161</f>
        <v/>
      </c>
      <c r="H162" s="103"/>
      <c r="J162" s="103" t="str">
        <f>LEFT('PT5'!C161,6)</f>
        <v/>
      </c>
      <c r="K162" s="121" t="str">
        <f>+'PT5'!D161</f>
        <v/>
      </c>
      <c r="M162" s="103" t="str">
        <f>LEFT('PT6'!C161,6)</f>
        <v>C2-131</v>
      </c>
      <c r="N162" s="121">
        <f>+'PT6'!D161</f>
        <v>0</v>
      </c>
      <c r="P162" s="103" t="str">
        <f>LEFT('PT7'!C161,6)</f>
        <v/>
      </c>
      <c r="Q162" s="121" t="str">
        <f>+'PT7'!D161</f>
        <v/>
      </c>
    </row>
    <row r="163" spans="2:17" x14ac:dyDescent="0.3">
      <c r="B163" s="103" t="str">
        <f>LEFT('PT3'!C162,6)</f>
        <v/>
      </c>
      <c r="C163" s="121" t="str">
        <f>+'PT3'!D162</f>
        <v/>
      </c>
      <c r="D163" s="103"/>
      <c r="F163" s="103" t="str">
        <f>LEFT('PT4'!C162,6)</f>
        <v/>
      </c>
      <c r="G163" s="121" t="str">
        <f>+'PT4'!D162</f>
        <v/>
      </c>
      <c r="H163" s="103"/>
      <c r="J163" s="103" t="str">
        <f>LEFT('PT5'!C162,6)</f>
        <v/>
      </c>
      <c r="K163" s="121" t="str">
        <f>+'PT5'!D162</f>
        <v/>
      </c>
      <c r="M163" s="103" t="str">
        <f>LEFT('PT6'!C162,6)</f>
        <v>C2-140</v>
      </c>
      <c r="N163" s="121">
        <f>+'PT6'!D162</f>
        <v>0</v>
      </c>
      <c r="P163" s="103" t="str">
        <f>LEFT('PT7'!C162,6)</f>
        <v/>
      </c>
      <c r="Q163" s="121" t="str">
        <f>+'PT7'!D162</f>
        <v/>
      </c>
    </row>
    <row r="164" spans="2:17" x14ac:dyDescent="0.3">
      <c r="B164" s="103" t="str">
        <f>LEFT('PT3'!C163,6)</f>
        <v/>
      </c>
      <c r="C164" s="121" t="str">
        <f>+'PT3'!D163</f>
        <v/>
      </c>
      <c r="D164" s="103"/>
      <c r="F164" s="103" t="str">
        <f>LEFT('PT4'!C163,6)</f>
        <v/>
      </c>
      <c r="G164" s="121" t="str">
        <f>+'PT4'!D163</f>
        <v/>
      </c>
      <c r="H164" s="103"/>
      <c r="J164" s="103" t="str">
        <f>LEFT('PT5'!C163,6)</f>
        <v/>
      </c>
      <c r="K164" s="121" t="str">
        <f>+'PT5'!D163</f>
        <v/>
      </c>
      <c r="M164" s="103" t="str">
        <f>LEFT('PT6'!C163,6)</f>
        <v>C2-150</v>
      </c>
      <c r="N164" s="121">
        <f>+'PT6'!D163</f>
        <v>0</v>
      </c>
      <c r="P164" s="103" t="str">
        <f>LEFT('PT7'!C163,6)</f>
        <v/>
      </c>
      <c r="Q164" s="121" t="str">
        <f>+'PT7'!D163</f>
        <v/>
      </c>
    </row>
    <row r="165" spans="2:17" x14ac:dyDescent="0.3">
      <c r="B165" s="103" t="str">
        <f>LEFT('PT3'!C164,6)</f>
        <v/>
      </c>
      <c r="C165" s="121" t="str">
        <f>+'PT3'!D164</f>
        <v/>
      </c>
      <c r="D165" s="103"/>
      <c r="F165" s="103" t="str">
        <f>LEFT('PT4'!C164,6)</f>
        <v/>
      </c>
      <c r="G165" s="121" t="str">
        <f>+'PT4'!D164</f>
        <v/>
      </c>
      <c r="H165" s="103"/>
      <c r="J165" s="103" t="str">
        <f>LEFT('PT5'!C164,6)</f>
        <v/>
      </c>
      <c r="K165" s="121" t="str">
        <f>+'PT5'!D164</f>
        <v/>
      </c>
      <c r="M165" s="103" t="str">
        <f>LEFT('PT6'!C164,6)</f>
        <v>C2-151</v>
      </c>
      <c r="N165" s="121">
        <f>+'PT6'!D164</f>
        <v>0</v>
      </c>
      <c r="P165" s="103" t="str">
        <f>LEFT('PT7'!C164,6)</f>
        <v/>
      </c>
      <c r="Q165" s="121" t="str">
        <f>+'PT7'!D164</f>
        <v/>
      </c>
    </row>
    <row r="166" spans="2:17" x14ac:dyDescent="0.3">
      <c r="B166" s="103" t="str">
        <f>LEFT('PT3'!C165,6)</f>
        <v/>
      </c>
      <c r="C166" s="121" t="str">
        <f>+'PT3'!D165</f>
        <v/>
      </c>
      <c r="D166" s="103"/>
      <c r="F166" s="103" t="str">
        <f>LEFT('PT4'!C165,6)</f>
        <v/>
      </c>
      <c r="G166" s="121" t="str">
        <f>+'PT4'!D165</f>
        <v/>
      </c>
      <c r="H166" s="103"/>
      <c r="J166" s="103" t="str">
        <f>LEFT('PT5'!C165,6)</f>
        <v/>
      </c>
      <c r="K166" s="121" t="str">
        <f>+'PT5'!D165</f>
        <v/>
      </c>
      <c r="M166" s="103" t="str">
        <f>LEFT('PT6'!C165,6)</f>
        <v>C2-160</v>
      </c>
      <c r="N166" s="121">
        <f>+'PT6'!D165</f>
        <v>0</v>
      </c>
      <c r="P166" s="103" t="str">
        <f>LEFT('PT7'!C165,6)</f>
        <v/>
      </c>
      <c r="Q166" s="121" t="str">
        <f>+'PT7'!D165</f>
        <v/>
      </c>
    </row>
    <row r="167" spans="2:17" x14ac:dyDescent="0.3">
      <c r="B167" s="103" t="str">
        <f>LEFT('PT3'!C166,6)</f>
        <v/>
      </c>
      <c r="C167" s="121" t="str">
        <f>+'PT3'!D166</f>
        <v/>
      </c>
      <c r="D167" s="103"/>
      <c r="F167" s="103" t="str">
        <f>LEFT('PT4'!C166,6)</f>
        <v/>
      </c>
      <c r="G167" s="121" t="str">
        <f>+'PT4'!D166</f>
        <v/>
      </c>
      <c r="H167" s="103"/>
      <c r="J167" s="103" t="str">
        <f>LEFT('PT5'!C166,6)</f>
        <v/>
      </c>
      <c r="K167" s="121" t="str">
        <f>+'PT5'!D166</f>
        <v/>
      </c>
      <c r="M167" s="103" t="str">
        <f>LEFT('PT6'!C166,6)</f>
        <v>C2-170</v>
      </c>
      <c r="N167" s="121">
        <f>+'PT6'!D166</f>
        <v>0</v>
      </c>
      <c r="P167" s="103" t="str">
        <f>LEFT('PT7'!C166,6)</f>
        <v/>
      </c>
      <c r="Q167" s="121" t="str">
        <f>+'PT7'!D166</f>
        <v/>
      </c>
    </row>
    <row r="168" spans="2:17" x14ac:dyDescent="0.3">
      <c r="B168" s="103" t="str">
        <f>LEFT('PT3'!C167,6)</f>
        <v/>
      </c>
      <c r="C168" s="121" t="str">
        <f>+'PT3'!D167</f>
        <v/>
      </c>
      <c r="D168" s="103"/>
      <c r="F168" s="103" t="str">
        <f>LEFT('PT4'!C167,6)</f>
        <v/>
      </c>
      <c r="G168" s="121" t="str">
        <f>+'PT4'!D167</f>
        <v/>
      </c>
      <c r="H168" s="103"/>
      <c r="J168" s="103" t="str">
        <f>LEFT('PT5'!C167,6)</f>
        <v/>
      </c>
      <c r="K168" s="121" t="str">
        <f>+'PT5'!D167</f>
        <v/>
      </c>
      <c r="M168" s="103" t="str">
        <f>LEFT('PT6'!C167,6)</f>
        <v>C2-171</v>
      </c>
      <c r="N168" s="121">
        <f>+'PT6'!D167</f>
        <v>0</v>
      </c>
      <c r="P168" s="103" t="str">
        <f>LEFT('PT7'!C167,6)</f>
        <v/>
      </c>
      <c r="Q168" s="121" t="str">
        <f>+'PT7'!D167</f>
        <v/>
      </c>
    </row>
    <row r="169" spans="2:17" x14ac:dyDescent="0.3">
      <c r="B169" s="103" t="str">
        <f>LEFT('PT3'!C168,6)</f>
        <v/>
      </c>
      <c r="C169" s="121" t="str">
        <f>+'PT3'!D168</f>
        <v/>
      </c>
      <c r="D169" s="103"/>
      <c r="F169" s="103" t="str">
        <f>LEFT('PT4'!C168,6)</f>
        <v/>
      </c>
      <c r="G169" s="121" t="str">
        <f>+'PT4'!D168</f>
        <v/>
      </c>
      <c r="H169" s="103"/>
      <c r="J169" s="103" t="str">
        <f>LEFT('PT5'!C168,6)</f>
        <v/>
      </c>
      <c r="K169" s="121" t="str">
        <f>+'PT5'!D168</f>
        <v/>
      </c>
      <c r="M169" s="103" t="str">
        <f>LEFT('PT6'!C168,6)</f>
        <v>C2-181</v>
      </c>
      <c r="N169" s="121">
        <f>+'PT6'!D168</f>
        <v>0</v>
      </c>
      <c r="P169" s="103" t="str">
        <f>LEFT('PT7'!C168,6)</f>
        <v/>
      </c>
      <c r="Q169" s="121" t="str">
        <f>+'PT7'!D168</f>
        <v/>
      </c>
    </row>
    <row r="170" spans="2:17" x14ac:dyDescent="0.3">
      <c r="B170" s="103" t="str">
        <f>LEFT('PT3'!C169,6)</f>
        <v/>
      </c>
      <c r="C170" s="121" t="str">
        <f>+'PT3'!D169</f>
        <v/>
      </c>
      <c r="D170" s="103"/>
      <c r="F170" s="103" t="str">
        <f>LEFT('PT4'!C169,6)</f>
        <v/>
      </c>
      <c r="G170" s="121" t="str">
        <f>+'PT4'!D169</f>
        <v/>
      </c>
      <c r="H170" s="103"/>
      <c r="J170" s="103" t="str">
        <f>LEFT('PT5'!C169,6)</f>
        <v/>
      </c>
      <c r="K170" s="121" t="str">
        <f>+'PT5'!D169</f>
        <v/>
      </c>
      <c r="M170" s="103" t="str">
        <f>LEFT('PT6'!C169,6)</f>
        <v>C2-190</v>
      </c>
      <c r="N170" s="121">
        <f>+'PT6'!D169</f>
        <v>0</v>
      </c>
      <c r="P170" s="103" t="str">
        <f>LEFT('PT7'!C169,6)</f>
        <v/>
      </c>
      <c r="Q170" s="121" t="str">
        <f>+'PT7'!D169</f>
        <v/>
      </c>
    </row>
    <row r="171" spans="2:17" x14ac:dyDescent="0.3">
      <c r="B171" s="103" t="str">
        <f>LEFT('PT3'!C170,6)</f>
        <v/>
      </c>
      <c r="C171" s="121" t="str">
        <f>+'PT3'!D170</f>
        <v/>
      </c>
      <c r="D171" s="103"/>
      <c r="F171" s="103" t="str">
        <f>LEFT('PT4'!C170,6)</f>
        <v/>
      </c>
      <c r="G171" s="121" t="str">
        <f>+'PT4'!D170</f>
        <v/>
      </c>
      <c r="H171" s="103"/>
      <c r="J171" s="103" t="str">
        <f>LEFT('PT5'!C170,6)</f>
        <v/>
      </c>
      <c r="K171" s="121" t="str">
        <f>+'PT5'!D170</f>
        <v/>
      </c>
      <c r="M171" s="103" t="str">
        <f>LEFT('PT6'!C170,6)</f>
        <v>C2-191</v>
      </c>
      <c r="N171" s="121">
        <f>+'PT6'!D170</f>
        <v>0</v>
      </c>
      <c r="P171" s="103" t="str">
        <f>LEFT('PT7'!C170,6)</f>
        <v/>
      </c>
      <c r="Q171" s="121" t="str">
        <f>+'PT7'!D170</f>
        <v/>
      </c>
    </row>
    <row r="172" spans="2:17" x14ac:dyDescent="0.3">
      <c r="B172" s="103" t="str">
        <f>LEFT('PT3'!C171,6)</f>
        <v/>
      </c>
      <c r="C172" s="121" t="str">
        <f>+'PT3'!D171</f>
        <v/>
      </c>
      <c r="D172" s="103"/>
      <c r="F172" s="103" t="str">
        <f>LEFT('PT4'!C171,6)</f>
        <v/>
      </c>
      <c r="G172" s="121" t="str">
        <f>+'PT4'!D171</f>
        <v/>
      </c>
      <c r="H172" s="103"/>
      <c r="J172" s="103" t="str">
        <f>LEFT('PT5'!C171,6)</f>
        <v/>
      </c>
      <c r="K172" s="121" t="str">
        <f>+'PT5'!D171</f>
        <v/>
      </c>
      <c r="M172" s="103" t="str">
        <f>LEFT('PT6'!C171,6)</f>
        <v>C2-200</v>
      </c>
      <c r="N172" s="121">
        <f>+'PT6'!D171</f>
        <v>0</v>
      </c>
      <c r="P172" s="103" t="str">
        <f>LEFT('PT7'!C171,6)</f>
        <v/>
      </c>
      <c r="Q172" s="121" t="str">
        <f>+'PT7'!D171</f>
        <v/>
      </c>
    </row>
    <row r="173" spans="2:17" x14ac:dyDescent="0.3">
      <c r="B173" s="103" t="str">
        <f>LEFT('PT3'!C172,6)</f>
        <v/>
      </c>
      <c r="C173" s="121" t="str">
        <f>+'PT3'!D172</f>
        <v/>
      </c>
      <c r="D173" s="103"/>
      <c r="F173" s="103" t="str">
        <f>LEFT('PT4'!C172,6)</f>
        <v/>
      </c>
      <c r="G173" s="121" t="str">
        <f>+'PT4'!D172</f>
        <v/>
      </c>
      <c r="H173" s="103"/>
      <c r="J173" s="103" t="str">
        <f>LEFT('PT5'!C172,6)</f>
        <v/>
      </c>
      <c r="K173" s="121" t="str">
        <f>+'PT5'!D172</f>
        <v/>
      </c>
      <c r="M173" s="103" t="str">
        <f>LEFT('PT6'!C172,6)</f>
        <v>C2-211</v>
      </c>
      <c r="N173" s="121">
        <f>+'PT6'!D172</f>
        <v>0</v>
      </c>
      <c r="P173" s="103" t="str">
        <f>LEFT('PT7'!C172,6)</f>
        <v/>
      </c>
      <c r="Q173" s="121" t="str">
        <f>+'PT7'!D172</f>
        <v/>
      </c>
    </row>
    <row r="174" spans="2:17" x14ac:dyDescent="0.3">
      <c r="B174" s="103" t="str">
        <f>LEFT('PT3'!C173,6)</f>
        <v/>
      </c>
      <c r="C174" s="121" t="str">
        <f>+'PT3'!D173</f>
        <v/>
      </c>
      <c r="D174" s="103"/>
      <c r="F174" s="103" t="str">
        <f>LEFT('PT4'!C173,6)</f>
        <v/>
      </c>
      <c r="G174" s="121" t="str">
        <f>+'PT4'!D173</f>
        <v/>
      </c>
      <c r="H174" s="103"/>
      <c r="J174" s="103" t="str">
        <f>LEFT('PT5'!C173,6)</f>
        <v/>
      </c>
      <c r="K174" s="121" t="str">
        <f>+'PT5'!D173</f>
        <v/>
      </c>
      <c r="M174" s="103" t="str">
        <f>LEFT('PT6'!C173,6)</f>
        <v>C2-221</v>
      </c>
      <c r="N174" s="121">
        <f>+'PT6'!D173</f>
        <v>0</v>
      </c>
      <c r="P174" s="103" t="str">
        <f>LEFT('PT7'!C173,6)</f>
        <v/>
      </c>
      <c r="Q174" s="121" t="str">
        <f>+'PT7'!D173</f>
        <v/>
      </c>
    </row>
    <row r="175" spans="2:17" x14ac:dyDescent="0.3">
      <c r="B175" s="103" t="str">
        <f>LEFT('PT3'!C174,6)</f>
        <v/>
      </c>
      <c r="C175" s="121" t="str">
        <f>+'PT3'!D174</f>
        <v/>
      </c>
      <c r="D175" s="103"/>
      <c r="F175" s="103" t="str">
        <f>LEFT('PT4'!C174,6)</f>
        <v/>
      </c>
      <c r="G175" s="121" t="str">
        <f>+'PT4'!D174</f>
        <v/>
      </c>
      <c r="H175" s="103"/>
      <c r="J175" s="103" t="str">
        <f>LEFT('PT5'!C174,6)</f>
        <v/>
      </c>
      <c r="K175" s="121" t="str">
        <f>+'PT5'!D174</f>
        <v/>
      </c>
      <c r="M175" s="103" t="str">
        <f>LEFT('PT6'!C174,6)</f>
        <v>C2-230</v>
      </c>
      <c r="N175" s="121">
        <f>+'PT6'!D174</f>
        <v>0</v>
      </c>
      <c r="P175" s="103" t="str">
        <f>LEFT('PT7'!C174,6)</f>
        <v/>
      </c>
      <c r="Q175" s="121" t="str">
        <f>+'PT7'!D174</f>
        <v/>
      </c>
    </row>
    <row r="176" spans="2:17" x14ac:dyDescent="0.3">
      <c r="B176" s="103" t="str">
        <f>LEFT('PT3'!C175,6)</f>
        <v/>
      </c>
      <c r="C176" s="121" t="str">
        <f>+'PT3'!D175</f>
        <v/>
      </c>
      <c r="D176" s="103"/>
      <c r="F176" s="103" t="str">
        <f>LEFT('PT4'!C175,6)</f>
        <v/>
      </c>
      <c r="G176" s="121" t="str">
        <f>+'PT4'!D175</f>
        <v/>
      </c>
      <c r="H176" s="103"/>
      <c r="J176" s="103" t="str">
        <f>LEFT('PT5'!C175,6)</f>
        <v/>
      </c>
      <c r="K176" s="121" t="str">
        <f>+'PT5'!D175</f>
        <v/>
      </c>
      <c r="M176" s="103" t="str">
        <f>LEFT('PT6'!C175,6)</f>
        <v>C2-231</v>
      </c>
      <c r="N176" s="121">
        <f>+'PT6'!D175</f>
        <v>0</v>
      </c>
      <c r="P176" s="103" t="str">
        <f>LEFT('PT7'!C175,6)</f>
        <v/>
      </c>
      <c r="Q176" s="121" t="str">
        <f>+'PT7'!D175</f>
        <v/>
      </c>
    </row>
    <row r="177" spans="2:17" x14ac:dyDescent="0.3">
      <c r="B177" s="103" t="str">
        <f>LEFT('PT3'!C176,6)</f>
        <v/>
      </c>
      <c r="C177" s="121" t="str">
        <f>+'PT3'!D176</f>
        <v/>
      </c>
      <c r="D177" s="103"/>
      <c r="F177" s="103" t="str">
        <f>LEFT('PT4'!C176,6)</f>
        <v/>
      </c>
      <c r="G177" s="121" t="str">
        <f>+'PT4'!D176</f>
        <v/>
      </c>
      <c r="H177" s="103"/>
      <c r="J177" s="103" t="str">
        <f>LEFT('PT5'!C176,6)</f>
        <v/>
      </c>
      <c r="K177" s="121" t="str">
        <f>+'PT5'!D176</f>
        <v/>
      </c>
      <c r="M177" s="103" t="str">
        <f>LEFT('PT6'!C176,6)</f>
        <v>C2-250</v>
      </c>
      <c r="N177" s="121">
        <f>+'PT6'!D176</f>
        <v>0</v>
      </c>
      <c r="P177" s="103" t="str">
        <f>LEFT('PT7'!C176,6)</f>
        <v/>
      </c>
      <c r="Q177" s="121" t="str">
        <f>+'PT7'!D176</f>
        <v/>
      </c>
    </row>
    <row r="178" spans="2:17" x14ac:dyDescent="0.3">
      <c r="B178" s="103" t="str">
        <f>LEFT('PT3'!C177,6)</f>
        <v/>
      </c>
      <c r="C178" s="121" t="str">
        <f>+'PT3'!D177</f>
        <v/>
      </c>
      <c r="D178" s="103"/>
      <c r="F178" s="103" t="str">
        <f>LEFT('PT4'!C177,6)</f>
        <v/>
      </c>
      <c r="G178" s="121" t="str">
        <f>+'PT4'!D177</f>
        <v/>
      </c>
      <c r="H178" s="103"/>
      <c r="J178" s="103" t="str">
        <f>LEFT('PT5'!C177,6)</f>
        <v/>
      </c>
      <c r="K178" s="121" t="str">
        <f>+'PT5'!D177</f>
        <v/>
      </c>
      <c r="M178" s="103" t="str">
        <f>LEFT('PT6'!C177,6)</f>
        <v>C2-251</v>
      </c>
      <c r="N178" s="121">
        <f>+'PT6'!D177</f>
        <v>0</v>
      </c>
      <c r="P178" s="103" t="str">
        <f>LEFT('PT7'!C177,6)</f>
        <v/>
      </c>
      <c r="Q178" s="121" t="str">
        <f>+'PT7'!D177</f>
        <v/>
      </c>
    </row>
    <row r="179" spans="2:17" x14ac:dyDescent="0.3">
      <c r="B179" s="103" t="str">
        <f>LEFT('PT3'!C178,6)</f>
        <v/>
      </c>
      <c r="C179" s="121" t="str">
        <f>+'PT3'!D178</f>
        <v/>
      </c>
      <c r="D179" s="103"/>
      <c r="F179" s="103" t="str">
        <f>LEFT('PT4'!C178,6)</f>
        <v/>
      </c>
      <c r="G179" s="121" t="str">
        <f>+'PT4'!D178</f>
        <v/>
      </c>
      <c r="H179" s="103"/>
      <c r="J179" s="103" t="str">
        <f>LEFT('PT5'!C178,6)</f>
        <v/>
      </c>
      <c r="K179" s="121" t="str">
        <f>+'PT5'!D178</f>
        <v/>
      </c>
      <c r="M179" s="103" t="str">
        <f>LEFT('PT6'!C178,6)</f>
        <v>C2-PH0</v>
      </c>
      <c r="N179" s="121">
        <f>+'PT6'!D178</f>
        <v>0</v>
      </c>
      <c r="P179" s="103" t="str">
        <f>LEFT('PT7'!C178,6)</f>
        <v/>
      </c>
      <c r="Q179" s="121" t="str">
        <f>+'PT7'!D178</f>
        <v/>
      </c>
    </row>
    <row r="180" spans="2:17" x14ac:dyDescent="0.3">
      <c r="B180" s="103" t="str">
        <f>LEFT('PT3'!C179,6)</f>
        <v/>
      </c>
      <c r="C180" s="121" t="str">
        <f>+'PT3'!D179</f>
        <v/>
      </c>
      <c r="D180" s="103"/>
      <c r="F180" s="103" t="str">
        <f>LEFT('PT4'!C179,6)</f>
        <v/>
      </c>
      <c r="G180" s="121" t="str">
        <f>+'PT4'!D179</f>
        <v/>
      </c>
      <c r="H180" s="103"/>
      <c r="J180" s="103" t="str">
        <f>LEFT('PT5'!C179,6)</f>
        <v/>
      </c>
      <c r="K180" s="121" t="str">
        <f>+'PT5'!D179</f>
        <v/>
      </c>
      <c r="M180" s="103" t="str">
        <f>LEFT('PT6'!C179,6)</f>
        <v>C3-112</v>
      </c>
      <c r="N180" s="121">
        <f>+'PT6'!D179</f>
        <v>0</v>
      </c>
      <c r="P180" s="103" t="str">
        <f>LEFT('PT7'!C179,6)</f>
        <v/>
      </c>
      <c r="Q180" s="121" t="str">
        <f>+'PT7'!D179</f>
        <v/>
      </c>
    </row>
    <row r="181" spans="2:17" x14ac:dyDescent="0.3">
      <c r="B181" s="103" t="str">
        <f>LEFT('PT3'!C180,6)</f>
        <v/>
      </c>
      <c r="C181" s="121" t="str">
        <f>+'PT3'!D180</f>
        <v/>
      </c>
      <c r="D181" s="103"/>
      <c r="F181" s="103" t="str">
        <f>LEFT('PT4'!C180,6)</f>
        <v/>
      </c>
      <c r="G181" s="121" t="str">
        <f>+'PT4'!D180</f>
        <v/>
      </c>
      <c r="H181" s="103"/>
      <c r="J181" s="103" t="str">
        <f>LEFT('PT5'!C180,6)</f>
        <v/>
      </c>
      <c r="K181" s="121" t="str">
        <f>+'PT5'!D180</f>
        <v/>
      </c>
      <c r="M181" s="103" t="str">
        <f>LEFT('PT6'!C180,6)</f>
        <v>C3-411</v>
      </c>
      <c r="N181" s="121">
        <f>+'PT6'!D180</f>
        <v>0</v>
      </c>
      <c r="P181" s="103" t="str">
        <f>LEFT('PT7'!C180,6)</f>
        <v/>
      </c>
      <c r="Q181" s="121" t="str">
        <f>+'PT7'!D180</f>
        <v/>
      </c>
    </row>
    <row r="182" spans="2:17" x14ac:dyDescent="0.3">
      <c r="B182" s="103" t="str">
        <f>LEFT('PT3'!C181,6)</f>
        <v/>
      </c>
      <c r="C182" s="121" t="str">
        <f>+'PT3'!D181</f>
        <v/>
      </c>
      <c r="D182" s="103"/>
      <c r="F182" s="103" t="str">
        <f>LEFT('PT4'!C181,6)</f>
        <v/>
      </c>
      <c r="G182" s="121" t="str">
        <f>+'PT4'!D181</f>
        <v/>
      </c>
      <c r="H182" s="103"/>
      <c r="J182" s="103" t="str">
        <f>LEFT('PT5'!C181,6)</f>
        <v/>
      </c>
      <c r="K182" s="121" t="str">
        <f>+'PT5'!D181</f>
        <v/>
      </c>
      <c r="M182" s="103" t="str">
        <f>LEFT('PT6'!C181,6)</f>
        <v>C3-611</v>
      </c>
      <c r="N182" s="121">
        <f>+'PT6'!D181</f>
        <v>0</v>
      </c>
      <c r="P182" s="103" t="str">
        <f>LEFT('PT7'!C181,6)</f>
        <v/>
      </c>
      <c r="Q182" s="121" t="str">
        <f>+'PT7'!D181</f>
        <v/>
      </c>
    </row>
    <row r="183" spans="2:17" x14ac:dyDescent="0.3">
      <c r="B183" s="103" t="str">
        <f>LEFT('PT3'!C182,6)</f>
        <v/>
      </c>
      <c r="C183" s="121" t="str">
        <f>+'PT3'!D182</f>
        <v/>
      </c>
      <c r="D183" s="103"/>
      <c r="F183" s="103" t="str">
        <f>LEFT('PT4'!C182,6)</f>
        <v/>
      </c>
      <c r="G183" s="121" t="str">
        <f>+'PT4'!D182</f>
        <v/>
      </c>
      <c r="H183" s="103"/>
      <c r="J183" s="103" t="str">
        <f>LEFT('PT5'!C182,6)</f>
        <v/>
      </c>
      <c r="K183" s="121" t="str">
        <f>+'PT5'!D182</f>
        <v/>
      </c>
      <c r="M183" s="103" t="str">
        <f>LEFT('PT6'!C182,6)</f>
        <v>C3-711</v>
      </c>
      <c r="N183" s="121">
        <f>+'PT6'!D182</f>
        <v>0</v>
      </c>
      <c r="P183" s="103" t="str">
        <f>LEFT('PT7'!C182,6)</f>
        <v/>
      </c>
      <c r="Q183" s="121" t="str">
        <f>+'PT7'!D182</f>
        <v/>
      </c>
    </row>
    <row r="184" spans="2:17" x14ac:dyDescent="0.3">
      <c r="B184" s="103" t="str">
        <f>LEFT('PT3'!C183,6)</f>
        <v/>
      </c>
      <c r="C184" s="121" t="str">
        <f>+'PT3'!D183</f>
        <v/>
      </c>
      <c r="D184" s="103"/>
      <c r="F184" s="103" t="str">
        <f>LEFT('PT4'!C183,6)</f>
        <v/>
      </c>
      <c r="G184" s="121" t="str">
        <f>+'PT4'!D183</f>
        <v/>
      </c>
      <c r="H184" s="103"/>
      <c r="J184" s="103" t="str">
        <f>LEFT('PT5'!C183,6)</f>
        <v/>
      </c>
      <c r="K184" s="121" t="str">
        <f>+'PT5'!D183</f>
        <v/>
      </c>
      <c r="M184" s="103" t="str">
        <f>LEFT('PT6'!C183,6)</f>
        <v>C3-811</v>
      </c>
      <c r="N184" s="121">
        <f>+'PT6'!D183</f>
        <v>0</v>
      </c>
      <c r="P184" s="103" t="str">
        <f>LEFT('PT7'!C183,6)</f>
        <v/>
      </c>
      <c r="Q184" s="121" t="str">
        <f>+'PT7'!D183</f>
        <v/>
      </c>
    </row>
    <row r="185" spans="2:17" x14ac:dyDescent="0.3">
      <c r="B185" s="103" t="str">
        <f>LEFT('PT3'!C184,6)</f>
        <v/>
      </c>
      <c r="C185" s="121" t="str">
        <f>+'PT3'!D184</f>
        <v/>
      </c>
      <c r="D185" s="103"/>
      <c r="F185" s="103" t="str">
        <f>LEFT('PT4'!C184,6)</f>
        <v/>
      </c>
      <c r="G185" s="121" t="str">
        <f>+'PT4'!D184</f>
        <v/>
      </c>
      <c r="H185" s="103"/>
      <c r="J185" s="103" t="str">
        <f>LEFT('PT5'!C184,6)</f>
        <v/>
      </c>
      <c r="K185" s="121" t="str">
        <f>+'PT5'!D184</f>
        <v/>
      </c>
      <c r="M185" s="103" t="str">
        <f>LEFT('PT6'!C184,6)</f>
        <v>C3-912</v>
      </c>
      <c r="N185" s="121">
        <f>+'PT6'!D184</f>
        <v>0</v>
      </c>
      <c r="P185" s="103" t="str">
        <f>LEFT('PT7'!C184,6)</f>
        <v/>
      </c>
      <c r="Q185" s="121" t="str">
        <f>+'PT7'!D184</f>
        <v/>
      </c>
    </row>
    <row r="186" spans="2:17" x14ac:dyDescent="0.3">
      <c r="B186" s="103" t="str">
        <f>LEFT('PT3'!C185,6)</f>
        <v/>
      </c>
      <c r="C186" s="121" t="str">
        <f>+'PT3'!D185</f>
        <v/>
      </c>
      <c r="D186" s="103"/>
      <c r="F186" s="103" t="str">
        <f>LEFT('PT4'!C185,6)</f>
        <v/>
      </c>
      <c r="G186" s="121" t="str">
        <f>+'PT4'!D185</f>
        <v/>
      </c>
      <c r="H186" s="103"/>
      <c r="J186" s="103" t="str">
        <f>LEFT('PT5'!C185,6)</f>
        <v/>
      </c>
      <c r="K186" s="121" t="str">
        <f>+'PT5'!D185</f>
        <v/>
      </c>
      <c r="M186" s="103" t="str">
        <f>LEFT('PT6'!C185,6)</f>
        <v>C3-101</v>
      </c>
      <c r="N186" s="121">
        <f>+'PT6'!D185</f>
        <v>0</v>
      </c>
      <c r="P186" s="103" t="str">
        <f>LEFT('PT7'!C185,6)</f>
        <v/>
      </c>
      <c r="Q186" s="121" t="str">
        <f>+'PT7'!D185</f>
        <v/>
      </c>
    </row>
    <row r="187" spans="2:17" x14ac:dyDescent="0.3">
      <c r="B187" s="103" t="str">
        <f>LEFT('PT3'!C186,6)</f>
        <v/>
      </c>
      <c r="C187" s="121" t="str">
        <f>+'PT3'!D186</f>
        <v/>
      </c>
      <c r="D187" s="103"/>
      <c r="F187" s="103" t="str">
        <f>LEFT('PT4'!C186,6)</f>
        <v/>
      </c>
      <c r="G187" s="121" t="str">
        <f>+'PT4'!D186</f>
        <v/>
      </c>
      <c r="H187" s="103"/>
      <c r="J187" s="103" t="str">
        <f>LEFT('PT5'!C186,6)</f>
        <v/>
      </c>
      <c r="K187" s="121" t="str">
        <f>+'PT5'!D186</f>
        <v/>
      </c>
      <c r="M187" s="103" t="str">
        <f>LEFT('PT6'!C186,6)</f>
        <v>C3-101</v>
      </c>
      <c r="N187" s="121">
        <f>+'PT6'!D186</f>
        <v>0</v>
      </c>
      <c r="P187" s="103" t="str">
        <f>LEFT('PT7'!C186,6)</f>
        <v/>
      </c>
      <c r="Q187" s="121" t="str">
        <f>+'PT7'!D186</f>
        <v/>
      </c>
    </row>
    <row r="188" spans="2:17" x14ac:dyDescent="0.3">
      <c r="B188" s="103" t="str">
        <f>LEFT('PT3'!C187,6)</f>
        <v/>
      </c>
      <c r="C188" s="121" t="str">
        <f>+'PT3'!D187</f>
        <v/>
      </c>
      <c r="D188" s="103"/>
      <c r="F188" s="103" t="str">
        <f>LEFT('PT4'!C187,6)</f>
        <v/>
      </c>
      <c r="G188" s="121" t="str">
        <f>+'PT4'!D187</f>
        <v/>
      </c>
      <c r="H188" s="103"/>
      <c r="J188" s="103" t="str">
        <f>LEFT('PT5'!C187,6)</f>
        <v/>
      </c>
      <c r="K188" s="121" t="str">
        <f>+'PT5'!D187</f>
        <v/>
      </c>
      <c r="M188" s="103" t="str">
        <f>LEFT('PT6'!C187,6)</f>
        <v>C3-111</v>
      </c>
      <c r="N188" s="121">
        <f>+'PT6'!D187</f>
        <v>0</v>
      </c>
      <c r="P188" s="103" t="str">
        <f>LEFT('PT7'!C187,6)</f>
        <v/>
      </c>
      <c r="Q188" s="121" t="str">
        <f>+'PT7'!D187</f>
        <v/>
      </c>
    </row>
    <row r="189" spans="2:17" x14ac:dyDescent="0.3">
      <c r="B189" s="103" t="str">
        <f>LEFT('PT3'!C188,6)</f>
        <v/>
      </c>
      <c r="C189" s="121" t="str">
        <f>+'PT3'!D188</f>
        <v/>
      </c>
      <c r="D189" s="103"/>
      <c r="F189" s="103" t="str">
        <f>LEFT('PT4'!C188,6)</f>
        <v/>
      </c>
      <c r="G189" s="121" t="str">
        <f>+'PT4'!D188</f>
        <v/>
      </c>
      <c r="H189" s="103"/>
      <c r="J189" s="103" t="str">
        <f>LEFT('PT5'!C188,6)</f>
        <v/>
      </c>
      <c r="K189" s="121" t="str">
        <f>+'PT5'!D188</f>
        <v/>
      </c>
      <c r="M189" s="103" t="str">
        <f>LEFT('PT6'!C188,6)</f>
        <v>C3-121</v>
      </c>
      <c r="N189" s="121">
        <f>+'PT6'!D188</f>
        <v>0</v>
      </c>
      <c r="P189" s="103" t="str">
        <f>LEFT('PT7'!C188,6)</f>
        <v/>
      </c>
      <c r="Q189" s="121" t="str">
        <f>+'PT7'!D188</f>
        <v/>
      </c>
    </row>
    <row r="190" spans="2:17" x14ac:dyDescent="0.3">
      <c r="B190" s="103" t="str">
        <f>LEFT('PT3'!C189,6)</f>
        <v/>
      </c>
      <c r="C190" s="121" t="str">
        <f>+'PT3'!D189</f>
        <v/>
      </c>
      <c r="D190" s="103"/>
      <c r="F190" s="103" t="str">
        <f>LEFT('PT4'!C189,6)</f>
        <v/>
      </c>
      <c r="G190" s="121" t="str">
        <f>+'PT4'!D189</f>
        <v/>
      </c>
      <c r="H190" s="103"/>
      <c r="J190" s="103" t="str">
        <f>LEFT('PT5'!C189,6)</f>
        <v/>
      </c>
      <c r="K190" s="121" t="str">
        <f>+'PT5'!D189</f>
        <v/>
      </c>
      <c r="M190" s="103" t="str">
        <f>LEFT('PT6'!C189,6)</f>
        <v>C3-131</v>
      </c>
      <c r="N190" s="121">
        <f>+'PT6'!D189</f>
        <v>0</v>
      </c>
      <c r="P190" s="103" t="str">
        <f>LEFT('PT7'!C189,6)</f>
        <v/>
      </c>
      <c r="Q190" s="121" t="str">
        <f>+'PT7'!D189</f>
        <v/>
      </c>
    </row>
    <row r="191" spans="2:17" x14ac:dyDescent="0.3">
      <c r="B191" s="103" t="str">
        <f>LEFT('PT3'!C190,6)</f>
        <v/>
      </c>
      <c r="C191" s="121" t="str">
        <f>+'PT3'!D190</f>
        <v/>
      </c>
      <c r="D191" s="103"/>
      <c r="F191" s="103" t="str">
        <f>LEFT('PT4'!C190,6)</f>
        <v/>
      </c>
      <c r="G191" s="121" t="str">
        <f>+'PT4'!D190</f>
        <v/>
      </c>
      <c r="H191" s="103"/>
      <c r="J191" s="103" t="str">
        <f>LEFT('PT5'!C190,6)</f>
        <v/>
      </c>
      <c r="K191" s="121" t="str">
        <f>+'PT5'!D190</f>
        <v/>
      </c>
      <c r="M191" s="103" t="str">
        <f>LEFT('PT6'!C190,6)</f>
        <v>C3-131</v>
      </c>
      <c r="N191" s="121">
        <f>+'PT6'!D190</f>
        <v>0</v>
      </c>
      <c r="P191" s="103" t="str">
        <f>LEFT('PT7'!C190,6)</f>
        <v/>
      </c>
      <c r="Q191" s="121" t="str">
        <f>+'PT7'!D190</f>
        <v/>
      </c>
    </row>
    <row r="192" spans="2:17" x14ac:dyDescent="0.3">
      <c r="B192" s="103" t="str">
        <f>LEFT('PT3'!C191,6)</f>
        <v/>
      </c>
      <c r="C192" s="121" t="str">
        <f>+'PT3'!D191</f>
        <v/>
      </c>
      <c r="D192" s="103"/>
      <c r="F192" s="103" t="str">
        <f>LEFT('PT4'!C191,6)</f>
        <v/>
      </c>
      <c r="G192" s="121" t="str">
        <f>+'PT4'!D191</f>
        <v/>
      </c>
      <c r="H192" s="103"/>
      <c r="J192" s="103" t="str">
        <f>LEFT('PT5'!C191,6)</f>
        <v/>
      </c>
      <c r="K192" s="121" t="str">
        <f>+'PT5'!D191</f>
        <v/>
      </c>
      <c r="M192" s="103" t="str">
        <f>LEFT('PT6'!C191,6)</f>
        <v>C3-141</v>
      </c>
      <c r="N192" s="121">
        <f>+'PT6'!D191</f>
        <v>0</v>
      </c>
      <c r="P192" s="103" t="str">
        <f>LEFT('PT7'!C191,6)</f>
        <v/>
      </c>
      <c r="Q192" s="121" t="str">
        <f>+'PT7'!D191</f>
        <v/>
      </c>
    </row>
    <row r="193" spans="2:17" x14ac:dyDescent="0.3">
      <c r="B193" s="103" t="str">
        <f>LEFT('PT3'!C192,6)</f>
        <v/>
      </c>
      <c r="C193" s="121" t="str">
        <f>+'PT3'!D192</f>
        <v/>
      </c>
      <c r="D193" s="103"/>
      <c r="F193" s="103" t="str">
        <f>LEFT('PT4'!C192,6)</f>
        <v/>
      </c>
      <c r="G193" s="121" t="str">
        <f>+'PT4'!D192</f>
        <v/>
      </c>
      <c r="H193" s="103"/>
      <c r="J193" s="103" t="str">
        <f>LEFT('PT5'!C192,6)</f>
        <v/>
      </c>
      <c r="K193" s="121" t="str">
        <f>+'PT5'!D192</f>
        <v/>
      </c>
      <c r="M193" s="103" t="str">
        <f>LEFT('PT6'!C192,6)</f>
        <v>C3-151</v>
      </c>
      <c r="N193" s="121">
        <f>+'PT6'!D192</f>
        <v>0</v>
      </c>
      <c r="P193" s="103" t="str">
        <f>LEFT('PT7'!C192,6)</f>
        <v/>
      </c>
      <c r="Q193" s="121" t="str">
        <f>+'PT7'!D192</f>
        <v/>
      </c>
    </row>
    <row r="194" spans="2:17" x14ac:dyDescent="0.3">
      <c r="B194" s="103" t="str">
        <f>LEFT('PT3'!C193,6)</f>
        <v/>
      </c>
      <c r="C194" s="121" t="str">
        <f>+'PT3'!D193</f>
        <v/>
      </c>
      <c r="D194" s="103"/>
      <c r="F194" s="103" t="str">
        <f>LEFT('PT4'!C193,6)</f>
        <v/>
      </c>
      <c r="G194" s="121" t="str">
        <f>+'PT4'!D193</f>
        <v/>
      </c>
      <c r="H194" s="103"/>
      <c r="J194" s="103" t="str">
        <f>LEFT('PT5'!C193,6)</f>
        <v/>
      </c>
      <c r="K194" s="121" t="str">
        <f>+'PT5'!D193</f>
        <v/>
      </c>
      <c r="M194" s="103" t="str">
        <f>LEFT('PT6'!C193,6)</f>
        <v>C3-161</v>
      </c>
      <c r="N194" s="121">
        <f>+'PT6'!D193</f>
        <v>0</v>
      </c>
      <c r="P194" s="103" t="str">
        <f>LEFT('PT7'!C193,6)</f>
        <v/>
      </c>
      <c r="Q194" s="121" t="str">
        <f>+'PT7'!D193</f>
        <v/>
      </c>
    </row>
    <row r="195" spans="2:17" x14ac:dyDescent="0.3">
      <c r="B195" s="103" t="str">
        <f>LEFT('PT3'!C194,6)</f>
        <v/>
      </c>
      <c r="C195" s="121" t="str">
        <f>+'PT3'!D194</f>
        <v/>
      </c>
      <c r="D195" s="103"/>
      <c r="F195" s="103" t="str">
        <f>LEFT('PT4'!C194,6)</f>
        <v/>
      </c>
      <c r="G195" s="121" t="str">
        <f>+'PT4'!D194</f>
        <v/>
      </c>
      <c r="H195" s="103"/>
      <c r="J195" s="103" t="str">
        <f>LEFT('PT5'!C194,6)</f>
        <v/>
      </c>
      <c r="K195" s="121" t="str">
        <f>+'PT5'!D194</f>
        <v/>
      </c>
      <c r="M195" s="103" t="str">
        <f>LEFT('PT6'!C194,6)</f>
        <v>C3-171</v>
      </c>
      <c r="N195" s="121">
        <f>+'PT6'!D194</f>
        <v>0</v>
      </c>
      <c r="P195" s="103" t="str">
        <f>LEFT('PT7'!C194,6)</f>
        <v/>
      </c>
      <c r="Q195" s="121" t="str">
        <f>+'PT7'!D194</f>
        <v/>
      </c>
    </row>
    <row r="196" spans="2:17" x14ac:dyDescent="0.3">
      <c r="B196" s="103" t="str">
        <f>LEFT('PT3'!C195,6)</f>
        <v/>
      </c>
      <c r="C196" s="121" t="str">
        <f>+'PT3'!D195</f>
        <v/>
      </c>
      <c r="D196" s="103"/>
      <c r="F196" s="103" t="str">
        <f>LEFT('PT4'!C195,6)</f>
        <v/>
      </c>
      <c r="G196" s="121" t="str">
        <f>+'PT4'!D195</f>
        <v/>
      </c>
      <c r="H196" s="103"/>
      <c r="J196" s="103" t="str">
        <f>LEFT('PT5'!C195,6)</f>
        <v/>
      </c>
      <c r="K196" s="121" t="str">
        <f>+'PT5'!D195</f>
        <v/>
      </c>
      <c r="M196" s="103" t="str">
        <f>LEFT('PT6'!C195,6)</f>
        <v>C3-181</v>
      </c>
      <c r="N196" s="121">
        <f>+'PT6'!D195</f>
        <v>0</v>
      </c>
      <c r="P196" s="103" t="str">
        <f>LEFT('PT7'!C195,6)</f>
        <v/>
      </c>
      <c r="Q196" s="121" t="str">
        <f>+'PT7'!D195</f>
        <v/>
      </c>
    </row>
    <row r="197" spans="2:17" x14ac:dyDescent="0.3">
      <c r="B197" s="103" t="str">
        <f>LEFT('PT3'!C196,6)</f>
        <v/>
      </c>
      <c r="C197" s="121" t="str">
        <f>+'PT3'!D196</f>
        <v/>
      </c>
      <c r="D197" s="103"/>
      <c r="F197" s="103" t="str">
        <f>LEFT('PT4'!C196,6)</f>
        <v/>
      </c>
      <c r="G197" s="121" t="str">
        <f>+'PT4'!D196</f>
        <v/>
      </c>
      <c r="H197" s="103"/>
      <c r="J197" s="103" t="str">
        <f>LEFT('PT5'!C196,6)</f>
        <v/>
      </c>
      <c r="K197" s="121" t="str">
        <f>+'PT5'!D196</f>
        <v/>
      </c>
      <c r="M197" s="103" t="str">
        <f>LEFT('PT6'!C196,6)</f>
        <v>C3-191</v>
      </c>
      <c r="N197" s="121">
        <f>+'PT6'!D196</f>
        <v>0</v>
      </c>
      <c r="P197" s="103" t="str">
        <f>LEFT('PT7'!C196,6)</f>
        <v/>
      </c>
      <c r="Q197" s="121" t="str">
        <f>+'PT7'!D196</f>
        <v/>
      </c>
    </row>
    <row r="198" spans="2:17" x14ac:dyDescent="0.3">
      <c r="B198" s="103" t="str">
        <f>LEFT('PT3'!C197,6)</f>
        <v/>
      </c>
      <c r="C198" s="121" t="str">
        <f>+'PT3'!D197</f>
        <v/>
      </c>
      <c r="D198" s="103"/>
      <c r="F198" s="103" t="str">
        <f>LEFT('PT4'!C197,6)</f>
        <v/>
      </c>
      <c r="G198" s="121" t="str">
        <f>+'PT4'!D197</f>
        <v/>
      </c>
      <c r="H198" s="103"/>
      <c r="J198" s="103" t="str">
        <f>LEFT('PT5'!C197,6)</f>
        <v/>
      </c>
      <c r="K198" s="121" t="str">
        <f>+'PT5'!D197</f>
        <v/>
      </c>
      <c r="M198" s="103" t="str">
        <f>LEFT('PT6'!C197,6)</f>
        <v>C3-211</v>
      </c>
      <c r="N198" s="121">
        <f>+'PT6'!D197</f>
        <v>0</v>
      </c>
      <c r="P198" s="103" t="str">
        <f>LEFT('PT7'!C197,6)</f>
        <v/>
      </c>
      <c r="Q198" s="121" t="str">
        <f>+'PT7'!D197</f>
        <v/>
      </c>
    </row>
    <row r="199" spans="2:17" x14ac:dyDescent="0.3">
      <c r="B199" s="103" t="str">
        <f>LEFT('PT3'!C198,6)</f>
        <v/>
      </c>
      <c r="C199" s="121" t="str">
        <f>+'PT3'!D198</f>
        <v/>
      </c>
      <c r="D199" s="103"/>
      <c r="F199" s="103" t="str">
        <f>LEFT('PT4'!C198,6)</f>
        <v/>
      </c>
      <c r="G199" s="121" t="str">
        <f>+'PT4'!D198</f>
        <v/>
      </c>
      <c r="H199" s="103"/>
      <c r="J199" s="103" t="str">
        <f>LEFT('PT5'!C198,6)</f>
        <v/>
      </c>
      <c r="K199" s="121" t="str">
        <f>+'PT5'!D198</f>
        <v/>
      </c>
      <c r="M199" s="103" t="str">
        <f>LEFT('PT6'!C198,6)</f>
        <v>C3-231</v>
      </c>
      <c r="N199" s="121">
        <f>+'PT6'!D198</f>
        <v>0</v>
      </c>
      <c r="P199" s="103" t="str">
        <f>LEFT('PT7'!C198,6)</f>
        <v/>
      </c>
      <c r="Q199" s="121" t="str">
        <f>+'PT7'!D198</f>
        <v/>
      </c>
    </row>
    <row r="200" spans="2:17" x14ac:dyDescent="0.3">
      <c r="B200" s="103" t="str">
        <f>LEFT('PT3'!C199,6)</f>
        <v/>
      </c>
      <c r="C200" s="121" t="str">
        <f>+'PT3'!D199</f>
        <v/>
      </c>
      <c r="D200" s="103"/>
      <c r="F200" s="103" t="str">
        <f>LEFT('PT4'!C199,6)</f>
        <v/>
      </c>
      <c r="G200" s="121" t="str">
        <f>+'PT4'!D199</f>
        <v/>
      </c>
      <c r="H200" s="103"/>
      <c r="J200" s="103" t="str">
        <f>LEFT('PT5'!C199,6)</f>
        <v/>
      </c>
      <c r="K200" s="121" t="str">
        <f>+'PT5'!D199</f>
        <v/>
      </c>
      <c r="M200" s="103" t="str">
        <f>LEFT('PT6'!C199,6)</f>
        <v>C3-231</v>
      </c>
      <c r="N200" s="121">
        <f>+'PT6'!D199</f>
        <v>0</v>
      </c>
      <c r="P200" s="103" t="str">
        <f>LEFT('PT7'!C199,6)</f>
        <v/>
      </c>
      <c r="Q200" s="121" t="str">
        <f>+'PT7'!D199</f>
        <v/>
      </c>
    </row>
    <row r="201" spans="2:17" x14ac:dyDescent="0.3">
      <c r="B201" s="103" t="str">
        <f>LEFT('PT3'!C200,6)</f>
        <v/>
      </c>
      <c r="C201" s="121" t="str">
        <f>+'PT3'!D200</f>
        <v/>
      </c>
      <c r="D201" s="103"/>
      <c r="F201" s="103" t="str">
        <f>LEFT('PT4'!C200,6)</f>
        <v/>
      </c>
      <c r="G201" s="121" t="str">
        <f>+'PT4'!D200</f>
        <v/>
      </c>
      <c r="H201" s="103"/>
      <c r="J201" s="103" t="str">
        <f>LEFT('PT5'!C200,6)</f>
        <v/>
      </c>
      <c r="K201" s="121" t="str">
        <f>+'PT5'!D200</f>
        <v/>
      </c>
      <c r="M201" s="103" t="str">
        <f>LEFT('PT6'!C200,6)</f>
        <v>C3-241</v>
      </c>
      <c r="N201" s="121">
        <f>+'PT6'!D200</f>
        <v>0</v>
      </c>
      <c r="P201" s="103" t="str">
        <f>LEFT('PT7'!C200,6)</f>
        <v/>
      </c>
      <c r="Q201" s="121" t="str">
        <f>+'PT7'!D200</f>
        <v/>
      </c>
    </row>
    <row r="202" spans="2:17" x14ac:dyDescent="0.3">
      <c r="B202" s="103" t="str">
        <f>LEFT('PT3'!C201,6)</f>
        <v/>
      </c>
      <c r="C202" s="121" t="str">
        <f>+'PT3'!D201</f>
        <v/>
      </c>
      <c r="D202" s="103"/>
      <c r="F202" s="103" t="str">
        <f>LEFT('PT4'!C201,6)</f>
        <v/>
      </c>
      <c r="G202" s="121" t="str">
        <f>+'PT4'!D201</f>
        <v/>
      </c>
      <c r="H202" s="103"/>
      <c r="J202" s="103" t="str">
        <f>LEFT('PT5'!C201,6)</f>
        <v/>
      </c>
      <c r="K202" s="121" t="str">
        <f>+'PT5'!D201</f>
        <v/>
      </c>
      <c r="M202" s="103" t="str">
        <f>LEFT('PT6'!C201,6)</f>
        <v>C3-241</v>
      </c>
      <c r="N202" s="121">
        <f>+'PT6'!D201</f>
        <v>0</v>
      </c>
      <c r="P202" s="103" t="str">
        <f>LEFT('PT7'!C201,6)</f>
        <v/>
      </c>
      <c r="Q202" s="121" t="str">
        <f>+'PT7'!D201</f>
        <v/>
      </c>
    </row>
    <row r="203" spans="2:17" x14ac:dyDescent="0.3">
      <c r="B203" s="103" t="str">
        <f>LEFT('PT3'!C202,6)</f>
        <v/>
      </c>
      <c r="C203" s="121" t="str">
        <f>+'PT3'!D202</f>
        <v/>
      </c>
      <c r="D203" s="103"/>
      <c r="F203" s="103" t="str">
        <f>LEFT('PT4'!C202,6)</f>
        <v/>
      </c>
      <c r="G203" s="121" t="str">
        <f>+'PT4'!D202</f>
        <v/>
      </c>
      <c r="H203" s="103"/>
      <c r="J203" s="103" t="str">
        <f>LEFT('PT5'!C202,6)</f>
        <v/>
      </c>
      <c r="K203" s="121" t="str">
        <f>+'PT5'!D202</f>
        <v/>
      </c>
      <c r="M203" s="103" t="str">
        <f>LEFT('PT6'!C202,6)</f>
        <v>C3-251</v>
      </c>
      <c r="N203" s="121">
        <f>+'PT6'!D202</f>
        <v>0</v>
      </c>
      <c r="P203" s="103" t="str">
        <f>LEFT('PT7'!C202,6)</f>
        <v/>
      </c>
      <c r="Q203" s="121" t="str">
        <f>+'PT7'!D202</f>
        <v/>
      </c>
    </row>
    <row r="204" spans="2:17" x14ac:dyDescent="0.3">
      <c r="B204" s="103" t="str">
        <f>LEFT('PT3'!C203,6)</f>
        <v/>
      </c>
      <c r="C204" s="121" t="str">
        <f>+'PT3'!D203</f>
        <v/>
      </c>
      <c r="D204" s="103"/>
      <c r="F204" s="103" t="str">
        <f>LEFT('PT4'!C203,6)</f>
        <v/>
      </c>
      <c r="G204" s="121" t="str">
        <f>+'PT4'!D203</f>
        <v/>
      </c>
      <c r="H204" s="103"/>
      <c r="J204" s="103" t="str">
        <f>LEFT('PT5'!C203,6)</f>
        <v/>
      </c>
      <c r="K204" s="121" t="str">
        <f>+'PT5'!D203</f>
        <v/>
      </c>
      <c r="M204" s="103" t="str">
        <f>LEFT('PT6'!C203,6)</f>
        <v xml:space="preserve">A-602 </v>
      </c>
      <c r="N204" s="121">
        <f>+'PT6'!D203</f>
        <v>0</v>
      </c>
      <c r="P204" s="103" t="str">
        <f>LEFT('PT7'!C203,6)</f>
        <v/>
      </c>
      <c r="Q204" s="121" t="str">
        <f>+'PT7'!D203</f>
        <v/>
      </c>
    </row>
    <row r="205" spans="2:17" x14ac:dyDescent="0.3">
      <c r="B205" s="103" t="str">
        <f>LEFT('PT3'!C204,6)</f>
        <v/>
      </c>
      <c r="C205" s="121" t="str">
        <f>+'PT3'!D204</f>
        <v/>
      </c>
      <c r="D205" s="103"/>
      <c r="F205" s="103" t="str">
        <f>LEFT('PT4'!C204,6)</f>
        <v/>
      </c>
      <c r="G205" s="121" t="str">
        <f>+'PT4'!D204</f>
        <v/>
      </c>
      <c r="H205" s="103"/>
      <c r="J205" s="103" t="str">
        <f>LEFT('PT5'!C204,6)</f>
        <v/>
      </c>
      <c r="K205" s="121" t="str">
        <f>+'PT5'!D204</f>
        <v/>
      </c>
      <c r="M205" s="103" t="str">
        <f>LEFT('PT6'!C204,6)</f>
        <v>C1-230</v>
      </c>
      <c r="N205" s="121">
        <f>+'PT6'!D204</f>
        <v>0</v>
      </c>
      <c r="P205" s="103" t="str">
        <f>LEFT('PT7'!C204,6)</f>
        <v/>
      </c>
      <c r="Q205" s="121" t="str">
        <f>+'PT7'!D204</f>
        <v/>
      </c>
    </row>
    <row r="206" spans="2:17" x14ac:dyDescent="0.3">
      <c r="B206" s="103" t="str">
        <f>LEFT('PT3'!C205,6)</f>
        <v/>
      </c>
      <c r="C206" s="121" t="str">
        <f>+'PT3'!D205</f>
        <v/>
      </c>
      <c r="D206" s="103"/>
      <c r="F206" s="103" t="str">
        <f>LEFT('PT4'!C205,6)</f>
        <v/>
      </c>
      <c r="G206" s="121" t="str">
        <f>+'PT4'!D205</f>
        <v/>
      </c>
      <c r="H206" s="103"/>
      <c r="J206" s="103" t="str">
        <f>LEFT('PT5'!C205,6)</f>
        <v/>
      </c>
      <c r="K206" s="121" t="str">
        <f>+'PT5'!D205</f>
        <v/>
      </c>
      <c r="M206" s="103" t="str">
        <f>LEFT('PT6'!C205,6)</f>
        <v>C1-508</v>
      </c>
      <c r="N206" s="121">
        <f>+'PT6'!D205</f>
        <v>0</v>
      </c>
      <c r="P206" s="103" t="str">
        <f>LEFT('PT7'!C205,6)</f>
        <v/>
      </c>
      <c r="Q206" s="121" t="str">
        <f>+'PT7'!D205</f>
        <v/>
      </c>
    </row>
    <row r="207" spans="2:17" x14ac:dyDescent="0.3">
      <c r="B207" s="103" t="str">
        <f>LEFT('PT3'!C206,6)</f>
        <v/>
      </c>
      <c r="C207" s="121" t="str">
        <f>+'PT3'!D206</f>
        <v/>
      </c>
      <c r="D207" s="103"/>
      <c r="F207" s="103" t="str">
        <f>LEFT('PT4'!C206,6)</f>
        <v/>
      </c>
      <c r="G207" s="121" t="str">
        <f>+'PT4'!D206</f>
        <v/>
      </c>
      <c r="H207" s="103"/>
      <c r="J207" s="103" t="str">
        <f>LEFT('PT5'!C206,6)</f>
        <v/>
      </c>
      <c r="K207" s="121" t="str">
        <f>+'PT5'!D206</f>
        <v/>
      </c>
      <c r="M207" s="103" t="str">
        <f>LEFT('PT6'!C206,6)</f>
        <v>C3-212</v>
      </c>
      <c r="N207" s="121">
        <f>+'PT6'!D206</f>
        <v>0</v>
      </c>
      <c r="P207" s="103" t="str">
        <f>LEFT('PT7'!C206,6)</f>
        <v/>
      </c>
      <c r="Q207" s="121" t="str">
        <f>+'PT7'!D206</f>
        <v/>
      </c>
    </row>
    <row r="208" spans="2:17" x14ac:dyDescent="0.3">
      <c r="B208" s="103" t="str">
        <f>LEFT('PT3'!C207,6)</f>
        <v/>
      </c>
      <c r="C208" s="121" t="str">
        <f>+'PT3'!D207</f>
        <v/>
      </c>
      <c r="D208" s="103"/>
      <c r="F208" s="103" t="str">
        <f>LEFT('PT4'!C207,6)</f>
        <v/>
      </c>
      <c r="G208" s="121" t="str">
        <f>+'PT4'!D207</f>
        <v/>
      </c>
      <c r="H208" s="103"/>
      <c r="J208" s="103" t="str">
        <f>LEFT('PT5'!C207,6)</f>
        <v/>
      </c>
      <c r="K208" s="121" t="str">
        <f>+'PT5'!D207</f>
        <v/>
      </c>
      <c r="M208" s="103" t="str">
        <f>LEFT('PT6'!C207,6)</f>
        <v>A-1502</v>
      </c>
      <c r="N208" s="121">
        <f>+'PT6'!D207</f>
        <v>0</v>
      </c>
      <c r="P208" s="103" t="str">
        <f>LEFT('PT7'!C207,6)</f>
        <v/>
      </c>
      <c r="Q208" s="121" t="str">
        <f>+'PT7'!D207</f>
        <v/>
      </c>
    </row>
    <row r="209" spans="2:17" x14ac:dyDescent="0.3">
      <c r="B209" s="103" t="str">
        <f>LEFT('PT3'!C208,6)</f>
        <v/>
      </c>
      <c r="C209" s="121" t="str">
        <f>+'PT3'!D208</f>
        <v/>
      </c>
      <c r="D209" s="103"/>
      <c r="F209" s="103" t="str">
        <f>LEFT('PT4'!C208,6)</f>
        <v/>
      </c>
      <c r="G209" s="121" t="str">
        <f>+'PT4'!D208</f>
        <v/>
      </c>
      <c r="H209" s="103"/>
      <c r="J209" s="103" t="str">
        <f>LEFT('PT5'!C208,6)</f>
        <v/>
      </c>
      <c r="K209" s="121" t="str">
        <f>+'PT5'!D208</f>
        <v/>
      </c>
      <c r="M209" s="103" t="str">
        <f>LEFT('PT6'!C208,6)</f>
        <v>A-1402</v>
      </c>
      <c r="N209" s="121">
        <f>+'PT6'!D208</f>
        <v>0</v>
      </c>
      <c r="P209" s="103" t="str">
        <f>LEFT('PT7'!C208,6)</f>
        <v/>
      </c>
      <c r="Q209" s="121" t="str">
        <f>+'PT7'!D208</f>
        <v/>
      </c>
    </row>
    <row r="210" spans="2:17" x14ac:dyDescent="0.3">
      <c r="B210" s="103" t="str">
        <f>LEFT('PT3'!C209,6)</f>
        <v/>
      </c>
      <c r="C210" s="121" t="str">
        <f>+'PT3'!D209</f>
        <v/>
      </c>
      <c r="D210" s="103"/>
      <c r="F210" s="103" t="str">
        <f>LEFT('PT4'!C209,6)</f>
        <v/>
      </c>
      <c r="G210" s="121" t="str">
        <f>+'PT4'!D209</f>
        <v/>
      </c>
      <c r="H210" s="103"/>
      <c r="J210" s="103" t="str">
        <f>LEFT('PT5'!C209,6)</f>
        <v/>
      </c>
      <c r="K210" s="121" t="str">
        <f>+'PT5'!D209</f>
        <v/>
      </c>
      <c r="M210" s="103" t="str">
        <f>LEFT('PT6'!C209,6)</f>
        <v>A-PH02</v>
      </c>
      <c r="N210" s="121">
        <f>+'PT6'!D209</f>
        <v>0</v>
      </c>
      <c r="P210" s="103" t="str">
        <f>LEFT('PT7'!C209,6)</f>
        <v/>
      </c>
      <c r="Q210" s="121" t="str">
        <f>+'PT7'!D209</f>
        <v/>
      </c>
    </row>
    <row r="211" spans="2:17" x14ac:dyDescent="0.3">
      <c r="B211" s="103" t="str">
        <f>LEFT('PT3'!C210,6)</f>
        <v/>
      </c>
      <c r="C211" s="121" t="str">
        <f>+'PT3'!D210</f>
        <v/>
      </c>
      <c r="D211" s="103"/>
      <c r="F211" s="103" t="str">
        <f>LEFT('PT4'!C210,6)</f>
        <v/>
      </c>
      <c r="G211" s="121" t="str">
        <f>+'PT4'!D210</f>
        <v/>
      </c>
      <c r="H211" s="103"/>
      <c r="J211" s="103" t="str">
        <f>LEFT('PT5'!C210,6)</f>
        <v/>
      </c>
      <c r="K211" s="121" t="str">
        <f>+'PT5'!D210</f>
        <v/>
      </c>
      <c r="M211" s="103" t="str">
        <f>LEFT('PT6'!C210,6)</f>
        <v>O1-220</v>
      </c>
      <c r="N211" s="121">
        <f>+'PT6'!D210</f>
        <v>0</v>
      </c>
      <c r="P211" s="103" t="str">
        <f>LEFT('PT7'!C210,6)</f>
        <v/>
      </c>
      <c r="Q211" s="121" t="str">
        <f>+'PT7'!D210</f>
        <v/>
      </c>
    </row>
    <row r="212" spans="2:17" x14ac:dyDescent="0.3">
      <c r="B212" s="103" t="str">
        <f>LEFT('PT3'!C211,6)</f>
        <v/>
      </c>
      <c r="C212" s="121" t="str">
        <f>+'PT3'!D211</f>
        <v/>
      </c>
      <c r="D212" s="103"/>
      <c r="F212" s="103" t="str">
        <f>LEFT('PT4'!C211,6)</f>
        <v/>
      </c>
      <c r="G212" s="121" t="str">
        <f>+'PT4'!D211</f>
        <v/>
      </c>
      <c r="H212" s="103"/>
      <c r="J212" s="103" t="str">
        <f>LEFT('PT5'!C211,6)</f>
        <v/>
      </c>
      <c r="K212" s="121" t="str">
        <f>+'PT5'!D211</f>
        <v/>
      </c>
      <c r="M212" s="103" t="str">
        <f>LEFT('PT6'!C211,6)</f>
        <v>O2-106</v>
      </c>
      <c r="N212" s="121">
        <f>+'PT6'!D211</f>
        <v>0</v>
      </c>
      <c r="P212" s="103" t="str">
        <f>LEFT('PT7'!C211,6)</f>
        <v/>
      </c>
      <c r="Q212" s="121" t="str">
        <f>+'PT7'!D211</f>
        <v/>
      </c>
    </row>
    <row r="213" spans="2:17" x14ac:dyDescent="0.3">
      <c r="B213" s="103" t="str">
        <f>LEFT('PT3'!C212,6)</f>
        <v/>
      </c>
      <c r="C213" s="121" t="str">
        <f>+'PT3'!D212</f>
        <v/>
      </c>
      <c r="D213" s="103"/>
      <c r="F213" s="103" t="str">
        <f>LEFT('PT4'!C212,6)</f>
        <v/>
      </c>
      <c r="G213" s="121" t="str">
        <f>+'PT4'!D212</f>
        <v/>
      </c>
      <c r="H213" s="103"/>
      <c r="J213" s="103" t="str">
        <f>LEFT('PT5'!C212,6)</f>
        <v/>
      </c>
      <c r="K213" s="121" t="str">
        <f>+'PT5'!D212</f>
        <v/>
      </c>
      <c r="M213" s="103" t="str">
        <f>LEFT('PT6'!C212,6)</f>
        <v>O2-140</v>
      </c>
      <c r="N213" s="121">
        <f>+'PT6'!D212</f>
        <v>0</v>
      </c>
      <c r="P213" s="103" t="str">
        <f>LEFT('PT7'!C212,6)</f>
        <v/>
      </c>
      <c r="Q213" s="121" t="str">
        <f>+'PT7'!D212</f>
        <v/>
      </c>
    </row>
    <row r="214" spans="2:17" x14ac:dyDescent="0.3">
      <c r="B214" s="103" t="str">
        <f>LEFT('PT3'!C213,6)</f>
        <v/>
      </c>
      <c r="C214" s="121" t="str">
        <f>+'PT3'!D213</f>
        <v/>
      </c>
      <c r="D214" s="103"/>
      <c r="F214" s="103" t="str">
        <f>LEFT('PT4'!C213,6)</f>
        <v/>
      </c>
      <c r="G214" s="121" t="str">
        <f>+'PT4'!D213</f>
        <v/>
      </c>
      <c r="H214" s="103"/>
      <c r="J214" s="103" t="str">
        <f>LEFT('PT5'!C213,6)</f>
        <v/>
      </c>
      <c r="K214" s="121" t="str">
        <f>+'PT5'!D213</f>
        <v/>
      </c>
      <c r="M214" s="103" t="str">
        <f>LEFT('PT6'!C213,6)</f>
        <v>C1-907</v>
      </c>
      <c r="N214" s="121">
        <f>+'PT6'!D213</f>
        <v>0</v>
      </c>
      <c r="P214" s="103" t="str">
        <f>LEFT('PT7'!C213,6)</f>
        <v/>
      </c>
      <c r="Q214" s="121" t="str">
        <f>+'PT7'!D213</f>
        <v/>
      </c>
    </row>
    <row r="215" spans="2:17" x14ac:dyDescent="0.3">
      <c r="B215" s="103" t="str">
        <f>LEFT('PT3'!C214,6)</f>
        <v/>
      </c>
      <c r="C215" s="121" t="str">
        <f>+'PT3'!D214</f>
        <v/>
      </c>
      <c r="D215" s="103"/>
      <c r="F215" s="103" t="str">
        <f>LEFT('PT4'!C214,6)</f>
        <v/>
      </c>
      <c r="G215" s="121" t="str">
        <f>+'PT4'!D214</f>
        <v/>
      </c>
      <c r="H215" s="103"/>
      <c r="J215" s="103" t="str">
        <f>LEFT('PT5'!C214,6)</f>
        <v/>
      </c>
      <c r="K215" s="121" t="str">
        <f>+'PT5'!D214</f>
        <v/>
      </c>
      <c r="M215" s="103" t="str">
        <f>LEFT('PT6'!C214,6)</f>
        <v>C1-110</v>
      </c>
      <c r="N215" s="121">
        <f>+'PT6'!D214</f>
        <v>0</v>
      </c>
      <c r="P215" s="103" t="str">
        <f>LEFT('PT7'!C214,6)</f>
        <v/>
      </c>
      <c r="Q215" s="121" t="str">
        <f>+'PT7'!D214</f>
        <v/>
      </c>
    </row>
    <row r="216" spans="2:17" x14ac:dyDescent="0.3">
      <c r="B216" s="103" t="str">
        <f>LEFT('PT3'!C215,6)</f>
        <v/>
      </c>
      <c r="C216" s="121" t="str">
        <f>+'PT3'!D215</f>
        <v/>
      </c>
      <c r="D216" s="103"/>
      <c r="F216" s="103" t="str">
        <f>LEFT('PT4'!C215,6)</f>
        <v/>
      </c>
      <c r="G216" s="121" t="str">
        <f>+'PT4'!D215</f>
        <v/>
      </c>
      <c r="H216" s="103"/>
      <c r="J216" s="103" t="str">
        <f>LEFT('PT5'!C215,6)</f>
        <v/>
      </c>
      <c r="K216" s="121" t="str">
        <f>+'PT5'!D215</f>
        <v/>
      </c>
      <c r="M216" s="103" t="str">
        <f>LEFT('PT6'!C215,6)</f>
        <v>C1-170</v>
      </c>
      <c r="N216" s="121">
        <f>+'PT6'!D215</f>
        <v>0</v>
      </c>
      <c r="P216" s="103" t="str">
        <f>LEFT('PT7'!C215,6)</f>
        <v/>
      </c>
      <c r="Q216" s="121" t="str">
        <f>+'PT7'!D215</f>
        <v/>
      </c>
    </row>
    <row r="217" spans="2:17" x14ac:dyDescent="0.3">
      <c r="B217" s="103" t="str">
        <f>LEFT('PT3'!C216,6)</f>
        <v/>
      </c>
      <c r="C217" s="121" t="str">
        <f>+'PT3'!D216</f>
        <v/>
      </c>
      <c r="D217" s="103"/>
      <c r="F217" s="103" t="str">
        <f>LEFT('PT4'!C216,6)</f>
        <v/>
      </c>
      <c r="G217" s="121" t="str">
        <f>+'PT4'!D216</f>
        <v/>
      </c>
      <c r="H217" s="103"/>
      <c r="J217" s="103" t="str">
        <f>LEFT('PT5'!C216,6)</f>
        <v/>
      </c>
      <c r="K217" s="121" t="str">
        <f>+'PT5'!D216</f>
        <v/>
      </c>
      <c r="M217" s="103" t="str">
        <f>LEFT('PT6'!C216,6)</f>
        <v>C1-220</v>
      </c>
      <c r="N217" s="121">
        <f>+'PT6'!D216</f>
        <v>0</v>
      </c>
      <c r="P217" s="103" t="str">
        <f>LEFT('PT7'!C216,6)</f>
        <v/>
      </c>
      <c r="Q217" s="121" t="str">
        <f>+'PT7'!D216</f>
        <v/>
      </c>
    </row>
    <row r="218" spans="2:17" x14ac:dyDescent="0.3">
      <c r="B218" s="103" t="str">
        <f>LEFT('PT3'!C217,6)</f>
        <v/>
      </c>
      <c r="C218" s="121" t="str">
        <f>+'PT3'!D217</f>
        <v/>
      </c>
      <c r="D218" s="103"/>
      <c r="F218" s="103" t="str">
        <f>LEFT('PT4'!C217,6)</f>
        <v/>
      </c>
      <c r="G218" s="121" t="str">
        <f>+'PT4'!D217</f>
        <v/>
      </c>
      <c r="H218" s="103"/>
      <c r="J218" s="103" t="str">
        <f>LEFT('PT5'!C217,6)</f>
        <v/>
      </c>
      <c r="K218" s="121" t="str">
        <f>+'PT5'!D217</f>
        <v/>
      </c>
      <c r="M218" s="103" t="str">
        <f>LEFT('PT6'!C217,6)</f>
        <v>C2-130</v>
      </c>
      <c r="N218" s="121">
        <f>+'PT6'!D217</f>
        <v>0</v>
      </c>
      <c r="P218" s="103" t="str">
        <f>LEFT('PT7'!C217,6)</f>
        <v/>
      </c>
      <c r="Q218" s="121" t="str">
        <f>+'PT7'!D217</f>
        <v/>
      </c>
    </row>
    <row r="219" spans="2:17" x14ac:dyDescent="0.3">
      <c r="B219" s="103" t="str">
        <f>LEFT('PT3'!C218,6)</f>
        <v/>
      </c>
      <c r="C219" s="121" t="str">
        <f>+'PT3'!D218</f>
        <v/>
      </c>
      <c r="D219" s="103"/>
      <c r="F219" s="103" t="str">
        <f>LEFT('PT4'!C218,6)</f>
        <v/>
      </c>
      <c r="G219" s="121" t="str">
        <f>+'PT4'!D218</f>
        <v/>
      </c>
      <c r="H219" s="103"/>
      <c r="J219" s="103" t="str">
        <f>LEFT('PT5'!C218,6)</f>
        <v/>
      </c>
      <c r="K219" s="121" t="str">
        <f>+'PT5'!D218</f>
        <v/>
      </c>
      <c r="M219" s="103" t="str">
        <f>LEFT('PT6'!C218,6)</f>
        <v>C2-240</v>
      </c>
      <c r="N219" s="121">
        <f>+'PT6'!D218</f>
        <v>0</v>
      </c>
      <c r="P219" s="103" t="str">
        <f>LEFT('PT7'!C218,6)</f>
        <v/>
      </c>
      <c r="Q219" s="121" t="str">
        <f>+'PT7'!D218</f>
        <v/>
      </c>
    </row>
    <row r="220" spans="2:17" x14ac:dyDescent="0.3">
      <c r="B220" s="103" t="str">
        <f>LEFT('PT3'!C219,6)</f>
        <v/>
      </c>
      <c r="C220" s="121" t="str">
        <f>+'PT3'!D219</f>
        <v/>
      </c>
      <c r="D220" s="103"/>
      <c r="F220" s="103" t="str">
        <f>LEFT('PT4'!C219,6)</f>
        <v/>
      </c>
      <c r="G220" s="121" t="str">
        <f>+'PT4'!D219</f>
        <v/>
      </c>
      <c r="H220" s="103"/>
      <c r="J220" s="103" t="str">
        <f>LEFT('PT5'!C219,6)</f>
        <v/>
      </c>
      <c r="K220" s="121" t="str">
        <f>+'PT5'!D219</f>
        <v/>
      </c>
      <c r="M220" s="103" t="str">
        <f>LEFT('PT6'!C219,6)</f>
        <v>C3-201</v>
      </c>
      <c r="N220" s="121">
        <f>+'PT6'!D219</f>
        <v>0</v>
      </c>
      <c r="P220" s="103" t="str">
        <f>LEFT('PT7'!C219,6)</f>
        <v/>
      </c>
      <c r="Q220" s="121" t="str">
        <f>+'PT7'!D219</f>
        <v/>
      </c>
    </row>
    <row r="221" spans="2:17" x14ac:dyDescent="0.3">
      <c r="B221" s="103" t="str">
        <f>LEFT('PT3'!C220,6)</f>
        <v/>
      </c>
      <c r="C221" s="121" t="str">
        <f>+'PT3'!D220</f>
        <v/>
      </c>
      <c r="D221" s="103"/>
      <c r="F221" s="103" t="str">
        <f>LEFT('PT4'!C220,6)</f>
        <v/>
      </c>
      <c r="G221" s="121" t="str">
        <f>+'PT4'!D220</f>
        <v/>
      </c>
      <c r="H221" s="103"/>
      <c r="J221" s="103" t="str">
        <f>LEFT('PT5'!C220,6)</f>
        <v/>
      </c>
      <c r="K221" s="121" t="str">
        <f>+'PT5'!D220</f>
        <v/>
      </c>
      <c r="M221" s="103" t="str">
        <f>LEFT('PT6'!C220,6)</f>
        <v>C3-251</v>
      </c>
      <c r="N221" s="121">
        <f>+'PT6'!D220</f>
        <v>0</v>
      </c>
      <c r="P221" s="103" t="str">
        <f>LEFT('PT7'!C220,6)</f>
        <v/>
      </c>
      <c r="Q221" s="121" t="str">
        <f>+'PT7'!D220</f>
        <v/>
      </c>
    </row>
    <row r="222" spans="2:17" x14ac:dyDescent="0.3">
      <c r="B222" s="103" t="str">
        <f>LEFT('PT3'!C221,6)</f>
        <v/>
      </c>
      <c r="C222" s="121" t="str">
        <f>+'PT3'!D221</f>
        <v/>
      </c>
      <c r="D222" s="103"/>
      <c r="F222" s="103" t="str">
        <f>LEFT('PT4'!C221,6)</f>
        <v/>
      </c>
      <c r="G222" s="121" t="str">
        <f>+'PT4'!D221</f>
        <v/>
      </c>
      <c r="H222" s="103"/>
      <c r="J222" s="103" t="str">
        <f>LEFT('PT5'!C221,6)</f>
        <v/>
      </c>
      <c r="K222" s="121" t="str">
        <f>+'PT5'!D221</f>
        <v/>
      </c>
      <c r="M222" s="103" t="str">
        <f>LEFT('PT6'!C221,6)</f>
        <v>C1-120</v>
      </c>
      <c r="N222" s="121">
        <f>+'PT6'!D221</f>
        <v>0</v>
      </c>
      <c r="P222" s="103" t="str">
        <f>LEFT('PT7'!C221,6)</f>
        <v/>
      </c>
      <c r="Q222" s="121" t="str">
        <f>+'PT7'!D221</f>
        <v/>
      </c>
    </row>
    <row r="223" spans="2:17" x14ac:dyDescent="0.3">
      <c r="B223" s="103" t="str">
        <f>LEFT('PT3'!C222,6)</f>
        <v/>
      </c>
      <c r="C223" s="121" t="str">
        <f>+'PT3'!D222</f>
        <v/>
      </c>
      <c r="D223" s="103"/>
      <c r="F223" s="103" t="str">
        <f>LEFT('PT4'!C222,6)</f>
        <v/>
      </c>
      <c r="G223" s="121" t="str">
        <f>+'PT4'!D222</f>
        <v/>
      </c>
      <c r="H223" s="103"/>
      <c r="J223" s="103" t="str">
        <f>LEFT('PT5'!C222,6)</f>
        <v/>
      </c>
      <c r="K223" s="121" t="str">
        <f>+'PT5'!D222</f>
        <v/>
      </c>
      <c r="M223" s="103" t="str">
        <f>LEFT('PT6'!C222,6)</f>
        <v>C1-200</v>
      </c>
      <c r="N223" s="121">
        <f>+'PT6'!D222</f>
        <v>0</v>
      </c>
      <c r="P223" s="103" t="str">
        <f>LEFT('PT7'!C222,6)</f>
        <v/>
      </c>
      <c r="Q223" s="121" t="str">
        <f>+'PT7'!D222</f>
        <v/>
      </c>
    </row>
    <row r="224" spans="2:17" x14ac:dyDescent="0.3">
      <c r="B224" s="103" t="str">
        <f>LEFT('PT3'!C223,6)</f>
        <v/>
      </c>
      <c r="C224" s="121" t="str">
        <f>+'PT3'!D223</f>
        <v/>
      </c>
      <c r="D224" s="103"/>
      <c r="F224" s="103" t="str">
        <f>LEFT('PT4'!C223,6)</f>
        <v/>
      </c>
      <c r="G224" s="121" t="str">
        <f>+'PT4'!D223</f>
        <v/>
      </c>
      <c r="H224" s="103"/>
      <c r="J224" s="103" t="str">
        <f>LEFT('PT5'!C223,6)</f>
        <v/>
      </c>
      <c r="K224" s="121" t="str">
        <f>+'PT5'!D223</f>
        <v/>
      </c>
      <c r="M224" s="103" t="str">
        <f>LEFT('PT6'!C223,6)</f>
        <v/>
      </c>
      <c r="N224" s="121" t="str">
        <f>+'PT6'!D223</f>
        <v/>
      </c>
      <c r="P224" s="103" t="str">
        <f>LEFT('PT7'!C223,6)</f>
        <v/>
      </c>
      <c r="Q224" s="121" t="str">
        <f>+'PT7'!D223</f>
        <v/>
      </c>
    </row>
    <row r="225" spans="2:17" x14ac:dyDescent="0.3">
      <c r="B225" s="103" t="str">
        <f>LEFT('PT3'!C224,6)</f>
        <v/>
      </c>
      <c r="C225" s="121" t="str">
        <f>+'PT3'!D224</f>
        <v/>
      </c>
      <c r="D225" s="103"/>
      <c r="F225" s="103" t="str">
        <f>LEFT('PT4'!C224,6)</f>
        <v/>
      </c>
      <c r="G225" s="121" t="str">
        <f>+'PT4'!D224</f>
        <v/>
      </c>
      <c r="H225" s="103"/>
      <c r="J225" s="103" t="str">
        <f>LEFT('PT5'!C224,6)</f>
        <v/>
      </c>
      <c r="K225" s="121" t="str">
        <f>+'PT5'!D224</f>
        <v/>
      </c>
      <c r="M225" s="103" t="str">
        <f>LEFT('PT6'!C224,6)</f>
        <v/>
      </c>
      <c r="N225" s="121" t="str">
        <f>+'PT6'!D224</f>
        <v/>
      </c>
      <c r="P225" s="103" t="str">
        <f>LEFT('PT7'!C224,6)</f>
        <v/>
      </c>
      <c r="Q225" s="121" t="str">
        <f>+'PT7'!D224</f>
        <v/>
      </c>
    </row>
    <row r="226" spans="2:17" x14ac:dyDescent="0.3">
      <c r="B226" s="103" t="str">
        <f>LEFT('PT3'!C225,6)</f>
        <v/>
      </c>
      <c r="C226" s="121" t="str">
        <f>+'PT3'!D225</f>
        <v/>
      </c>
      <c r="D226" s="103"/>
      <c r="F226" s="103" t="str">
        <f>LEFT('PT4'!C225,6)</f>
        <v/>
      </c>
      <c r="G226" s="121" t="str">
        <f>+'PT4'!D225</f>
        <v/>
      </c>
      <c r="H226" s="103"/>
      <c r="J226" s="103" t="str">
        <f>LEFT('PT5'!C225,6)</f>
        <v/>
      </c>
      <c r="K226" s="121" t="str">
        <f>+'PT5'!D225</f>
        <v/>
      </c>
      <c r="M226" s="103" t="str">
        <f>LEFT('PT6'!C225,6)</f>
        <v/>
      </c>
      <c r="N226" s="121" t="str">
        <f>+'PT6'!D225</f>
        <v/>
      </c>
      <c r="P226" s="103" t="str">
        <f>LEFT('PT7'!C225,6)</f>
        <v/>
      </c>
      <c r="Q226" s="121" t="str">
        <f>+'PT7'!D225</f>
        <v/>
      </c>
    </row>
    <row r="227" spans="2:17" x14ac:dyDescent="0.3">
      <c r="B227" s="103" t="str">
        <f>LEFT('PT3'!C226,6)</f>
        <v/>
      </c>
      <c r="C227" s="121" t="str">
        <f>+'PT3'!D226</f>
        <v/>
      </c>
      <c r="D227" s="103"/>
      <c r="F227" s="103" t="str">
        <f>LEFT('PT4'!C226,6)</f>
        <v/>
      </c>
      <c r="G227" s="121" t="str">
        <f>+'PT4'!D226</f>
        <v/>
      </c>
      <c r="H227" s="103"/>
      <c r="J227" s="103" t="str">
        <f>LEFT('PT5'!C226,6)</f>
        <v/>
      </c>
      <c r="K227" s="121" t="str">
        <f>+'PT5'!D226</f>
        <v/>
      </c>
      <c r="M227" s="103" t="str">
        <f>LEFT('PT6'!C226,6)</f>
        <v/>
      </c>
      <c r="N227" s="121" t="str">
        <f>+'PT6'!D226</f>
        <v/>
      </c>
      <c r="P227" s="103" t="str">
        <f>LEFT('PT7'!C226,6)</f>
        <v/>
      </c>
      <c r="Q227" s="121" t="str">
        <f>+'PT7'!D226</f>
        <v/>
      </c>
    </row>
    <row r="228" spans="2:17" x14ac:dyDescent="0.3">
      <c r="B228" s="103" t="str">
        <f>LEFT('PT3'!C227,6)</f>
        <v/>
      </c>
      <c r="C228" s="121" t="str">
        <f>+'PT3'!D227</f>
        <v/>
      </c>
      <c r="D228" s="103"/>
      <c r="F228" s="103" t="str">
        <f>LEFT('PT4'!C227,6)</f>
        <v/>
      </c>
      <c r="G228" s="121" t="str">
        <f>+'PT4'!D227</f>
        <v/>
      </c>
      <c r="H228" s="103"/>
      <c r="J228" s="103" t="str">
        <f>LEFT('PT5'!C227,6)</f>
        <v/>
      </c>
      <c r="K228" s="121" t="str">
        <f>+'PT5'!D227</f>
        <v/>
      </c>
      <c r="M228" s="103" t="str">
        <f>LEFT('PT6'!C227,6)</f>
        <v/>
      </c>
      <c r="N228" s="121" t="str">
        <f>+'PT6'!D227</f>
        <v/>
      </c>
      <c r="P228" s="103" t="str">
        <f>LEFT('PT7'!C227,6)</f>
        <v/>
      </c>
      <c r="Q228" s="121" t="str">
        <f>+'PT7'!D227</f>
        <v/>
      </c>
    </row>
    <row r="229" spans="2:17" x14ac:dyDescent="0.3">
      <c r="B229" s="103" t="str">
        <f>LEFT('PT3'!C228,6)</f>
        <v/>
      </c>
      <c r="C229" s="121" t="str">
        <f>+'PT3'!D228</f>
        <v/>
      </c>
      <c r="D229" s="103"/>
      <c r="F229" s="103" t="str">
        <f>LEFT('PT4'!C228,6)</f>
        <v/>
      </c>
      <c r="G229" s="121" t="str">
        <f>+'PT4'!D228</f>
        <v/>
      </c>
      <c r="H229" s="103"/>
      <c r="J229" s="103" t="str">
        <f>LEFT('PT5'!C228,6)</f>
        <v/>
      </c>
      <c r="K229" s="121" t="str">
        <f>+'PT5'!D228</f>
        <v/>
      </c>
      <c r="M229" s="103" t="str">
        <f>LEFT('PT6'!C228,6)</f>
        <v/>
      </c>
      <c r="N229" s="121" t="str">
        <f>+'PT6'!D228</f>
        <v/>
      </c>
      <c r="P229" s="103" t="str">
        <f>LEFT('PT7'!C228,6)</f>
        <v/>
      </c>
      <c r="Q229" s="121" t="str">
        <f>+'PT7'!D228</f>
        <v/>
      </c>
    </row>
    <row r="230" spans="2:17" x14ac:dyDescent="0.3">
      <c r="B230" s="103" t="str">
        <f>LEFT('PT3'!C229,6)</f>
        <v/>
      </c>
      <c r="C230" s="121" t="str">
        <f>+'PT3'!D229</f>
        <v/>
      </c>
      <c r="D230" s="103"/>
      <c r="F230" s="103" t="str">
        <f>LEFT('PT4'!C229,6)</f>
        <v/>
      </c>
      <c r="G230" s="121" t="str">
        <f>+'PT4'!D229</f>
        <v/>
      </c>
      <c r="H230" s="103"/>
      <c r="J230" s="103" t="str">
        <f>LEFT('PT5'!C229,6)</f>
        <v/>
      </c>
      <c r="K230" s="121" t="str">
        <f>+'PT5'!D229</f>
        <v/>
      </c>
      <c r="M230" s="103" t="str">
        <f>LEFT('PT6'!C229,6)</f>
        <v/>
      </c>
      <c r="N230" s="121" t="str">
        <f>+'PT6'!D229</f>
        <v/>
      </c>
      <c r="P230" s="103" t="str">
        <f>LEFT('PT7'!C229,6)</f>
        <v/>
      </c>
      <c r="Q230" s="121" t="str">
        <f>+'PT7'!D229</f>
        <v/>
      </c>
    </row>
    <row r="231" spans="2:17" x14ac:dyDescent="0.3">
      <c r="B231" s="103" t="str">
        <f>LEFT('PT3'!C230,6)</f>
        <v/>
      </c>
      <c r="C231" s="121" t="str">
        <f>+'PT3'!D230</f>
        <v/>
      </c>
      <c r="D231" s="103"/>
      <c r="F231" s="103" t="str">
        <f>LEFT('PT4'!C230,6)</f>
        <v/>
      </c>
      <c r="G231" s="121" t="str">
        <f>+'PT4'!D230</f>
        <v/>
      </c>
      <c r="H231" s="103"/>
      <c r="J231" s="103" t="str">
        <f>LEFT('PT5'!C230,6)</f>
        <v/>
      </c>
      <c r="K231" s="121" t="str">
        <f>+'PT5'!D230</f>
        <v/>
      </c>
      <c r="M231" s="103" t="str">
        <f>LEFT('PT6'!C230,6)</f>
        <v/>
      </c>
      <c r="N231" s="121" t="str">
        <f>+'PT6'!D230</f>
        <v/>
      </c>
      <c r="P231" s="103" t="str">
        <f>LEFT('PT7'!C230,6)</f>
        <v/>
      </c>
      <c r="Q231" s="121" t="str">
        <f>+'PT7'!D230</f>
        <v/>
      </c>
    </row>
    <row r="232" spans="2:17" x14ac:dyDescent="0.3">
      <c r="B232" s="103" t="str">
        <f>LEFT('PT3'!C231,6)</f>
        <v/>
      </c>
      <c r="C232" s="121" t="str">
        <f>+'PT3'!D231</f>
        <v/>
      </c>
      <c r="D232" s="103"/>
      <c r="F232" s="103" t="str">
        <f>LEFT('PT4'!C231,6)</f>
        <v/>
      </c>
      <c r="G232" s="121" t="str">
        <f>+'PT4'!D231</f>
        <v/>
      </c>
      <c r="H232" s="103"/>
      <c r="J232" s="103" t="str">
        <f>LEFT('PT5'!C231,6)</f>
        <v/>
      </c>
      <c r="K232" s="121" t="str">
        <f>+'PT5'!D231</f>
        <v/>
      </c>
      <c r="M232" s="103" t="str">
        <f>LEFT('PT6'!C231,6)</f>
        <v/>
      </c>
      <c r="N232" s="121" t="str">
        <f>+'PT6'!D231</f>
        <v/>
      </c>
      <c r="P232" s="103" t="str">
        <f>LEFT('PT7'!C231,6)</f>
        <v/>
      </c>
      <c r="Q232" s="121" t="str">
        <f>+'PT7'!D231</f>
        <v/>
      </c>
    </row>
    <row r="233" spans="2:17" x14ac:dyDescent="0.3">
      <c r="B233" s="103" t="str">
        <f>LEFT('PT3'!C232,6)</f>
        <v/>
      </c>
      <c r="C233" s="121" t="str">
        <f>+'PT3'!D232</f>
        <v/>
      </c>
      <c r="D233" s="103"/>
      <c r="F233" s="103" t="str">
        <f>LEFT('PT4'!C232,6)</f>
        <v/>
      </c>
      <c r="G233" s="121" t="str">
        <f>+'PT4'!D232</f>
        <v/>
      </c>
      <c r="H233" s="103"/>
      <c r="J233" s="103" t="str">
        <f>LEFT('PT5'!C232,6)</f>
        <v/>
      </c>
      <c r="K233" s="121" t="str">
        <f>+'PT5'!D232</f>
        <v/>
      </c>
      <c r="M233" s="103" t="str">
        <f>LEFT('PT6'!C232,6)</f>
        <v/>
      </c>
      <c r="N233" s="121" t="str">
        <f>+'PT6'!D232</f>
        <v/>
      </c>
      <c r="P233" s="103" t="str">
        <f>LEFT('PT7'!C232,6)</f>
        <v/>
      </c>
      <c r="Q233" s="121" t="str">
        <f>+'PT7'!D232</f>
        <v/>
      </c>
    </row>
    <row r="234" spans="2:17" x14ac:dyDescent="0.3">
      <c r="B234" s="103" t="str">
        <f>LEFT('PT3'!C233,6)</f>
        <v/>
      </c>
      <c r="C234" s="121" t="str">
        <f>+'PT3'!D233</f>
        <v/>
      </c>
      <c r="D234" s="103"/>
      <c r="F234" s="103" t="str">
        <f>LEFT('PT4'!C233,6)</f>
        <v/>
      </c>
      <c r="G234" s="121" t="str">
        <f>+'PT4'!D233</f>
        <v/>
      </c>
      <c r="H234" s="103"/>
      <c r="J234" s="103" t="str">
        <f>LEFT('PT5'!C233,6)</f>
        <v/>
      </c>
      <c r="K234" s="121" t="str">
        <f>+'PT5'!D233</f>
        <v/>
      </c>
      <c r="M234" s="103" t="str">
        <f>LEFT('PT6'!C233,6)</f>
        <v/>
      </c>
      <c r="N234" s="121" t="str">
        <f>+'PT6'!D233</f>
        <v/>
      </c>
      <c r="P234" s="103" t="str">
        <f>LEFT('PT7'!C233,6)</f>
        <v/>
      </c>
      <c r="Q234" s="121" t="str">
        <f>+'PT7'!D233</f>
        <v/>
      </c>
    </row>
    <row r="235" spans="2:17" x14ac:dyDescent="0.3">
      <c r="B235" s="103" t="str">
        <f>LEFT('PT3'!C234,6)</f>
        <v/>
      </c>
      <c r="C235" s="121" t="str">
        <f>+'PT3'!D234</f>
        <v/>
      </c>
      <c r="D235" s="103"/>
      <c r="F235" s="103" t="str">
        <f>LEFT('PT4'!C234,6)</f>
        <v/>
      </c>
      <c r="G235" s="121" t="str">
        <f>+'PT4'!D234</f>
        <v/>
      </c>
      <c r="H235" s="103"/>
      <c r="J235" s="103" t="str">
        <f>LEFT('PT5'!C234,6)</f>
        <v/>
      </c>
      <c r="K235" s="121" t="str">
        <f>+'PT5'!D234</f>
        <v/>
      </c>
      <c r="M235" s="103" t="str">
        <f>LEFT('PT6'!C234,6)</f>
        <v/>
      </c>
      <c r="N235" s="121" t="str">
        <f>+'PT6'!D234</f>
        <v/>
      </c>
      <c r="P235" s="103" t="str">
        <f>LEFT('PT7'!C234,6)</f>
        <v/>
      </c>
      <c r="Q235" s="121" t="str">
        <f>+'PT7'!D234</f>
        <v/>
      </c>
    </row>
    <row r="236" spans="2:17" x14ac:dyDescent="0.3">
      <c r="B236" s="103" t="str">
        <f>LEFT('PT3'!C235,6)</f>
        <v/>
      </c>
      <c r="C236" s="121" t="str">
        <f>+'PT3'!D235</f>
        <v/>
      </c>
      <c r="D236" s="103"/>
      <c r="F236" s="103" t="str">
        <f>LEFT('PT4'!C235,6)</f>
        <v/>
      </c>
      <c r="G236" s="121" t="str">
        <f>+'PT4'!D235</f>
        <v/>
      </c>
      <c r="H236" s="103"/>
      <c r="J236" s="103" t="str">
        <f>LEFT('PT5'!C235,6)</f>
        <v/>
      </c>
      <c r="K236" s="121" t="str">
        <f>+'PT5'!D235</f>
        <v/>
      </c>
      <c r="M236" s="103" t="str">
        <f>LEFT('PT6'!C235,6)</f>
        <v/>
      </c>
      <c r="N236" s="121" t="str">
        <f>+'PT6'!D235</f>
        <v/>
      </c>
      <c r="P236" s="103" t="str">
        <f>LEFT('PT7'!C235,6)</f>
        <v/>
      </c>
      <c r="Q236" s="121" t="str">
        <f>+'PT7'!D235</f>
        <v/>
      </c>
    </row>
    <row r="237" spans="2:17" x14ac:dyDescent="0.3">
      <c r="B237" s="103" t="str">
        <f>LEFT('PT3'!C236,6)</f>
        <v/>
      </c>
      <c r="C237" s="121" t="str">
        <f>+'PT3'!D236</f>
        <v/>
      </c>
      <c r="D237" s="103"/>
      <c r="F237" s="103" t="str">
        <f>LEFT('PT4'!C236,6)</f>
        <v/>
      </c>
      <c r="G237" s="121" t="str">
        <f>+'PT4'!D236</f>
        <v/>
      </c>
      <c r="H237" s="103"/>
      <c r="J237" s="103" t="str">
        <f>LEFT('PT5'!C236,6)</f>
        <v/>
      </c>
      <c r="K237" s="121" t="str">
        <f>+'PT5'!D236</f>
        <v/>
      </c>
      <c r="M237" s="103" t="str">
        <f>LEFT('PT6'!C236,6)</f>
        <v/>
      </c>
      <c r="N237" s="121" t="str">
        <f>+'PT6'!D236</f>
        <v/>
      </c>
      <c r="P237" s="103" t="str">
        <f>LEFT('PT7'!C236,6)</f>
        <v/>
      </c>
      <c r="Q237" s="121" t="str">
        <f>+'PT7'!D236</f>
        <v/>
      </c>
    </row>
    <row r="238" spans="2:17" x14ac:dyDescent="0.3">
      <c r="B238" s="103" t="str">
        <f>LEFT('PT3'!C237,6)</f>
        <v/>
      </c>
      <c r="C238" s="121" t="str">
        <f>+'PT3'!D237</f>
        <v/>
      </c>
      <c r="D238" s="103"/>
      <c r="F238" s="103" t="str">
        <f>LEFT('PT4'!C237,6)</f>
        <v/>
      </c>
      <c r="G238" s="121" t="str">
        <f>+'PT4'!D237</f>
        <v/>
      </c>
      <c r="H238" s="103"/>
      <c r="J238" s="103" t="str">
        <f>LEFT('PT5'!C237,6)</f>
        <v/>
      </c>
      <c r="K238" s="121" t="str">
        <f>+'PT5'!D237</f>
        <v/>
      </c>
      <c r="M238" s="103" t="str">
        <f>LEFT('PT6'!C237,6)</f>
        <v/>
      </c>
      <c r="N238" s="121" t="str">
        <f>+'PT6'!D237</f>
        <v/>
      </c>
      <c r="P238" s="103" t="str">
        <f>LEFT('PT7'!C237,6)</f>
        <v/>
      </c>
      <c r="Q238" s="121" t="str">
        <f>+'PT7'!D237</f>
        <v/>
      </c>
    </row>
    <row r="239" spans="2:17" x14ac:dyDescent="0.3">
      <c r="B239" s="103" t="str">
        <f>LEFT('PT3'!C238,6)</f>
        <v/>
      </c>
      <c r="C239" s="121" t="str">
        <f>+'PT3'!D238</f>
        <v/>
      </c>
      <c r="D239" s="103"/>
      <c r="F239" s="103" t="str">
        <f>LEFT('PT4'!C238,6)</f>
        <v/>
      </c>
      <c r="G239" s="121" t="str">
        <f>+'PT4'!D238</f>
        <v/>
      </c>
      <c r="H239" s="103"/>
      <c r="J239" s="103" t="str">
        <f>LEFT('PT5'!C238,6)</f>
        <v/>
      </c>
      <c r="K239" s="121" t="str">
        <f>+'PT5'!D238</f>
        <v/>
      </c>
      <c r="M239" s="103" t="str">
        <f>LEFT('PT6'!C238,6)</f>
        <v/>
      </c>
      <c r="N239" s="121" t="str">
        <f>+'PT6'!D238</f>
        <v/>
      </c>
      <c r="P239" s="103" t="str">
        <f>LEFT('PT7'!C238,6)</f>
        <v/>
      </c>
      <c r="Q239" s="121" t="str">
        <f>+'PT7'!D238</f>
        <v/>
      </c>
    </row>
    <row r="240" spans="2:17" x14ac:dyDescent="0.3">
      <c r="B240" s="103" t="str">
        <f>LEFT('PT3'!C239,6)</f>
        <v/>
      </c>
      <c r="C240" s="121" t="str">
        <f>+'PT3'!D239</f>
        <v/>
      </c>
      <c r="D240" s="103"/>
      <c r="F240" s="103" t="str">
        <f>LEFT('PT4'!C239,6)</f>
        <v/>
      </c>
      <c r="G240" s="121" t="str">
        <f>+'PT4'!D239</f>
        <v/>
      </c>
      <c r="H240" s="103"/>
      <c r="J240" s="103" t="str">
        <f>LEFT('PT5'!C239,6)</f>
        <v/>
      </c>
      <c r="K240" s="121" t="str">
        <f>+'PT5'!D239</f>
        <v/>
      </c>
      <c r="M240" s="103" t="str">
        <f>LEFT('PT6'!C239,6)</f>
        <v/>
      </c>
      <c r="N240" s="121" t="str">
        <f>+'PT6'!D239</f>
        <v/>
      </c>
      <c r="P240" s="103" t="str">
        <f>LEFT('PT7'!C239,6)</f>
        <v/>
      </c>
      <c r="Q240" s="121" t="str">
        <f>+'PT7'!D239</f>
        <v/>
      </c>
    </row>
    <row r="241" spans="2:17" x14ac:dyDescent="0.3">
      <c r="B241" s="103" t="str">
        <f>LEFT('PT3'!C240,6)</f>
        <v/>
      </c>
      <c r="C241" s="121" t="str">
        <f>+'PT3'!D240</f>
        <v/>
      </c>
      <c r="D241" s="103"/>
      <c r="F241" s="103" t="str">
        <f>LEFT('PT4'!C240,6)</f>
        <v/>
      </c>
      <c r="G241" s="121" t="str">
        <f>+'PT4'!D240</f>
        <v/>
      </c>
      <c r="H241" s="103"/>
      <c r="J241" s="103" t="str">
        <f>LEFT('PT5'!C240,6)</f>
        <v/>
      </c>
      <c r="K241" s="121" t="str">
        <f>+'PT5'!D240</f>
        <v/>
      </c>
      <c r="M241" s="103" t="str">
        <f>LEFT('PT6'!C240,6)</f>
        <v/>
      </c>
      <c r="N241" s="121" t="str">
        <f>+'PT6'!D240</f>
        <v/>
      </c>
      <c r="P241" s="103" t="str">
        <f>LEFT('PT7'!C240,6)</f>
        <v/>
      </c>
      <c r="Q241" s="121" t="str">
        <f>+'PT7'!D240</f>
        <v/>
      </c>
    </row>
    <row r="242" spans="2:17" x14ac:dyDescent="0.3">
      <c r="B242" s="103" t="str">
        <f>LEFT('PT3'!C241,6)</f>
        <v/>
      </c>
      <c r="C242" s="121" t="str">
        <f>+'PT3'!D241</f>
        <v/>
      </c>
      <c r="D242" s="103"/>
      <c r="F242" s="103" t="str">
        <f>LEFT('PT4'!C241,6)</f>
        <v/>
      </c>
      <c r="G242" s="121" t="str">
        <f>+'PT4'!D241</f>
        <v/>
      </c>
      <c r="H242" s="103"/>
      <c r="J242" s="103" t="str">
        <f>LEFT('PT5'!C241,6)</f>
        <v/>
      </c>
      <c r="K242" s="121" t="str">
        <f>+'PT5'!D241</f>
        <v/>
      </c>
      <c r="M242" s="103" t="str">
        <f>LEFT('PT6'!C241,6)</f>
        <v/>
      </c>
      <c r="N242" s="121" t="str">
        <f>+'PT6'!D241</f>
        <v/>
      </c>
      <c r="P242" s="103" t="str">
        <f>LEFT('PT7'!C241,6)</f>
        <v/>
      </c>
      <c r="Q242" s="121" t="str">
        <f>+'PT7'!D241</f>
        <v/>
      </c>
    </row>
    <row r="243" spans="2:17" x14ac:dyDescent="0.3">
      <c r="B243" s="103" t="str">
        <f>LEFT('PT3'!C242,6)</f>
        <v/>
      </c>
      <c r="C243" s="121" t="str">
        <f>+'PT3'!D242</f>
        <v/>
      </c>
      <c r="D243" s="103"/>
      <c r="F243" s="103" t="str">
        <f>LEFT('PT4'!C242,6)</f>
        <v/>
      </c>
      <c r="G243" s="121" t="str">
        <f>+'PT4'!D242</f>
        <v/>
      </c>
      <c r="H243" s="103"/>
      <c r="J243" s="103" t="str">
        <f>LEFT('PT5'!C242,6)</f>
        <v/>
      </c>
      <c r="K243" s="121" t="str">
        <f>+'PT5'!D242</f>
        <v/>
      </c>
      <c r="M243" s="103" t="str">
        <f>LEFT('PT6'!C242,6)</f>
        <v/>
      </c>
      <c r="N243" s="121" t="str">
        <f>+'PT6'!D242</f>
        <v/>
      </c>
      <c r="P243" s="103" t="str">
        <f>LEFT('PT7'!C242,6)</f>
        <v/>
      </c>
      <c r="Q243" s="121" t="str">
        <f>+'PT7'!D242</f>
        <v/>
      </c>
    </row>
    <row r="244" spans="2:17" x14ac:dyDescent="0.3">
      <c r="B244" s="103" t="str">
        <f>LEFT('PT3'!C243,6)</f>
        <v/>
      </c>
      <c r="C244" s="121" t="str">
        <f>+'PT3'!D243</f>
        <v/>
      </c>
      <c r="D244" s="103"/>
      <c r="F244" s="103" t="str">
        <f>LEFT('PT4'!C243,6)</f>
        <v/>
      </c>
      <c r="G244" s="121" t="str">
        <f>+'PT4'!D243</f>
        <v/>
      </c>
      <c r="H244" s="103"/>
      <c r="J244" s="103" t="str">
        <f>LEFT('PT5'!C243,6)</f>
        <v/>
      </c>
      <c r="K244" s="121" t="str">
        <f>+'PT5'!D243</f>
        <v/>
      </c>
      <c r="M244" s="103" t="str">
        <f>LEFT('PT6'!C243,6)</f>
        <v/>
      </c>
      <c r="N244" s="121" t="str">
        <f>+'PT6'!D243</f>
        <v/>
      </c>
      <c r="P244" s="103" t="str">
        <f>LEFT('PT7'!C243,6)</f>
        <v/>
      </c>
      <c r="Q244" s="121" t="str">
        <f>+'PT7'!D243</f>
        <v/>
      </c>
    </row>
    <row r="245" spans="2:17" x14ac:dyDescent="0.3">
      <c r="B245" s="103" t="str">
        <f>LEFT('PT3'!C244,6)</f>
        <v/>
      </c>
      <c r="C245" s="121" t="str">
        <f>+'PT3'!D244</f>
        <v/>
      </c>
      <c r="D245" s="103"/>
      <c r="F245" s="103" t="str">
        <f>LEFT('PT4'!C244,6)</f>
        <v/>
      </c>
      <c r="G245" s="121" t="str">
        <f>+'PT4'!D244</f>
        <v/>
      </c>
      <c r="H245" s="103"/>
      <c r="J245" s="103" t="str">
        <f>LEFT('PT5'!C244,6)</f>
        <v/>
      </c>
      <c r="K245" s="121" t="str">
        <f>+'PT5'!D244</f>
        <v/>
      </c>
      <c r="M245" s="103" t="str">
        <f>LEFT('PT6'!C244,6)</f>
        <v/>
      </c>
      <c r="N245" s="121" t="str">
        <f>+'PT6'!D244</f>
        <v/>
      </c>
      <c r="P245" s="103" t="str">
        <f>LEFT('PT7'!C244,6)</f>
        <v/>
      </c>
      <c r="Q245" s="121" t="str">
        <f>+'PT7'!D244</f>
        <v/>
      </c>
    </row>
    <row r="246" spans="2:17" x14ac:dyDescent="0.3">
      <c r="B246" s="103" t="str">
        <f>LEFT('PT3'!C245,6)</f>
        <v/>
      </c>
      <c r="C246" s="121" t="str">
        <f>+'PT3'!D245</f>
        <v/>
      </c>
      <c r="D246" s="103"/>
      <c r="F246" s="103" t="str">
        <f>LEFT('PT4'!C245,6)</f>
        <v/>
      </c>
      <c r="G246" s="121" t="str">
        <f>+'PT4'!D245</f>
        <v/>
      </c>
      <c r="H246" s="103"/>
      <c r="J246" s="103" t="str">
        <f>LEFT('PT5'!C245,6)</f>
        <v/>
      </c>
      <c r="K246" s="121" t="str">
        <f>+'PT5'!D245</f>
        <v/>
      </c>
      <c r="M246" s="103" t="str">
        <f>LEFT('PT6'!C245,6)</f>
        <v/>
      </c>
      <c r="N246" s="121" t="str">
        <f>+'PT6'!D245</f>
        <v/>
      </c>
      <c r="P246" s="103" t="str">
        <f>LEFT('PT7'!C245,6)</f>
        <v/>
      </c>
      <c r="Q246" s="121" t="str">
        <f>+'PT7'!D245</f>
        <v/>
      </c>
    </row>
    <row r="247" spans="2:17" x14ac:dyDescent="0.3">
      <c r="B247" s="103" t="str">
        <f>LEFT('PT3'!C246,6)</f>
        <v/>
      </c>
      <c r="C247" s="121" t="str">
        <f>+'PT3'!D246</f>
        <v/>
      </c>
      <c r="D247" s="103"/>
      <c r="F247" s="103" t="str">
        <f>LEFT('PT4'!C246,6)</f>
        <v/>
      </c>
      <c r="G247" s="121" t="str">
        <f>+'PT4'!D246</f>
        <v/>
      </c>
      <c r="H247" s="103"/>
      <c r="J247" s="103" t="str">
        <f>LEFT('PT5'!C246,6)</f>
        <v/>
      </c>
      <c r="K247" s="121" t="str">
        <f>+'PT5'!D246</f>
        <v/>
      </c>
      <c r="M247" s="103" t="str">
        <f>LEFT('PT6'!C246,6)</f>
        <v/>
      </c>
      <c r="N247" s="121" t="str">
        <f>+'PT6'!D246</f>
        <v/>
      </c>
      <c r="P247" s="103" t="str">
        <f>LEFT('PT7'!C246,6)</f>
        <v/>
      </c>
      <c r="Q247" s="121" t="str">
        <f>+'PT7'!D246</f>
        <v/>
      </c>
    </row>
    <row r="248" spans="2:17" x14ac:dyDescent="0.3">
      <c r="B248" s="103" t="str">
        <f>LEFT('PT3'!C247,6)</f>
        <v/>
      </c>
      <c r="C248" s="121" t="str">
        <f>+'PT3'!D247</f>
        <v/>
      </c>
      <c r="D248" s="103"/>
      <c r="F248" s="103" t="str">
        <f>LEFT('PT4'!C247,6)</f>
        <v/>
      </c>
      <c r="G248" s="121" t="str">
        <f>+'PT4'!D247</f>
        <v/>
      </c>
      <c r="H248" s="103"/>
      <c r="J248" s="103" t="str">
        <f>LEFT('PT5'!C247,6)</f>
        <v/>
      </c>
      <c r="K248" s="121" t="str">
        <f>+'PT5'!D247</f>
        <v/>
      </c>
      <c r="M248" s="103" t="str">
        <f>LEFT('PT6'!C247,6)</f>
        <v/>
      </c>
      <c r="N248" s="121" t="str">
        <f>+'PT6'!D247</f>
        <v/>
      </c>
      <c r="P248" s="103" t="str">
        <f>LEFT('PT7'!C247,6)</f>
        <v/>
      </c>
      <c r="Q248" s="121" t="str">
        <f>+'PT7'!D247</f>
        <v/>
      </c>
    </row>
    <row r="249" spans="2:17" x14ac:dyDescent="0.3">
      <c r="B249" s="103" t="str">
        <f>LEFT('PT3'!C248,6)</f>
        <v/>
      </c>
      <c r="C249" s="121" t="str">
        <f>+'PT3'!D248</f>
        <v/>
      </c>
      <c r="D249" s="103"/>
      <c r="F249" s="103" t="str">
        <f>LEFT('PT4'!C248,6)</f>
        <v/>
      </c>
      <c r="G249" s="121" t="str">
        <f>+'PT4'!D248</f>
        <v/>
      </c>
      <c r="H249" s="103"/>
      <c r="J249" s="103" t="str">
        <f>LEFT('PT5'!C248,6)</f>
        <v/>
      </c>
      <c r="K249" s="121" t="str">
        <f>+'PT5'!D248</f>
        <v/>
      </c>
      <c r="M249" s="103" t="str">
        <f>LEFT('PT6'!C248,6)</f>
        <v/>
      </c>
      <c r="N249" s="121" t="str">
        <f>+'PT6'!D248</f>
        <v/>
      </c>
      <c r="P249" s="103" t="str">
        <f>LEFT('PT7'!C248,6)</f>
        <v/>
      </c>
      <c r="Q249" s="121" t="str">
        <f>+'PT7'!D248</f>
        <v/>
      </c>
    </row>
    <row r="250" spans="2:17" x14ac:dyDescent="0.3">
      <c r="B250" s="103" t="str">
        <f>LEFT('PT3'!C249,6)</f>
        <v/>
      </c>
      <c r="C250" s="121" t="str">
        <f>+'PT3'!D249</f>
        <v/>
      </c>
      <c r="D250" s="103"/>
      <c r="F250" s="103" t="str">
        <f>LEFT('PT4'!C249,6)</f>
        <v/>
      </c>
      <c r="G250" s="121" t="str">
        <f>+'PT4'!D249</f>
        <v/>
      </c>
      <c r="H250" s="103"/>
      <c r="J250" s="103" t="str">
        <f>LEFT('PT5'!C249,6)</f>
        <v/>
      </c>
      <c r="K250" s="121" t="str">
        <f>+'PT5'!D249</f>
        <v/>
      </c>
      <c r="M250" s="103" t="str">
        <f>LEFT('PT6'!C249,6)</f>
        <v/>
      </c>
      <c r="N250" s="121" t="str">
        <f>+'PT6'!D249</f>
        <v/>
      </c>
      <c r="P250" s="103" t="str">
        <f>LEFT('PT7'!C249,6)</f>
        <v/>
      </c>
      <c r="Q250" s="121" t="str">
        <f>+'PT7'!D249</f>
        <v/>
      </c>
    </row>
    <row r="251" spans="2:17" x14ac:dyDescent="0.3">
      <c r="B251" s="103" t="str">
        <f>LEFT('PT3'!C250,6)</f>
        <v/>
      </c>
      <c r="C251" s="121" t="str">
        <f>+'PT3'!D250</f>
        <v/>
      </c>
      <c r="D251" s="103"/>
      <c r="F251" s="103" t="str">
        <f>LEFT('PT4'!C250,6)</f>
        <v/>
      </c>
      <c r="G251" s="121" t="str">
        <f>+'PT4'!D250</f>
        <v/>
      </c>
      <c r="H251" s="103"/>
      <c r="J251" s="103" t="str">
        <f>LEFT('PT5'!C250,6)</f>
        <v/>
      </c>
      <c r="K251" s="121" t="str">
        <f>+'PT5'!D250</f>
        <v/>
      </c>
      <c r="M251" s="103" t="str">
        <f>LEFT('PT6'!C250,6)</f>
        <v/>
      </c>
      <c r="N251" s="121" t="str">
        <f>+'PT6'!D250</f>
        <v/>
      </c>
      <c r="P251" s="103" t="str">
        <f>LEFT('PT7'!C250,6)</f>
        <v/>
      </c>
      <c r="Q251" s="121" t="str">
        <f>+'PT7'!D250</f>
        <v/>
      </c>
    </row>
    <row r="252" spans="2:17" x14ac:dyDescent="0.3">
      <c r="B252" s="103" t="str">
        <f>LEFT('PT3'!C251,6)</f>
        <v/>
      </c>
      <c r="C252" s="121" t="str">
        <f>+'PT3'!D251</f>
        <v/>
      </c>
      <c r="D252" s="103"/>
      <c r="F252" s="103" t="str">
        <f>LEFT('PT4'!C251,6)</f>
        <v/>
      </c>
      <c r="G252" s="121" t="str">
        <f>+'PT4'!D251</f>
        <v/>
      </c>
      <c r="H252" s="103"/>
      <c r="J252" s="103" t="str">
        <f>LEFT('PT5'!C251,6)</f>
        <v/>
      </c>
      <c r="K252" s="121" t="str">
        <f>+'PT5'!D251</f>
        <v/>
      </c>
      <c r="M252" s="103" t="str">
        <f>LEFT('PT6'!C251,6)</f>
        <v/>
      </c>
      <c r="N252" s="121" t="str">
        <f>+'PT6'!D251</f>
        <v/>
      </c>
      <c r="P252" s="103" t="str">
        <f>LEFT('PT7'!C251,6)</f>
        <v/>
      </c>
      <c r="Q252" s="121" t="str">
        <f>+'PT7'!D251</f>
        <v/>
      </c>
    </row>
    <row r="253" spans="2:17" x14ac:dyDescent="0.3">
      <c r="B253" s="103" t="str">
        <f>LEFT('PT3'!C252,6)</f>
        <v/>
      </c>
      <c r="C253" s="121" t="str">
        <f>+'PT3'!D252</f>
        <v/>
      </c>
      <c r="D253" s="103"/>
      <c r="F253" s="103" t="str">
        <f>LEFT('PT4'!C252,6)</f>
        <v/>
      </c>
      <c r="G253" s="121" t="str">
        <f>+'PT4'!D252</f>
        <v/>
      </c>
      <c r="H253" s="103"/>
      <c r="J253" s="103" t="str">
        <f>LEFT('PT5'!C252,6)</f>
        <v/>
      </c>
      <c r="K253" s="121" t="str">
        <f>+'PT5'!D252</f>
        <v/>
      </c>
      <c r="M253" s="103" t="str">
        <f>LEFT('PT6'!C252,6)</f>
        <v/>
      </c>
      <c r="N253" s="121" t="str">
        <f>+'PT6'!D252</f>
        <v/>
      </c>
      <c r="P253" s="103" t="str">
        <f>LEFT('PT7'!C252,6)</f>
        <v/>
      </c>
      <c r="Q253" s="121" t="str">
        <f>+'PT7'!D252</f>
        <v/>
      </c>
    </row>
    <row r="254" spans="2:17" x14ac:dyDescent="0.3">
      <c r="B254" s="103" t="str">
        <f>LEFT('PT3'!C253,6)</f>
        <v/>
      </c>
      <c r="C254" s="121" t="str">
        <f>+'PT3'!D253</f>
        <v/>
      </c>
      <c r="D254" s="103"/>
      <c r="F254" s="103" t="str">
        <f>LEFT('PT4'!C253,6)</f>
        <v/>
      </c>
      <c r="G254" s="121" t="str">
        <f>+'PT4'!D253</f>
        <v/>
      </c>
      <c r="H254" s="103"/>
      <c r="J254" s="103" t="str">
        <f>LEFT('PT5'!C253,6)</f>
        <v/>
      </c>
      <c r="K254" s="121" t="str">
        <f>+'PT5'!D253</f>
        <v/>
      </c>
      <c r="M254" s="103" t="str">
        <f>LEFT('PT6'!C253,6)</f>
        <v/>
      </c>
      <c r="N254" s="121" t="str">
        <f>+'PT6'!D253</f>
        <v/>
      </c>
      <c r="P254" s="103" t="str">
        <f>LEFT('PT7'!C253,6)</f>
        <v/>
      </c>
      <c r="Q254" s="121" t="str">
        <f>+'PT7'!D253</f>
        <v/>
      </c>
    </row>
    <row r="255" spans="2:17" x14ac:dyDescent="0.3">
      <c r="B255" s="103" t="str">
        <f>LEFT('PT3'!C254,6)</f>
        <v/>
      </c>
      <c r="C255" s="121" t="str">
        <f>+'PT3'!D254</f>
        <v/>
      </c>
      <c r="D255" s="103"/>
      <c r="F255" s="103" t="str">
        <f>LEFT('PT4'!C254,6)</f>
        <v/>
      </c>
      <c r="G255" s="121" t="str">
        <f>+'PT4'!D254</f>
        <v/>
      </c>
      <c r="H255" s="103"/>
      <c r="J255" s="103" t="str">
        <f>LEFT('PT5'!C254,6)</f>
        <v/>
      </c>
      <c r="K255" s="121" t="str">
        <f>+'PT5'!D254</f>
        <v/>
      </c>
      <c r="M255" s="103" t="str">
        <f>LEFT('PT6'!C254,6)</f>
        <v/>
      </c>
      <c r="N255" s="121" t="str">
        <f>+'PT6'!D254</f>
        <v/>
      </c>
      <c r="P255" s="103" t="str">
        <f>LEFT('PT7'!C254,6)</f>
        <v/>
      </c>
      <c r="Q255" s="121" t="str">
        <f>+'PT7'!D254</f>
        <v/>
      </c>
    </row>
    <row r="256" spans="2:17" x14ac:dyDescent="0.3">
      <c r="B256" s="103" t="str">
        <f>LEFT('PT3'!C255,6)</f>
        <v/>
      </c>
      <c r="C256" s="121" t="str">
        <f>+'PT3'!D255</f>
        <v/>
      </c>
      <c r="D256" s="103"/>
      <c r="F256" s="103" t="str">
        <f>LEFT('PT4'!C255,6)</f>
        <v/>
      </c>
      <c r="G256" s="121" t="str">
        <f>+'PT4'!D255</f>
        <v/>
      </c>
      <c r="H256" s="103"/>
      <c r="J256" s="103" t="str">
        <f>LEFT('PT5'!C255,6)</f>
        <v/>
      </c>
      <c r="K256" s="121" t="str">
        <f>+'PT5'!D255</f>
        <v/>
      </c>
      <c r="M256" s="103" t="str">
        <f>LEFT('PT6'!C255,6)</f>
        <v/>
      </c>
      <c r="N256" s="121" t="str">
        <f>+'PT6'!D255</f>
        <v/>
      </c>
      <c r="P256" s="103" t="str">
        <f>LEFT('PT7'!C255,6)</f>
        <v/>
      </c>
      <c r="Q256" s="121" t="str">
        <f>+'PT7'!D255</f>
        <v/>
      </c>
    </row>
    <row r="257" spans="2:17" x14ac:dyDescent="0.3">
      <c r="B257" s="103" t="str">
        <f>LEFT('PT3'!C256,6)</f>
        <v/>
      </c>
      <c r="C257" s="121" t="str">
        <f>+'PT3'!D256</f>
        <v/>
      </c>
      <c r="D257" s="103"/>
      <c r="F257" s="103" t="str">
        <f>LEFT('PT4'!C256,6)</f>
        <v/>
      </c>
      <c r="G257" s="121" t="str">
        <f>+'PT4'!D256</f>
        <v/>
      </c>
      <c r="H257" s="103"/>
      <c r="J257" s="103" t="str">
        <f>LEFT('PT5'!C256,6)</f>
        <v/>
      </c>
      <c r="K257" s="121" t="str">
        <f>+'PT5'!D256</f>
        <v/>
      </c>
      <c r="M257" s="103" t="str">
        <f>LEFT('PT6'!C256,6)</f>
        <v/>
      </c>
      <c r="N257" s="121" t="str">
        <f>+'PT6'!D256</f>
        <v/>
      </c>
      <c r="P257" s="103" t="str">
        <f>LEFT('PT7'!C256,6)</f>
        <v/>
      </c>
      <c r="Q257" s="121" t="str">
        <f>+'PT7'!D256</f>
        <v/>
      </c>
    </row>
    <row r="258" spans="2:17" x14ac:dyDescent="0.3">
      <c r="B258" s="103" t="str">
        <f>LEFT('PT3'!C257,6)</f>
        <v/>
      </c>
      <c r="C258" s="121" t="str">
        <f>+'PT3'!D257</f>
        <v/>
      </c>
      <c r="D258" s="103"/>
      <c r="F258" s="103" t="str">
        <f>LEFT('PT4'!C257,6)</f>
        <v/>
      </c>
      <c r="G258" s="121" t="str">
        <f>+'PT4'!D257</f>
        <v/>
      </c>
      <c r="H258" s="103"/>
      <c r="J258" s="103" t="str">
        <f>LEFT('PT5'!C257,6)</f>
        <v/>
      </c>
      <c r="K258" s="121" t="str">
        <f>+'PT5'!D257</f>
        <v/>
      </c>
      <c r="M258" s="103" t="str">
        <f>LEFT('PT6'!C257,6)</f>
        <v/>
      </c>
      <c r="N258" s="121" t="str">
        <f>+'PT6'!D257</f>
        <v/>
      </c>
      <c r="P258" s="103" t="str">
        <f>LEFT('PT7'!C257,6)</f>
        <v/>
      </c>
      <c r="Q258" s="121" t="str">
        <f>+'PT7'!D257</f>
        <v/>
      </c>
    </row>
    <row r="259" spans="2:17" x14ac:dyDescent="0.3">
      <c r="B259" s="103" t="str">
        <f>LEFT('PT3'!C258,6)</f>
        <v/>
      </c>
      <c r="C259" s="121" t="str">
        <f>+'PT3'!D258</f>
        <v/>
      </c>
      <c r="D259" s="103"/>
      <c r="F259" s="103" t="str">
        <f>LEFT('PT4'!C258,6)</f>
        <v/>
      </c>
      <c r="G259" s="121" t="str">
        <f>+'PT4'!D258</f>
        <v/>
      </c>
      <c r="H259" s="103"/>
      <c r="J259" s="103" t="str">
        <f>LEFT('PT5'!C258,6)</f>
        <v/>
      </c>
      <c r="K259" s="121" t="str">
        <f>+'PT5'!D258</f>
        <v/>
      </c>
      <c r="M259" s="103" t="str">
        <f>LEFT('PT6'!C258,6)</f>
        <v/>
      </c>
      <c r="N259" s="121" t="str">
        <f>+'PT6'!D258</f>
        <v/>
      </c>
      <c r="P259" s="103" t="str">
        <f>LEFT('PT7'!C258,6)</f>
        <v/>
      </c>
      <c r="Q259" s="121" t="str">
        <f>+'PT7'!D258</f>
        <v/>
      </c>
    </row>
    <row r="260" spans="2:17" x14ac:dyDescent="0.3">
      <c r="B260" s="103" t="str">
        <f>LEFT('PT3'!C259,6)</f>
        <v/>
      </c>
      <c r="C260" s="121" t="str">
        <f>+'PT3'!D259</f>
        <v/>
      </c>
      <c r="D260" s="103"/>
      <c r="F260" s="103" t="str">
        <f>LEFT('PT4'!C259,6)</f>
        <v/>
      </c>
      <c r="G260" s="121" t="str">
        <f>+'PT4'!D259</f>
        <v/>
      </c>
      <c r="H260" s="103"/>
      <c r="J260" s="103" t="str">
        <f>LEFT('PT5'!C259,6)</f>
        <v/>
      </c>
      <c r="K260" s="121" t="str">
        <f>+'PT5'!D259</f>
        <v/>
      </c>
      <c r="M260" s="103" t="str">
        <f>LEFT('PT6'!C259,6)</f>
        <v/>
      </c>
      <c r="N260" s="121" t="str">
        <f>+'PT6'!D259</f>
        <v/>
      </c>
      <c r="P260" s="103" t="str">
        <f>LEFT('PT7'!C259,6)</f>
        <v/>
      </c>
      <c r="Q260" s="121" t="str">
        <f>+'PT7'!D259</f>
        <v/>
      </c>
    </row>
    <row r="261" spans="2:17" x14ac:dyDescent="0.3">
      <c r="B261" s="103" t="str">
        <f>LEFT('PT3'!C260,6)</f>
        <v/>
      </c>
      <c r="C261" s="121" t="str">
        <f>+'PT3'!D260</f>
        <v/>
      </c>
      <c r="D261" s="103"/>
      <c r="F261" s="103" t="str">
        <f>LEFT('PT4'!C260,6)</f>
        <v/>
      </c>
      <c r="G261" s="121" t="str">
        <f>+'PT4'!D260</f>
        <v/>
      </c>
      <c r="H261" s="103"/>
      <c r="J261" s="103" t="str">
        <f>LEFT('PT5'!C260,6)</f>
        <v/>
      </c>
      <c r="K261" s="121" t="str">
        <f>+'PT5'!D260</f>
        <v/>
      </c>
      <c r="M261" s="103" t="str">
        <f>LEFT('PT6'!C260,6)</f>
        <v/>
      </c>
      <c r="N261" s="121" t="str">
        <f>+'PT6'!D260</f>
        <v/>
      </c>
      <c r="P261" s="103" t="str">
        <f>LEFT('PT7'!C260,6)</f>
        <v/>
      </c>
      <c r="Q261" s="121" t="str">
        <f>+'PT7'!D260</f>
        <v/>
      </c>
    </row>
    <row r="262" spans="2:17" x14ac:dyDescent="0.3">
      <c r="B262" s="103" t="str">
        <f>LEFT('PT3'!C261,6)</f>
        <v/>
      </c>
      <c r="C262" s="121" t="str">
        <f>+'PT3'!D261</f>
        <v/>
      </c>
      <c r="D262" s="103"/>
      <c r="F262" s="103" t="str">
        <f>LEFT('PT4'!C261,6)</f>
        <v/>
      </c>
      <c r="G262" s="121" t="str">
        <f>+'PT4'!D261</f>
        <v/>
      </c>
      <c r="H262" s="103"/>
      <c r="J262" s="103" t="str">
        <f>LEFT('PT5'!C261,6)</f>
        <v/>
      </c>
      <c r="K262" s="121" t="str">
        <f>+'PT5'!D261</f>
        <v/>
      </c>
      <c r="M262" s="103" t="str">
        <f>LEFT('PT6'!C261,6)</f>
        <v/>
      </c>
      <c r="N262" s="121" t="str">
        <f>+'PT6'!D261</f>
        <v/>
      </c>
      <c r="P262" s="103" t="str">
        <f>LEFT('PT7'!C261,6)</f>
        <v/>
      </c>
      <c r="Q262" s="121" t="str">
        <f>+'PT7'!D261</f>
        <v/>
      </c>
    </row>
    <row r="263" spans="2:17" x14ac:dyDescent="0.3">
      <c r="B263" s="103" t="str">
        <f>LEFT('PT3'!C262,6)</f>
        <v/>
      </c>
      <c r="C263" s="121" t="str">
        <f>+'PT3'!D262</f>
        <v/>
      </c>
      <c r="D263" s="103"/>
      <c r="F263" s="103" t="str">
        <f>LEFT('PT4'!C262,6)</f>
        <v/>
      </c>
      <c r="G263" s="121" t="str">
        <f>+'PT4'!D262</f>
        <v/>
      </c>
      <c r="H263" s="103"/>
      <c r="J263" s="103" t="str">
        <f>LEFT('PT5'!C262,6)</f>
        <v/>
      </c>
      <c r="K263" s="121" t="str">
        <f>+'PT5'!D262</f>
        <v/>
      </c>
      <c r="M263" s="103" t="str">
        <f>LEFT('PT6'!C262,6)</f>
        <v/>
      </c>
      <c r="N263" s="121" t="str">
        <f>+'PT6'!D262</f>
        <v/>
      </c>
      <c r="P263" s="103" t="str">
        <f>LEFT('PT7'!C262,6)</f>
        <v/>
      </c>
      <c r="Q263" s="121" t="str">
        <f>+'PT7'!D262</f>
        <v/>
      </c>
    </row>
    <row r="264" spans="2:17" x14ac:dyDescent="0.3">
      <c r="B264" s="103" t="str">
        <f>LEFT('PT3'!C263,6)</f>
        <v/>
      </c>
      <c r="C264" s="121" t="str">
        <f>+'PT3'!D263</f>
        <v/>
      </c>
      <c r="D264" s="103"/>
      <c r="F264" s="103" t="str">
        <f>LEFT('PT4'!C263,6)</f>
        <v/>
      </c>
      <c r="G264" s="121" t="str">
        <f>+'PT4'!D263</f>
        <v/>
      </c>
      <c r="H264" s="103"/>
      <c r="J264" s="103" t="str">
        <f>LEFT('PT5'!C263,6)</f>
        <v/>
      </c>
      <c r="K264" s="121" t="str">
        <f>+'PT5'!D263</f>
        <v/>
      </c>
      <c r="M264" s="103" t="str">
        <f>LEFT('PT6'!C263,6)</f>
        <v/>
      </c>
      <c r="N264" s="121" t="str">
        <f>+'PT6'!D263</f>
        <v/>
      </c>
      <c r="P264" s="103" t="str">
        <f>LEFT('PT7'!C263,6)</f>
        <v/>
      </c>
      <c r="Q264" s="121" t="str">
        <f>+'PT7'!D263</f>
        <v/>
      </c>
    </row>
    <row r="265" spans="2:17" x14ac:dyDescent="0.3">
      <c r="B265" s="103" t="str">
        <f>LEFT('PT3'!C264,6)</f>
        <v/>
      </c>
      <c r="C265" s="121" t="str">
        <f>+'PT3'!D264</f>
        <v/>
      </c>
      <c r="D265" s="103"/>
      <c r="F265" s="103" t="str">
        <f>LEFT('PT4'!C264,6)</f>
        <v/>
      </c>
      <c r="G265" s="121" t="str">
        <f>+'PT4'!D264</f>
        <v/>
      </c>
      <c r="H265" s="103"/>
      <c r="J265" s="103" t="str">
        <f>LEFT('PT5'!C264,6)</f>
        <v/>
      </c>
      <c r="K265" s="121" t="str">
        <f>+'PT5'!D264</f>
        <v/>
      </c>
      <c r="M265" s="103" t="str">
        <f>LEFT('PT6'!C264,6)</f>
        <v/>
      </c>
      <c r="N265" s="121" t="str">
        <f>+'PT6'!D264</f>
        <v/>
      </c>
      <c r="P265" s="103" t="str">
        <f>LEFT('PT7'!C264,6)</f>
        <v/>
      </c>
      <c r="Q265" s="121" t="str">
        <f>+'PT7'!D264</f>
        <v/>
      </c>
    </row>
    <row r="266" spans="2:17" x14ac:dyDescent="0.3">
      <c r="B266" s="103" t="str">
        <f>LEFT('PT3'!C265,6)</f>
        <v/>
      </c>
      <c r="C266" s="121" t="str">
        <f>+'PT3'!D265</f>
        <v/>
      </c>
      <c r="D266" s="103"/>
      <c r="F266" s="103" t="str">
        <f>LEFT('PT4'!C265,6)</f>
        <v/>
      </c>
      <c r="G266" s="121" t="str">
        <f>+'PT4'!D265</f>
        <v/>
      </c>
      <c r="H266" s="103"/>
      <c r="J266" s="103" t="str">
        <f>LEFT('PT5'!C265,6)</f>
        <v/>
      </c>
      <c r="K266" s="121" t="str">
        <f>+'PT5'!D265</f>
        <v/>
      </c>
      <c r="M266" s="103" t="str">
        <f>LEFT('PT6'!C265,6)</f>
        <v/>
      </c>
      <c r="N266" s="121" t="str">
        <f>+'PT6'!D265</f>
        <v/>
      </c>
      <c r="P266" s="103" t="str">
        <f>LEFT('PT7'!C265,6)</f>
        <v/>
      </c>
      <c r="Q266" s="121" t="str">
        <f>+'PT7'!D265</f>
        <v/>
      </c>
    </row>
    <row r="267" spans="2:17" x14ac:dyDescent="0.3">
      <c r="B267" s="103" t="str">
        <f>LEFT('PT3'!C266,6)</f>
        <v/>
      </c>
      <c r="C267" s="121" t="str">
        <f>+'PT3'!D266</f>
        <v/>
      </c>
      <c r="D267" s="103"/>
      <c r="F267" s="103" t="str">
        <f>LEFT('PT4'!C266,6)</f>
        <v/>
      </c>
      <c r="G267" s="121" t="str">
        <f>+'PT4'!D266</f>
        <v/>
      </c>
      <c r="H267" s="103"/>
      <c r="J267" s="103" t="str">
        <f>LEFT('PT5'!C266,6)</f>
        <v/>
      </c>
      <c r="K267" s="121" t="str">
        <f>+'PT5'!D266</f>
        <v/>
      </c>
      <c r="M267" s="103" t="str">
        <f>LEFT('PT6'!C266,6)</f>
        <v/>
      </c>
      <c r="N267" s="121" t="str">
        <f>+'PT6'!D266</f>
        <v/>
      </c>
      <c r="P267" s="103" t="str">
        <f>LEFT('PT7'!C266,6)</f>
        <v/>
      </c>
      <c r="Q267" s="121" t="str">
        <f>+'PT7'!D266</f>
        <v/>
      </c>
    </row>
    <row r="268" spans="2:17" x14ac:dyDescent="0.3">
      <c r="B268" s="103" t="str">
        <f>LEFT('PT3'!C267,6)</f>
        <v/>
      </c>
      <c r="C268" s="121" t="str">
        <f>+'PT3'!D267</f>
        <v/>
      </c>
      <c r="D268" s="103"/>
      <c r="F268" s="103" t="str">
        <f>LEFT('PT4'!C267,6)</f>
        <v/>
      </c>
      <c r="G268" s="121" t="str">
        <f>+'PT4'!D267</f>
        <v/>
      </c>
      <c r="H268" s="103"/>
      <c r="J268" s="103" t="str">
        <f>LEFT('PT5'!C267,6)</f>
        <v/>
      </c>
      <c r="K268" s="121" t="str">
        <f>+'PT5'!D267</f>
        <v/>
      </c>
      <c r="M268" s="103" t="str">
        <f>LEFT('PT6'!C267,6)</f>
        <v/>
      </c>
      <c r="N268" s="121" t="str">
        <f>+'PT6'!D267</f>
        <v/>
      </c>
      <c r="P268" s="103" t="str">
        <f>LEFT('PT7'!C267,6)</f>
        <v/>
      </c>
      <c r="Q268" s="121" t="str">
        <f>+'PT7'!D267</f>
        <v/>
      </c>
    </row>
    <row r="269" spans="2:17" x14ac:dyDescent="0.3">
      <c r="B269" s="103" t="str">
        <f>LEFT('PT3'!C268,6)</f>
        <v/>
      </c>
      <c r="C269" s="121" t="str">
        <f>+'PT3'!D268</f>
        <v/>
      </c>
      <c r="D269" s="103"/>
      <c r="F269" s="103" t="str">
        <f>LEFT('PT4'!C268,6)</f>
        <v/>
      </c>
      <c r="G269" s="121" t="str">
        <f>+'PT4'!D268</f>
        <v/>
      </c>
      <c r="H269" s="103"/>
      <c r="J269" s="103" t="str">
        <f>LEFT('PT5'!C268,6)</f>
        <v/>
      </c>
      <c r="K269" s="121" t="str">
        <f>+'PT5'!D268</f>
        <v/>
      </c>
      <c r="M269" s="103" t="str">
        <f>LEFT('PT6'!C268,6)</f>
        <v/>
      </c>
      <c r="N269" s="121" t="str">
        <f>+'PT6'!D268</f>
        <v/>
      </c>
      <c r="P269" s="103" t="str">
        <f>LEFT('PT7'!C268,6)</f>
        <v/>
      </c>
      <c r="Q269" s="121" t="str">
        <f>+'PT7'!D268</f>
        <v/>
      </c>
    </row>
    <row r="270" spans="2:17" x14ac:dyDescent="0.3">
      <c r="B270" s="103" t="str">
        <f>LEFT('PT3'!C269,6)</f>
        <v/>
      </c>
      <c r="C270" s="121" t="str">
        <f>+'PT3'!D269</f>
        <v/>
      </c>
      <c r="D270" s="103"/>
      <c r="F270" s="103" t="str">
        <f>LEFT('PT4'!C269,6)</f>
        <v/>
      </c>
      <c r="G270" s="121" t="str">
        <f>+'PT4'!D269</f>
        <v/>
      </c>
      <c r="H270" s="103"/>
      <c r="J270" s="103" t="str">
        <f>LEFT('PT5'!C269,6)</f>
        <v/>
      </c>
      <c r="K270" s="121" t="str">
        <f>+'PT5'!D269</f>
        <v/>
      </c>
      <c r="M270" s="103" t="str">
        <f>LEFT('PT6'!C269,6)</f>
        <v/>
      </c>
      <c r="N270" s="121" t="str">
        <f>+'PT6'!D269</f>
        <v/>
      </c>
      <c r="P270" s="103" t="str">
        <f>LEFT('PT7'!C269,6)</f>
        <v/>
      </c>
      <c r="Q270" s="121" t="str">
        <f>+'PT7'!D269</f>
        <v/>
      </c>
    </row>
    <row r="271" spans="2:17" x14ac:dyDescent="0.3">
      <c r="B271" s="103" t="str">
        <f>LEFT('PT3'!C270,6)</f>
        <v/>
      </c>
      <c r="C271" s="121" t="str">
        <f>+'PT3'!D270</f>
        <v/>
      </c>
      <c r="D271" s="103"/>
      <c r="F271" s="103" t="str">
        <f>LEFT('PT4'!C270,6)</f>
        <v/>
      </c>
      <c r="G271" s="121" t="str">
        <f>+'PT4'!D270</f>
        <v/>
      </c>
      <c r="H271" s="103"/>
      <c r="J271" s="103" t="str">
        <f>LEFT('PT5'!C270,6)</f>
        <v/>
      </c>
      <c r="K271" s="121" t="str">
        <f>+'PT5'!D270</f>
        <v/>
      </c>
      <c r="M271" s="103" t="str">
        <f>LEFT('PT6'!C270,6)</f>
        <v/>
      </c>
      <c r="N271" s="121" t="str">
        <f>+'PT6'!D270</f>
        <v/>
      </c>
      <c r="P271" s="103" t="str">
        <f>LEFT('PT7'!C270,6)</f>
        <v/>
      </c>
      <c r="Q271" s="121" t="str">
        <f>+'PT7'!D270</f>
        <v/>
      </c>
    </row>
    <row r="272" spans="2:17" x14ac:dyDescent="0.3">
      <c r="B272" s="103" t="str">
        <f>LEFT('PT3'!C271,6)</f>
        <v/>
      </c>
      <c r="C272" s="121" t="str">
        <f>+'PT3'!D271</f>
        <v/>
      </c>
      <c r="D272" s="122"/>
      <c r="F272" s="103" t="str">
        <f>LEFT('PT4'!C271,6)</f>
        <v/>
      </c>
      <c r="G272" s="121" t="str">
        <f>+'PT4'!D271</f>
        <v/>
      </c>
      <c r="H272" s="122"/>
      <c r="K272" s="121"/>
      <c r="M272" s="103" t="str">
        <f>LEFT('PT6'!C271,6)</f>
        <v/>
      </c>
      <c r="N272" s="121" t="str">
        <f>+'PT6'!D271</f>
        <v/>
      </c>
      <c r="P272" s="103" t="str">
        <f>LEFT('PT7'!C271,6)</f>
        <v/>
      </c>
      <c r="Q272" s="121" t="str">
        <f>+'PT7'!D271</f>
        <v/>
      </c>
    </row>
    <row r="273" spans="2:17" ht="18" x14ac:dyDescent="0.35">
      <c r="B273" s="123"/>
      <c r="C273" s="124">
        <f>SUM(C6:C272)</f>
        <v>386066</v>
      </c>
      <c r="D273" s="125"/>
      <c r="F273" s="123"/>
      <c r="G273" s="124">
        <f>SUM(G6:G272)</f>
        <v>203314</v>
      </c>
      <c r="H273" s="125"/>
      <c r="J273" s="123"/>
      <c r="K273" s="124">
        <f>SUM(K6:K272)</f>
        <v>93767.000000000029</v>
      </c>
      <c r="M273" s="123"/>
      <c r="N273" s="124">
        <f>SUM(N6:N272)</f>
        <v>0</v>
      </c>
      <c r="P273" s="123"/>
      <c r="Q273" s="124">
        <f>SUM(Q6:Q272)</f>
        <v>-2442352</v>
      </c>
    </row>
    <row r="274" spans="2:17" x14ac:dyDescent="0.3">
      <c r="C274" s="121"/>
      <c r="G274" s="121"/>
      <c r="K274" s="121"/>
      <c r="N274" s="121"/>
      <c r="Q274" s="121"/>
    </row>
    <row r="275" spans="2:17" x14ac:dyDescent="0.3">
      <c r="C275" s="121"/>
      <c r="G275" s="121"/>
      <c r="K275" s="121"/>
      <c r="N275" s="121"/>
      <c r="Q275" s="121"/>
    </row>
    <row r="276" spans="2:17" x14ac:dyDescent="0.3">
      <c r="C276" s="121"/>
      <c r="G276" s="121"/>
      <c r="K276" s="121"/>
      <c r="N276" s="121"/>
      <c r="Q276" s="121"/>
    </row>
    <row r="277" spans="2:17" x14ac:dyDescent="0.3">
      <c r="C277" s="121"/>
      <c r="G277" s="121"/>
      <c r="K277" s="121"/>
      <c r="N277" s="121"/>
      <c r="Q277" s="121"/>
    </row>
    <row r="278" spans="2:17" x14ac:dyDescent="0.3">
      <c r="C278" s="121"/>
      <c r="G278" s="121"/>
      <c r="K278" s="121"/>
      <c r="N278" s="121"/>
      <c r="Q278" s="121"/>
    </row>
    <row r="279" spans="2:17" x14ac:dyDescent="0.3">
      <c r="C279" s="121"/>
      <c r="G279" s="121"/>
      <c r="K279" s="121"/>
      <c r="N279" s="121"/>
      <c r="Q279" s="121"/>
    </row>
    <row r="280" spans="2:17" x14ac:dyDescent="0.3">
      <c r="C280" s="121"/>
      <c r="G280" s="121"/>
      <c r="K280" s="121"/>
      <c r="N280" s="121"/>
      <c r="Q280" s="121"/>
    </row>
    <row r="281" spans="2:17" x14ac:dyDescent="0.3">
      <c r="C281" s="121"/>
      <c r="G281" s="121"/>
      <c r="K281" s="121"/>
      <c r="N281" s="121"/>
      <c r="Q281" s="121"/>
    </row>
    <row r="282" spans="2:17" x14ac:dyDescent="0.3">
      <c r="C282" s="121"/>
      <c r="G282" s="121"/>
      <c r="K282" s="121"/>
      <c r="N282" s="121"/>
      <c r="Q282" s="121"/>
    </row>
    <row r="283" spans="2:17" x14ac:dyDescent="0.3">
      <c r="C283" s="121"/>
      <c r="G283" s="121"/>
      <c r="K283" s="121"/>
      <c r="N283" s="121"/>
      <c r="Q283" s="121"/>
    </row>
    <row r="284" spans="2:17" x14ac:dyDescent="0.3">
      <c r="C284" s="121"/>
      <c r="G284" s="121"/>
      <c r="K284" s="121"/>
      <c r="N284" s="121"/>
      <c r="Q284" s="121"/>
    </row>
  </sheetData>
  <protectedRanges>
    <protectedRange sqref="H6:H156" name="Rango2"/>
    <protectedRange sqref="D6:D77" name="Rango1"/>
  </protectedRanges>
  <mergeCells count="2">
    <mergeCell ref="B2:H2"/>
    <mergeCell ref="B3:H3"/>
  </mergeCells>
  <dataValidations count="3">
    <dataValidation type="list" allowBlank="1" showInputMessage="1" showErrorMessage="1" sqref="D129:D154" xr:uid="{14FEC222-5E4E-44D6-AF83-F743AB471265}">
      <formula1>$O$3:$O$10</formula1>
    </dataValidation>
    <dataValidation type="list" allowBlank="1" showInputMessage="1" showErrorMessage="1" sqref="H6:H265" xr:uid="{440AFD2E-CA67-45D0-8D07-F52C2F221E21}">
      <formula1>$U$6:$U$9</formula1>
    </dataValidation>
    <dataValidation type="list" allowBlank="1" showInputMessage="1" showErrorMessage="1" sqref="D6:D128" xr:uid="{1B5D8093-FFC5-4DE3-956B-D9162B8849FB}">
      <formula1>$V$6:$V$15</formula1>
    </dataValidation>
  </dataValidations>
  <pageMargins left="0.70866141732283472" right="0.70866141732283472" top="0.74803149606299213" bottom="0.74803149606299213" header="0.31496062992125984" footer="0.31496062992125984"/>
  <pageSetup scale="9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E5F7-91E2-48F4-9146-4B9531B02243}">
  <sheetPr codeName="Hoja1"/>
  <dimension ref="B3:D2678"/>
  <sheetViews>
    <sheetView zoomScale="115" zoomScaleNormal="11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3" sqref="E3"/>
    </sheetView>
  </sheetViews>
  <sheetFormatPr baseColWidth="10" defaultColWidth="11.5546875" defaultRowHeight="14.4" x14ac:dyDescent="0.3"/>
  <cols>
    <col min="1" max="1" width="4.5546875" style="105" customWidth="1"/>
    <col min="2" max="2" width="16.6640625" style="103" customWidth="1"/>
    <col min="3" max="3" width="46.6640625" style="105" customWidth="1"/>
    <col min="4" max="4" width="20.44140625" style="103" customWidth="1"/>
    <col min="5" max="16384" width="11.5546875" style="105"/>
  </cols>
  <sheetData>
    <row r="3" spans="2:4" ht="20.399999999999999" x14ac:dyDescent="0.35">
      <c r="B3" s="163" t="s">
        <v>23</v>
      </c>
      <c r="C3" s="163"/>
      <c r="D3" s="163"/>
    </row>
    <row r="4" spans="2:4" ht="21.6" customHeight="1" x14ac:dyDescent="0.3"/>
    <row r="5" spans="2:4" ht="28.95" customHeight="1" x14ac:dyDescent="0.3">
      <c r="B5" s="147" t="s">
        <v>1</v>
      </c>
      <c r="C5" s="147" t="s">
        <v>0</v>
      </c>
      <c r="D5" s="147" t="str">
        <f>[1]!'@PERIODO[A]'</f>
        <v>Abril/2026</v>
      </c>
    </row>
    <row r="6" spans="2:4" x14ac:dyDescent="0.3">
      <c r="B6" s="126" t="str">
        <f t="array" ref="B6:D57">[2]!'@CTA[104-001-001..104-001-052, U, N, F]'</f>
        <v>104-001-001</v>
      </c>
      <c r="C6" s="127" t="str">
        <v>A-101 DANIEL DANA</v>
      </c>
      <c r="D6" s="128">
        <v>0</v>
      </c>
    </row>
    <row r="7" spans="2:4" x14ac:dyDescent="0.3">
      <c r="B7" s="126" t="str">
        <v>104-001-002</v>
      </c>
      <c r="C7" s="127" t="str">
        <v>A-102 ANTONIO  BELLORIN</v>
      </c>
      <c r="D7" s="128">
        <v>-12694</v>
      </c>
    </row>
    <row r="8" spans="2:4" x14ac:dyDescent="0.3">
      <c r="B8" s="126" t="str">
        <v>104-001-003</v>
      </c>
      <c r="C8" s="127" t="str">
        <v>A-201 ALBERTO TARTAKOVSKI</v>
      </c>
      <c r="D8" s="128">
        <v>0</v>
      </c>
    </row>
    <row r="9" spans="2:4" x14ac:dyDescent="0.3">
      <c r="B9" s="126" t="str">
        <v>104-001-004</v>
      </c>
      <c r="C9" s="127" t="str">
        <v>A-202 CAROLINA OMAÑA</v>
      </c>
      <c r="D9" s="128">
        <v>-12694</v>
      </c>
    </row>
    <row r="10" spans="2:4" x14ac:dyDescent="0.3">
      <c r="B10" s="126" t="str">
        <v>104-001-005</v>
      </c>
      <c r="C10" s="127" t="str">
        <v>A-301 KAREN VELASQUEZ</v>
      </c>
      <c r="D10" s="128">
        <v>-38082</v>
      </c>
    </row>
    <row r="11" spans="2:4" x14ac:dyDescent="0.3">
      <c r="B11" s="126" t="str">
        <v>104-001-006</v>
      </c>
      <c r="C11" s="127" t="str">
        <v xml:space="preserve">A-302 MANUEL DAVID </v>
      </c>
      <c r="D11" s="128">
        <v>0</v>
      </c>
    </row>
    <row r="12" spans="2:4" x14ac:dyDescent="0.3">
      <c r="B12" s="126" t="str">
        <v>104-001-007</v>
      </c>
      <c r="C12" s="127" t="str">
        <v>A-401 MARIO MIZRAHI</v>
      </c>
      <c r="D12" s="128">
        <v>0</v>
      </c>
    </row>
    <row r="13" spans="2:4" x14ac:dyDescent="0.3">
      <c r="B13" s="126" t="str">
        <v>104-001-008</v>
      </c>
      <c r="C13" s="127" t="str">
        <v>A-402 ANASTASIA BELLIS</v>
      </c>
      <c r="D13" s="128">
        <v>-12694</v>
      </c>
    </row>
    <row r="14" spans="2:4" x14ac:dyDescent="0.3">
      <c r="B14" s="126" t="str">
        <v>104-001-009</v>
      </c>
      <c r="C14" s="127" t="str">
        <v>A-501 ALEJANDRO GOLDEBERG</v>
      </c>
      <c r="D14" s="128">
        <v>25000</v>
      </c>
    </row>
    <row r="15" spans="2:4" x14ac:dyDescent="0.3">
      <c r="B15" s="126" t="str">
        <v>104-001-010</v>
      </c>
      <c r="C15" s="127" t="str">
        <v xml:space="preserve">A-502 DANIEL DAVID </v>
      </c>
      <c r="D15" s="128">
        <v>0</v>
      </c>
    </row>
    <row r="16" spans="2:4" x14ac:dyDescent="0.3">
      <c r="B16" s="126" t="str">
        <v>104-001-011</v>
      </c>
      <c r="C16" s="127" t="str">
        <v>A-601 LUIS JIMENEZ ALFARO</v>
      </c>
      <c r="D16" s="128">
        <v>0</v>
      </c>
    </row>
    <row r="17" spans="2:4" x14ac:dyDescent="0.3">
      <c r="B17" s="126" t="str">
        <v>104-001-012</v>
      </c>
      <c r="C17" s="127" t="str">
        <v>A-602 EMILIO SACAL</v>
      </c>
      <c r="D17" s="128">
        <v>0</v>
      </c>
    </row>
    <row r="18" spans="2:4" x14ac:dyDescent="0.3">
      <c r="B18" s="126" t="str">
        <v>104-001-013</v>
      </c>
      <c r="C18" s="127" t="str">
        <v>A-701 BELORA LEVY</v>
      </c>
      <c r="D18" s="128">
        <v>0</v>
      </c>
    </row>
    <row r="19" spans="2:4" x14ac:dyDescent="0.3">
      <c r="B19" s="126" t="str">
        <v>104-001-014</v>
      </c>
      <c r="C19" s="127" t="str">
        <v>A-702 XIMENA DE LASCURAIN</v>
      </c>
      <c r="D19" s="128">
        <v>-2.9103830456733704E-11</v>
      </c>
    </row>
    <row r="20" spans="2:4" x14ac:dyDescent="0.3">
      <c r="B20" s="126" t="str">
        <v>104-001-015</v>
      </c>
      <c r="C20" s="127" t="str">
        <v>A-801 ALERTO BESSOUDO</v>
      </c>
      <c r="D20" s="128">
        <v>0</v>
      </c>
    </row>
    <row r="21" spans="2:4" x14ac:dyDescent="0.3">
      <c r="B21" s="126" t="str">
        <v>104-001-016</v>
      </c>
      <c r="C21" s="127" t="str">
        <v>A-802 MIREL MIHALIDE</v>
      </c>
      <c r="D21" s="128">
        <v>-1000</v>
      </c>
    </row>
    <row r="22" spans="2:4" x14ac:dyDescent="0.3">
      <c r="B22" s="126" t="str">
        <v>104-001-017</v>
      </c>
      <c r="C22" s="127" t="str">
        <v>A-901 EDUARDO ZONANA</v>
      </c>
      <c r="D22" s="128">
        <v>0</v>
      </c>
    </row>
    <row r="23" spans="2:4" x14ac:dyDescent="0.3">
      <c r="B23" s="126" t="str">
        <v>104-001-018</v>
      </c>
      <c r="C23" s="127" t="str">
        <v>A-902 ALMA FONDO DE AYUDA I. A. P.</v>
      </c>
      <c r="D23" s="128">
        <v>0</v>
      </c>
    </row>
    <row r="24" spans="2:4" x14ac:dyDescent="0.3">
      <c r="B24" s="126" t="str">
        <v>104-001-019</v>
      </c>
      <c r="C24" s="127" t="str">
        <v>A-1001 MONICA SABA</v>
      </c>
      <c r="D24" s="128">
        <v>0</v>
      </c>
    </row>
    <row r="25" spans="2:4" x14ac:dyDescent="0.3">
      <c r="B25" s="126" t="str">
        <v>104-001-020</v>
      </c>
      <c r="C25" s="127" t="str">
        <v>A-1002 MIGUEL MIZRAHI</v>
      </c>
      <c r="D25" s="128">
        <v>0</v>
      </c>
    </row>
    <row r="26" spans="2:4" x14ac:dyDescent="0.3">
      <c r="B26" s="126" t="str">
        <v>104-001-021</v>
      </c>
      <c r="C26" s="127" t="str">
        <v>A-1101 JAIME SABA</v>
      </c>
      <c r="D26" s="128">
        <v>0</v>
      </c>
    </row>
    <row r="27" spans="2:4" x14ac:dyDescent="0.3">
      <c r="B27" s="126" t="str">
        <v>104-001-022</v>
      </c>
      <c r="C27" s="127" t="str">
        <v>A-1102 JUAN GARCIA</v>
      </c>
      <c r="D27" s="128">
        <v>-12694</v>
      </c>
    </row>
    <row r="28" spans="2:4" x14ac:dyDescent="0.3">
      <c r="B28" s="126" t="str">
        <v>104-001-023</v>
      </c>
      <c r="C28" s="127" t="str">
        <v>A-1201 MAYER KHALIFAH</v>
      </c>
      <c r="D28" s="128">
        <v>0</v>
      </c>
    </row>
    <row r="29" spans="2:4" x14ac:dyDescent="0.3">
      <c r="B29" s="126" t="str">
        <v>104-001-024</v>
      </c>
      <c r="C29" s="127" t="str">
        <v>A-1202 MOISES TUACHI</v>
      </c>
      <c r="D29" s="128">
        <v>0</v>
      </c>
    </row>
    <row r="30" spans="2:4" x14ac:dyDescent="0.3">
      <c r="B30" s="126" t="str">
        <v>104-001-025</v>
      </c>
      <c r="C30" s="127" t="str">
        <v xml:space="preserve">A-1301 MAYER COHEN </v>
      </c>
      <c r="D30" s="128">
        <v>0</v>
      </c>
    </row>
    <row r="31" spans="2:4" x14ac:dyDescent="0.3">
      <c r="B31" s="126" t="str">
        <v>104-001-026</v>
      </c>
      <c r="C31" s="127" t="str">
        <v>A-1302 BECKY EDID</v>
      </c>
      <c r="D31" s="128">
        <v>0</v>
      </c>
    </row>
    <row r="32" spans="2:4" x14ac:dyDescent="0.3">
      <c r="B32" s="126" t="str">
        <v>104-001-027</v>
      </c>
      <c r="C32" s="127" t="str">
        <v>A-1401 JESSICA SIDAUY</v>
      </c>
      <c r="D32" s="128">
        <v>0</v>
      </c>
    </row>
    <row r="33" spans="2:4" x14ac:dyDescent="0.3">
      <c r="B33" s="126" t="str">
        <v>104-001-028</v>
      </c>
      <c r="C33" s="127" t="str">
        <v>A-1402 JOSE MAYA</v>
      </c>
      <c r="D33" s="128">
        <v>0</v>
      </c>
    </row>
    <row r="34" spans="2:4" x14ac:dyDescent="0.3">
      <c r="B34" s="126" t="str">
        <v>104-001-029</v>
      </c>
      <c r="C34" s="127" t="str">
        <v>A-1501 NISSIM TURKIA</v>
      </c>
      <c r="D34" s="128">
        <v>0</v>
      </c>
    </row>
    <row r="35" spans="2:4" x14ac:dyDescent="0.3">
      <c r="B35" s="126" t="str">
        <v>104-001-030</v>
      </c>
      <c r="C35" s="127" t="str">
        <v>A-1502 SAMUEL SEVILLA</v>
      </c>
      <c r="D35" s="128">
        <v>0</v>
      </c>
    </row>
    <row r="36" spans="2:4" x14ac:dyDescent="0.3">
      <c r="B36" s="126" t="str">
        <v>104-001-031</v>
      </c>
      <c r="C36" s="127" t="str">
        <v>A-1601 LEON SEVILLA</v>
      </c>
      <c r="D36" s="128">
        <v>0</v>
      </c>
    </row>
    <row r="37" spans="2:4" x14ac:dyDescent="0.3">
      <c r="B37" s="126" t="str">
        <v>104-001-032</v>
      </c>
      <c r="C37" s="127" t="str">
        <v>A-1602 ESTRELLA BEHAR</v>
      </c>
      <c r="D37" s="128">
        <v>-98504</v>
      </c>
    </row>
    <row r="38" spans="2:4" x14ac:dyDescent="0.3">
      <c r="B38" s="126" t="str">
        <v>104-001-033</v>
      </c>
      <c r="C38" s="127" t="str">
        <v>A-1701 ELIAS JASQUI</v>
      </c>
      <c r="D38" s="128">
        <v>-98504</v>
      </c>
    </row>
    <row r="39" spans="2:4" x14ac:dyDescent="0.3">
      <c r="B39" s="126" t="str">
        <v>104-001-034</v>
      </c>
      <c r="C39" s="127" t="str">
        <v>A-1702 IGAL ROVERO</v>
      </c>
      <c r="D39" s="128">
        <v>500</v>
      </c>
    </row>
    <row r="40" spans="2:4" x14ac:dyDescent="0.3">
      <c r="B40" s="126" t="str">
        <v>104-001-035</v>
      </c>
      <c r="C40" s="127" t="str">
        <v>A-1801 FRIDA ALFIE</v>
      </c>
      <c r="D40" s="128">
        <v>0</v>
      </c>
    </row>
    <row r="41" spans="2:4" x14ac:dyDescent="0.3">
      <c r="B41" s="126" t="str">
        <v>104-001-036</v>
      </c>
      <c r="C41" s="127" t="str">
        <v>A-1802 ABDO ROFFE</v>
      </c>
      <c r="D41" s="128">
        <v>0</v>
      </c>
    </row>
    <row r="42" spans="2:4" x14ac:dyDescent="0.3">
      <c r="B42" s="126" t="str">
        <v>104-001-037</v>
      </c>
      <c r="C42" s="127" t="str">
        <v>A-1901 JONATHAN POMERANTZ</v>
      </c>
      <c r="D42" s="128">
        <v>0</v>
      </c>
    </row>
    <row r="43" spans="2:4" x14ac:dyDescent="0.3">
      <c r="B43" s="126" t="str">
        <v>104-001-038</v>
      </c>
      <c r="C43" s="127" t="str">
        <v>A-1902 LINDA PENHOS</v>
      </c>
      <c r="D43" s="128">
        <v>0</v>
      </c>
    </row>
    <row r="44" spans="2:4" x14ac:dyDescent="0.3">
      <c r="B44" s="126" t="str">
        <v>104-001-039</v>
      </c>
      <c r="C44" s="127" t="str">
        <v>A-2001 ALICIA SABA</v>
      </c>
      <c r="D44" s="128">
        <v>0</v>
      </c>
    </row>
    <row r="45" spans="2:4" x14ac:dyDescent="0.3">
      <c r="B45" s="126" t="str">
        <v>104-001-040</v>
      </c>
      <c r="C45" s="127" t="str">
        <v>A-2002 RAFAEL BEHAR</v>
      </c>
      <c r="D45" s="128">
        <v>0</v>
      </c>
    </row>
    <row r="46" spans="2:4" x14ac:dyDescent="0.3">
      <c r="B46" s="126" t="str">
        <v>104-001-041</v>
      </c>
      <c r="C46" s="127" t="str">
        <v>A-2101 MOISES PALOMBO</v>
      </c>
      <c r="D46" s="128">
        <v>0</v>
      </c>
    </row>
    <row r="47" spans="2:4" x14ac:dyDescent="0.3">
      <c r="B47" s="126" t="str">
        <v>104-001-042</v>
      </c>
      <c r="C47" s="127" t="str">
        <v>A-2102 MAURICIO BALEY</v>
      </c>
      <c r="D47" s="128">
        <v>0</v>
      </c>
    </row>
    <row r="48" spans="2:4" x14ac:dyDescent="0.3">
      <c r="B48" s="126" t="str">
        <v>104-001-043</v>
      </c>
      <c r="C48" s="127" t="str">
        <v>A-2201 FREDELLE MUSTRI</v>
      </c>
      <c r="D48" s="128">
        <v>28188</v>
      </c>
    </row>
    <row r="49" spans="2:4" x14ac:dyDescent="0.3">
      <c r="B49" s="126" t="str">
        <v>104-001-044</v>
      </c>
      <c r="C49" s="127" t="str">
        <v xml:space="preserve">A-2202 JAIME COHEN </v>
      </c>
      <c r="D49" s="128">
        <v>0</v>
      </c>
    </row>
    <row r="50" spans="2:4" x14ac:dyDescent="0.3">
      <c r="B50" s="126" t="str">
        <v>104-001-045</v>
      </c>
      <c r="C50" s="127" t="str">
        <v>A-2301 DANIEL BETECH</v>
      </c>
      <c r="D50" s="128">
        <v>-2.9103830456733704E-11</v>
      </c>
    </row>
    <row r="51" spans="2:4" x14ac:dyDescent="0.3">
      <c r="B51" s="126" t="str">
        <v>104-001-046</v>
      </c>
      <c r="C51" s="127" t="str">
        <v xml:space="preserve">A-2302 ALBERTO MAYA </v>
      </c>
      <c r="D51" s="128">
        <v>0</v>
      </c>
    </row>
    <row r="52" spans="2:4" x14ac:dyDescent="0.3">
      <c r="B52" s="126" t="str">
        <v>104-001-047</v>
      </c>
      <c r="C52" s="127" t="str">
        <v>A-2401 VICTORIA MUSTRI</v>
      </c>
      <c r="D52" s="128">
        <v>3.637978807091713E-12</v>
      </c>
    </row>
    <row r="53" spans="2:4" x14ac:dyDescent="0.3">
      <c r="B53" s="126" t="str">
        <v>104-001-048</v>
      </c>
      <c r="C53" s="127" t="str">
        <v>A-2402 SANDRA BASSINI</v>
      </c>
      <c r="D53" s="128">
        <v>0</v>
      </c>
    </row>
    <row r="54" spans="2:4" x14ac:dyDescent="0.3">
      <c r="B54" s="126" t="str">
        <v>104-001-049</v>
      </c>
      <c r="C54" s="127" t="str">
        <v>A-2501 SAMY LAZAROV</v>
      </c>
      <c r="D54" s="128">
        <v>0</v>
      </c>
    </row>
    <row r="55" spans="2:4" x14ac:dyDescent="0.3">
      <c r="B55" s="126" t="str">
        <v>104-001-050</v>
      </c>
      <c r="C55" s="127" t="str">
        <v>A-2502 MOISES GUINDI</v>
      </c>
      <c r="D55" s="128">
        <v>0</v>
      </c>
    </row>
    <row r="56" spans="2:4" x14ac:dyDescent="0.3">
      <c r="B56" s="126" t="str">
        <v>104-001-051</v>
      </c>
      <c r="C56" s="127" t="str">
        <v>A-PH01 BUDY CHICUREL</v>
      </c>
      <c r="D56" s="128">
        <v>0</v>
      </c>
    </row>
    <row r="57" spans="2:4" x14ac:dyDescent="0.3">
      <c r="B57" s="126" t="str">
        <v>104-001-052</v>
      </c>
      <c r="C57" s="127" t="str">
        <v>A-PH02 SALOMON JASQUI</v>
      </c>
      <c r="D57" s="128">
        <v>0</v>
      </c>
    </row>
    <row r="58" spans="2:4" x14ac:dyDescent="0.3">
      <c r="B58" s="126" t="str">
        <f t="array" ref="B58:D109">[2]!'@CTA[104-002-001..104-002-052, U, N, F]'</f>
        <v>104-002-001</v>
      </c>
      <c r="C58" s="127" t="str">
        <v>O1-103 BENJAMIN LOMBROZO</v>
      </c>
      <c r="D58" s="128">
        <v>0</v>
      </c>
    </row>
    <row r="59" spans="2:4" x14ac:dyDescent="0.3">
      <c r="B59" s="126" t="str">
        <v>104-002-002</v>
      </c>
      <c r="C59" s="127" t="str">
        <v>O1-104 JACK SASSON</v>
      </c>
      <c r="D59" s="128">
        <v>0</v>
      </c>
    </row>
    <row r="60" spans="2:4" x14ac:dyDescent="0.3">
      <c r="B60" s="126" t="str">
        <v>104-002-003</v>
      </c>
      <c r="C60" s="127" t="str">
        <v>O1-203 ARIELA ROSENSTEIN</v>
      </c>
      <c r="D60" s="128">
        <v>0</v>
      </c>
    </row>
    <row r="61" spans="2:4" x14ac:dyDescent="0.3">
      <c r="B61" s="126" t="str">
        <v>104-002-004</v>
      </c>
      <c r="C61" s="127" t="str">
        <v>O1-204 SELENE CAPDEVILA</v>
      </c>
      <c r="D61" s="128">
        <v>0</v>
      </c>
    </row>
    <row r="62" spans="2:4" x14ac:dyDescent="0.3">
      <c r="B62" s="126" t="str">
        <v>104-002-005</v>
      </c>
      <c r="C62" s="127" t="str">
        <v>O1-303 RAFAEL ZAGA</v>
      </c>
      <c r="D62" s="128">
        <v>0</v>
      </c>
    </row>
    <row r="63" spans="2:4" x14ac:dyDescent="0.3">
      <c r="B63" s="126" t="str">
        <v>104-002-006</v>
      </c>
      <c r="C63" s="127" t="str">
        <v>O1-304 JOSEF HABER</v>
      </c>
      <c r="D63" s="128">
        <v>0</v>
      </c>
    </row>
    <row r="64" spans="2:4" x14ac:dyDescent="0.3">
      <c r="B64" s="126" t="str">
        <v>104-002-007</v>
      </c>
      <c r="C64" s="127" t="str">
        <v>O1-403 JOSE MIZRAHI</v>
      </c>
      <c r="D64" s="128">
        <v>-12694</v>
      </c>
    </row>
    <row r="65" spans="2:4" x14ac:dyDescent="0.3">
      <c r="B65" s="126" t="str">
        <v>104-002-008</v>
      </c>
      <c r="C65" s="127" t="str">
        <v>O1-404 IVAN ROJAS</v>
      </c>
      <c r="D65" s="128">
        <v>0</v>
      </c>
    </row>
    <row r="66" spans="2:4" x14ac:dyDescent="0.3">
      <c r="B66" s="126" t="str">
        <v>104-002-009</v>
      </c>
      <c r="C66" s="127" t="str">
        <v>O1-503 DAVIDE TOMASSONI</v>
      </c>
      <c r="D66" s="128">
        <v>7.9580786405131221E-13</v>
      </c>
    </row>
    <row r="67" spans="2:4" x14ac:dyDescent="0.3">
      <c r="B67" s="126" t="str">
        <v>104-002-010</v>
      </c>
      <c r="C67" s="127" t="str">
        <v>O1-504 REBECA CASTRO</v>
      </c>
      <c r="D67" s="128">
        <v>0</v>
      </c>
    </row>
    <row r="68" spans="2:4" x14ac:dyDescent="0.3">
      <c r="B68" s="126" t="str">
        <v>104-002-011</v>
      </c>
      <c r="C68" s="127" t="str">
        <v>O1-603 JACOBO CHEREM A</v>
      </c>
      <c r="D68" s="128">
        <v>0</v>
      </c>
    </row>
    <row r="69" spans="2:4" x14ac:dyDescent="0.3">
      <c r="B69" s="126" t="str">
        <v>104-002-012</v>
      </c>
      <c r="C69" s="127" t="str">
        <v>O1-604 ALBERTO SAAD</v>
      </c>
      <c r="D69" s="128">
        <v>-12694</v>
      </c>
    </row>
    <row r="70" spans="2:4" x14ac:dyDescent="0.3">
      <c r="B70" s="126" t="str">
        <v>104-002-013</v>
      </c>
      <c r="C70" s="127" t="str">
        <v>O1-703 ANA VAZQUEZ</v>
      </c>
      <c r="D70" s="128">
        <v>0</v>
      </c>
    </row>
    <row r="71" spans="2:4" x14ac:dyDescent="0.3">
      <c r="B71" s="126" t="str">
        <v>104-002-014</v>
      </c>
      <c r="C71" s="127" t="str">
        <v>O1-704 SARA ACHAR</v>
      </c>
      <c r="D71" s="128">
        <v>-9999.9999999999982</v>
      </c>
    </row>
    <row r="72" spans="2:4" x14ac:dyDescent="0.3">
      <c r="B72" s="126" t="str">
        <v>104-002-015</v>
      </c>
      <c r="C72" s="127" t="str">
        <v>O1-803 ELVIRA RAHMANE</v>
      </c>
      <c r="D72" s="128">
        <v>0</v>
      </c>
    </row>
    <row r="73" spans="2:4" x14ac:dyDescent="0.3">
      <c r="B73" s="126" t="str">
        <v>104-002-016</v>
      </c>
      <c r="C73" s="127" t="str">
        <v>O1-804 JOSE GOMEZ</v>
      </c>
      <c r="D73" s="128">
        <v>-12694</v>
      </c>
    </row>
    <row r="74" spans="2:4" x14ac:dyDescent="0.3">
      <c r="B74" s="126" t="str">
        <v>104-002-017</v>
      </c>
      <c r="C74" s="127" t="str">
        <v>O1-903 ABRAHAM CHEREM</v>
      </c>
      <c r="D74" s="128">
        <v>0</v>
      </c>
    </row>
    <row r="75" spans="2:4" x14ac:dyDescent="0.3">
      <c r="B75" s="126" t="str">
        <v>104-002-018</v>
      </c>
      <c r="C75" s="127" t="str">
        <v>O1-904 ISAAC MAYA</v>
      </c>
      <c r="D75" s="128">
        <v>0</v>
      </c>
    </row>
    <row r="76" spans="2:4" x14ac:dyDescent="0.3">
      <c r="B76" s="126" t="str">
        <v>104-002-019</v>
      </c>
      <c r="C76" s="127" t="str">
        <v>O1-1003 SARA MICHA</v>
      </c>
      <c r="D76" s="128">
        <v>-12694</v>
      </c>
    </row>
    <row r="77" spans="2:4" x14ac:dyDescent="0.3">
      <c r="B77" s="126" t="str">
        <v>104-002-020</v>
      </c>
      <c r="C77" s="127" t="str">
        <v>O1-1004 NISSIM MANN</v>
      </c>
      <c r="D77" s="128">
        <v>-2.9103830456733704E-11</v>
      </c>
    </row>
    <row r="78" spans="2:4" x14ac:dyDescent="0.3">
      <c r="B78" s="126" t="str">
        <v>104-002-021</v>
      </c>
      <c r="C78" s="127" t="str">
        <v>O1-1103 GUADALUPE BASTON</v>
      </c>
      <c r="D78" s="128">
        <v>0</v>
      </c>
    </row>
    <row r="79" spans="2:4" x14ac:dyDescent="0.3">
      <c r="B79" s="126" t="str">
        <v>104-002-022</v>
      </c>
      <c r="C79" s="127" t="str">
        <v>O1-1104 JACOBO CATAN</v>
      </c>
      <c r="D79" s="128">
        <v>-112694</v>
      </c>
    </row>
    <row r="80" spans="2:4" x14ac:dyDescent="0.3">
      <c r="B80" s="126" t="str">
        <v>104-002-023</v>
      </c>
      <c r="C80" s="127" t="str">
        <v>O1-1203 MOISES CHAYO</v>
      </c>
      <c r="D80" s="128">
        <v>-12694</v>
      </c>
    </row>
    <row r="81" spans="2:4" x14ac:dyDescent="0.3">
      <c r="B81" s="126" t="str">
        <v>104-002-024</v>
      </c>
      <c r="C81" s="127" t="str">
        <v>O1-1204 CARLOS KIBRIT</v>
      </c>
      <c r="D81" s="128">
        <v>0</v>
      </c>
    </row>
    <row r="82" spans="2:4" x14ac:dyDescent="0.3">
      <c r="B82" s="126" t="str">
        <v>104-002-025</v>
      </c>
      <c r="C82" s="127" t="str">
        <v>O1-1303 CARLOS MIZRAHI</v>
      </c>
      <c r="D82" s="128">
        <v>0</v>
      </c>
    </row>
    <row r="83" spans="2:4" x14ac:dyDescent="0.3">
      <c r="B83" s="126" t="str">
        <v>104-002-026</v>
      </c>
      <c r="C83" s="127" t="str">
        <v>O1-1304 JACOBO CHEREM A</v>
      </c>
      <c r="D83" s="128">
        <v>0</v>
      </c>
    </row>
    <row r="84" spans="2:4" x14ac:dyDescent="0.3">
      <c r="B84" s="126" t="str">
        <v>104-002-027</v>
      </c>
      <c r="C84" s="127" t="str">
        <v>O1-1403 LEONARDO DE LOZANNE</v>
      </c>
      <c r="D84" s="128">
        <v>0</v>
      </c>
    </row>
    <row r="85" spans="2:4" x14ac:dyDescent="0.3">
      <c r="B85" s="126" t="str">
        <v>104-002-028</v>
      </c>
      <c r="C85" s="127" t="str">
        <v>O1-1404 ALBERTO SABA</v>
      </c>
      <c r="D85" s="128">
        <v>500</v>
      </c>
    </row>
    <row r="86" spans="2:4" x14ac:dyDescent="0.3">
      <c r="B86" s="126" t="str">
        <v>104-002-029</v>
      </c>
      <c r="C86" s="127" t="str">
        <v>O1-1503 ABRAHAM BRAVERMAN</v>
      </c>
      <c r="D86" s="128">
        <v>0</v>
      </c>
    </row>
    <row r="87" spans="2:4" x14ac:dyDescent="0.3">
      <c r="B87" s="126" t="str">
        <v>104-002-030</v>
      </c>
      <c r="C87" s="127" t="str">
        <v>O1-1504 GRACIELA SENOSIAIN</v>
      </c>
      <c r="D87" s="128">
        <v>-98504</v>
      </c>
    </row>
    <row r="88" spans="2:4" x14ac:dyDescent="0.3">
      <c r="B88" s="126" t="str">
        <v>104-002-031</v>
      </c>
      <c r="C88" s="127" t="str">
        <v>O1-1603 SIMON PENHAS</v>
      </c>
      <c r="D88" s="128">
        <v>0</v>
      </c>
    </row>
    <row r="89" spans="2:4" x14ac:dyDescent="0.3">
      <c r="B89" s="126" t="str">
        <v>104-002-032</v>
      </c>
      <c r="C89" s="127" t="str">
        <v>O1-1604 JACOBO ZAGHA</v>
      </c>
      <c r="D89" s="128">
        <v>0</v>
      </c>
    </row>
    <row r="90" spans="2:4" x14ac:dyDescent="0.3">
      <c r="B90" s="126" t="str">
        <v>104-002-033</v>
      </c>
      <c r="C90" s="127" t="str">
        <v>O1-1703 MOISES ALBERTO ESSES</v>
      </c>
      <c r="D90" s="128">
        <v>-98504</v>
      </c>
    </row>
    <row r="91" spans="2:4" x14ac:dyDescent="0.3">
      <c r="B91" s="126" t="str">
        <v>104-002-034</v>
      </c>
      <c r="C91" s="127" t="str">
        <v>O1-1704 JACOBO CHEREM A</v>
      </c>
      <c r="D91" s="128">
        <v>0</v>
      </c>
    </row>
    <row r="92" spans="2:4" x14ac:dyDescent="0.3">
      <c r="B92" s="126" t="str">
        <v>104-002-035</v>
      </c>
      <c r="C92" s="127" t="str">
        <v>O1-1803 ZURY ESSES</v>
      </c>
      <c r="D92" s="128">
        <v>-98504</v>
      </c>
    </row>
    <row r="93" spans="2:4" x14ac:dyDescent="0.3">
      <c r="B93" s="126" t="str">
        <v>104-002-036</v>
      </c>
      <c r="C93" s="127" t="str">
        <v>O1-1804 SALVADOR CARMONA</v>
      </c>
      <c r="D93" s="128">
        <v>0</v>
      </c>
    </row>
    <row r="94" spans="2:4" x14ac:dyDescent="0.3">
      <c r="B94" s="126" t="str">
        <v>104-002-037</v>
      </c>
      <c r="C94" s="127" t="str">
        <v>O1-1903 ELIAS CHATTAJ</v>
      </c>
      <c r="D94" s="128">
        <v>0</v>
      </c>
    </row>
    <row r="95" spans="2:4" x14ac:dyDescent="0.3">
      <c r="B95" s="126" t="str">
        <v>104-002-038</v>
      </c>
      <c r="C95" s="127" t="str">
        <v>O1-1904 JACOBO CHEREM A</v>
      </c>
      <c r="D95" s="128">
        <v>0</v>
      </c>
    </row>
    <row r="96" spans="2:4" x14ac:dyDescent="0.3">
      <c r="B96" s="126" t="str">
        <v>104-002-039</v>
      </c>
      <c r="C96" s="127" t="str">
        <v xml:space="preserve">O1-2003 JOSE MICHAN </v>
      </c>
      <c r="D96" s="128">
        <v>0</v>
      </c>
    </row>
    <row r="97" spans="2:4" x14ac:dyDescent="0.3">
      <c r="B97" s="126" t="str">
        <v>104-002-040</v>
      </c>
      <c r="C97" s="127" t="str">
        <v>O1-2004 ALEJANDRO BARRIOS</v>
      </c>
      <c r="D97" s="128">
        <v>300</v>
      </c>
    </row>
    <row r="98" spans="2:4" x14ac:dyDescent="0.3">
      <c r="B98" s="126" t="str">
        <v>104-002-041</v>
      </c>
      <c r="C98" s="127" t="str">
        <v>O1-2103 ROCIO CHAVEZ</v>
      </c>
      <c r="D98" s="128">
        <v>0</v>
      </c>
    </row>
    <row r="99" spans="2:4" x14ac:dyDescent="0.3">
      <c r="B99" s="126" t="str">
        <v>104-002-042</v>
      </c>
      <c r="C99" s="127" t="str">
        <v>O1-2104 AMADA ZAGHA</v>
      </c>
      <c r="D99" s="128">
        <v>0</v>
      </c>
    </row>
    <row r="100" spans="2:4" x14ac:dyDescent="0.3">
      <c r="B100" s="126" t="str">
        <v>104-002-043</v>
      </c>
      <c r="C100" s="127" t="str">
        <v>O1-2203 STEPHANIE MASLIAH</v>
      </c>
      <c r="D100" s="128">
        <v>0</v>
      </c>
    </row>
    <row r="101" spans="2:4" x14ac:dyDescent="0.3">
      <c r="B101" s="126" t="str">
        <v>104-002-044</v>
      </c>
      <c r="C101" s="127" t="str">
        <v xml:space="preserve">O1-2204 RAQUEL BUCAY </v>
      </c>
      <c r="D101" s="128">
        <v>0</v>
      </c>
    </row>
    <row r="102" spans="2:4" x14ac:dyDescent="0.3">
      <c r="B102" s="126" t="str">
        <v>104-002-045</v>
      </c>
      <c r="C102" s="127" t="str">
        <v>O1-2303 ISAAC HOP</v>
      </c>
      <c r="D102" s="128">
        <v>13694</v>
      </c>
    </row>
    <row r="103" spans="2:4" x14ac:dyDescent="0.3">
      <c r="B103" s="126" t="str">
        <v>104-002-046</v>
      </c>
      <c r="C103" s="127" t="str">
        <v>O1-2304 ERICK VEGA</v>
      </c>
      <c r="D103" s="128">
        <v>0</v>
      </c>
    </row>
    <row r="104" spans="2:4" x14ac:dyDescent="0.3">
      <c r="B104" s="126" t="str">
        <v>104-002-047</v>
      </c>
      <c r="C104" s="127" t="str">
        <v>O1-2403 SCOTIABANK INVERLAT S.A.</v>
      </c>
      <c r="D104" s="128">
        <v>180472</v>
      </c>
    </row>
    <row r="105" spans="2:4" x14ac:dyDescent="0.3">
      <c r="B105" s="126" t="str">
        <v>104-002-048</v>
      </c>
      <c r="C105" s="127" t="str">
        <v>O1-2404 SIMON BASSO</v>
      </c>
      <c r="D105" s="128">
        <v>0</v>
      </c>
    </row>
    <row r="106" spans="2:4" x14ac:dyDescent="0.3">
      <c r="B106" s="126" t="str">
        <v>104-002-049</v>
      </c>
      <c r="C106" s="127" t="str">
        <v>O1-2503 ESTHER ABADI</v>
      </c>
      <c r="D106" s="128">
        <v>0</v>
      </c>
    </row>
    <row r="107" spans="2:4" x14ac:dyDescent="0.3">
      <c r="B107" s="126" t="str">
        <v>104-002-050</v>
      </c>
      <c r="C107" s="127" t="str">
        <v>O1-2504 SAMUEL ZETUNE</v>
      </c>
      <c r="D107" s="128">
        <v>0</v>
      </c>
    </row>
    <row r="108" spans="2:4" x14ac:dyDescent="0.3">
      <c r="B108" s="126" t="str">
        <v>104-002-051</v>
      </c>
      <c r="C108" s="127" t="str">
        <v>O1-PH03 SERGIO FASCOVICH</v>
      </c>
      <c r="D108" s="128">
        <v>0</v>
      </c>
    </row>
    <row r="109" spans="2:4" x14ac:dyDescent="0.3">
      <c r="B109" s="126" t="str">
        <v>104-002-052</v>
      </c>
      <c r="C109" s="127" t="str">
        <v>O1-PH04 JACOBO CHEREM HARARI</v>
      </c>
      <c r="D109" s="128">
        <v>0</v>
      </c>
    </row>
    <row r="110" spans="2:4" x14ac:dyDescent="0.3">
      <c r="B110" s="126" t="str">
        <f t="array" ref="B110:D161">[2]!'@CTA[104-003-001..104-003-052, U, N, F]'</f>
        <v>104-003-001</v>
      </c>
      <c r="C110" s="127" t="str">
        <v>O2-105 YAMIL MAFUD</v>
      </c>
      <c r="D110" s="128">
        <v>-98504</v>
      </c>
    </row>
    <row r="111" spans="2:4" x14ac:dyDescent="0.3">
      <c r="B111" s="126" t="str">
        <v>104-003-002</v>
      </c>
      <c r="C111" s="127" t="str">
        <v>O2-106 SADEGH HARARI</v>
      </c>
      <c r="D111" s="128">
        <v>0</v>
      </c>
    </row>
    <row r="112" spans="2:4" x14ac:dyDescent="0.3">
      <c r="B112" s="126" t="str">
        <v>104-003-003</v>
      </c>
      <c r="C112" s="127" t="str">
        <v>O2-205 ISAAC JAMMAL</v>
      </c>
      <c r="D112" s="128">
        <v>0</v>
      </c>
    </row>
    <row r="113" spans="2:4" x14ac:dyDescent="0.3">
      <c r="B113" s="126" t="str">
        <v>104-003-004</v>
      </c>
      <c r="C113" s="127" t="str">
        <v>O2-206 JUAN GARCIA</v>
      </c>
      <c r="D113" s="128">
        <v>500</v>
      </c>
    </row>
    <row r="114" spans="2:4" x14ac:dyDescent="0.3">
      <c r="B114" s="126" t="str">
        <v>104-003-005</v>
      </c>
      <c r="C114" s="127" t="str">
        <v>O2-305 MOISES HOP</v>
      </c>
      <c r="D114" s="128">
        <v>300</v>
      </c>
    </row>
    <row r="115" spans="2:4" x14ac:dyDescent="0.3">
      <c r="B115" s="126" t="str">
        <v>104-003-006</v>
      </c>
      <c r="C115" s="127" t="str">
        <v>O2-306 RAQUEL SHEMARIA</v>
      </c>
      <c r="D115" s="128">
        <v>0</v>
      </c>
    </row>
    <row r="116" spans="2:4" x14ac:dyDescent="0.3">
      <c r="B116" s="126" t="str">
        <v>104-003-007</v>
      </c>
      <c r="C116" s="127" t="str">
        <v>O2-405 MONICA COLOMER</v>
      </c>
      <c r="D116" s="128">
        <v>0</v>
      </c>
    </row>
    <row r="117" spans="2:4" x14ac:dyDescent="0.3">
      <c r="B117" s="126" t="str">
        <v>104-003-008</v>
      </c>
      <c r="C117" s="127" t="str">
        <v>O2-406 JOSE CHONTKOWSKY</v>
      </c>
      <c r="D117" s="128">
        <v>0</v>
      </c>
    </row>
    <row r="118" spans="2:4" x14ac:dyDescent="0.3">
      <c r="B118" s="126" t="str">
        <v>104-003-009</v>
      </c>
      <c r="C118" s="127" t="str">
        <v>O2-505 CINDY LEVY</v>
      </c>
      <c r="D118" s="128">
        <v>0</v>
      </c>
    </row>
    <row r="119" spans="2:4" x14ac:dyDescent="0.3">
      <c r="B119" s="126" t="str">
        <v>104-003-010</v>
      </c>
      <c r="C119" s="127" t="str">
        <v>O2-506 NAIRO VARGAS</v>
      </c>
      <c r="D119" s="128">
        <v>15194</v>
      </c>
    </row>
    <row r="120" spans="2:4" x14ac:dyDescent="0.3">
      <c r="B120" s="126" t="str">
        <v>104-003-011</v>
      </c>
      <c r="C120" s="127" t="str">
        <v xml:space="preserve">O2-605 ELISA SACAL </v>
      </c>
      <c r="D120" s="128">
        <v>0</v>
      </c>
    </row>
    <row r="121" spans="2:4" x14ac:dyDescent="0.3">
      <c r="B121" s="126" t="str">
        <v>104-003-012</v>
      </c>
      <c r="C121" s="127" t="str">
        <v>O2-606 JOSE LANIADO</v>
      </c>
      <c r="D121" s="128">
        <v>-12694</v>
      </c>
    </row>
    <row r="122" spans="2:4" x14ac:dyDescent="0.3">
      <c r="B122" s="126" t="str">
        <v>104-003-013</v>
      </c>
      <c r="C122" s="127" t="str">
        <v>O2-705 JOSE SHAYO</v>
      </c>
      <c r="D122" s="128">
        <v>0</v>
      </c>
    </row>
    <row r="123" spans="2:4" x14ac:dyDescent="0.3">
      <c r="B123" s="126" t="str">
        <v>104-003-014</v>
      </c>
      <c r="C123" s="127" t="str">
        <v>O2-706 ADELA CHEREM</v>
      </c>
      <c r="D123" s="128">
        <v>0</v>
      </c>
    </row>
    <row r="124" spans="2:4" x14ac:dyDescent="0.3">
      <c r="B124" s="126" t="str">
        <v>104-003-015</v>
      </c>
      <c r="C124" s="127" t="str">
        <v>O2-805 MAURICIO MESCHOULAM</v>
      </c>
      <c r="D124" s="128">
        <v>0</v>
      </c>
    </row>
    <row r="125" spans="2:4" x14ac:dyDescent="0.3">
      <c r="B125" s="126" t="str">
        <v>104-003-016</v>
      </c>
      <c r="C125" s="127" t="str">
        <v>O2-806 JUAN C REBUELTA</v>
      </c>
      <c r="D125" s="128">
        <v>0</v>
      </c>
    </row>
    <row r="126" spans="2:4" x14ac:dyDescent="0.3">
      <c r="B126" s="126" t="str">
        <v>104-003-017</v>
      </c>
      <c r="C126" s="127" t="str">
        <v>O2-905 JOSE SASSON</v>
      </c>
      <c r="D126" s="128">
        <v>0</v>
      </c>
    </row>
    <row r="127" spans="2:4" x14ac:dyDescent="0.3">
      <c r="B127" s="126" t="str">
        <v>104-003-018</v>
      </c>
      <c r="C127" s="127" t="str">
        <v>O2-906 MOISES TUACHI</v>
      </c>
      <c r="D127" s="128">
        <v>0</v>
      </c>
    </row>
    <row r="128" spans="2:4" x14ac:dyDescent="0.3">
      <c r="B128" s="126" t="str">
        <v>104-003-019</v>
      </c>
      <c r="C128" s="127" t="str">
        <v>O2-1005 JOSE SACAL</v>
      </c>
      <c r="D128" s="128">
        <v>93327.999999999971</v>
      </c>
    </row>
    <row r="129" spans="2:4" x14ac:dyDescent="0.3">
      <c r="B129" s="126" t="str">
        <v>104-003-020</v>
      </c>
      <c r="C129" s="127" t="str">
        <v>O2-1006 LUCY FARCA</v>
      </c>
      <c r="D129" s="128">
        <v>0</v>
      </c>
    </row>
    <row r="130" spans="2:4" x14ac:dyDescent="0.3">
      <c r="B130" s="126" t="str">
        <v>104-003-021</v>
      </c>
      <c r="C130" s="127" t="str">
        <v>O2-1105 SALOMON BUZALI</v>
      </c>
      <c r="D130" s="128">
        <v>-12694</v>
      </c>
    </row>
    <row r="131" spans="2:4" x14ac:dyDescent="0.3">
      <c r="B131" s="126" t="str">
        <v>104-003-022</v>
      </c>
      <c r="C131" s="127" t="str">
        <v>O2-1106 MOISES GUINDI</v>
      </c>
      <c r="D131" s="128">
        <v>0</v>
      </c>
    </row>
    <row r="132" spans="2:4" x14ac:dyDescent="0.3">
      <c r="B132" s="126" t="str">
        <v>104-003-023</v>
      </c>
      <c r="C132" s="127" t="str">
        <v>O2-1205 ABRAHAM ROFFE</v>
      </c>
      <c r="D132" s="128">
        <v>39841</v>
      </c>
    </row>
    <row r="133" spans="2:4" x14ac:dyDescent="0.3">
      <c r="B133" s="126" t="str">
        <v>104-003-024</v>
      </c>
      <c r="C133" s="127" t="str">
        <v>O2-1206 JONATHAN EZBAN</v>
      </c>
      <c r="D133" s="128">
        <v>7039</v>
      </c>
    </row>
    <row r="134" spans="2:4" x14ac:dyDescent="0.3">
      <c r="B134" s="126" t="str">
        <v>104-003-025</v>
      </c>
      <c r="C134" s="127" t="str">
        <v>O2-1305 DANIEL AZAR</v>
      </c>
      <c r="D134" s="128">
        <v>0</v>
      </c>
    </row>
    <row r="135" spans="2:4" x14ac:dyDescent="0.3">
      <c r="B135" s="126" t="str">
        <v>104-003-026</v>
      </c>
      <c r="C135" s="127" t="str">
        <v>O2-1306 GILDA RABIOVITZ</v>
      </c>
      <c r="D135" s="128">
        <v>0</v>
      </c>
    </row>
    <row r="136" spans="2:4" x14ac:dyDescent="0.3">
      <c r="B136" s="126" t="str">
        <v>104-003-027</v>
      </c>
      <c r="C136" s="127" t="str">
        <v>O2-1405 ANDREINA GONZALEZ</v>
      </c>
      <c r="D136" s="128">
        <v>0</v>
      </c>
    </row>
    <row r="137" spans="2:4" x14ac:dyDescent="0.3">
      <c r="B137" s="126" t="str">
        <v>104-003-028</v>
      </c>
      <c r="C137" s="127" t="str">
        <v>O2-1406 DAVID CHERES</v>
      </c>
      <c r="D137" s="128">
        <v>-123130</v>
      </c>
    </row>
    <row r="138" spans="2:4" x14ac:dyDescent="0.3">
      <c r="B138" s="126" t="str">
        <v>104-003-029</v>
      </c>
      <c r="C138" s="127" t="str">
        <v>O2-1505 ALON PIKOVSKY</v>
      </c>
      <c r="D138" s="128">
        <v>300</v>
      </c>
    </row>
    <row r="139" spans="2:4" x14ac:dyDescent="0.3">
      <c r="B139" s="126" t="str">
        <v>104-003-030</v>
      </c>
      <c r="C139" s="127" t="str">
        <v>O2-1506 KAREN DAYAN</v>
      </c>
      <c r="D139" s="128">
        <v>0</v>
      </c>
    </row>
    <row r="140" spans="2:4" x14ac:dyDescent="0.3">
      <c r="B140" s="126" t="str">
        <v>104-003-031</v>
      </c>
      <c r="C140" s="127" t="str">
        <v>O2-1605 JOSE COHEN</v>
      </c>
      <c r="D140" s="128">
        <v>0</v>
      </c>
    </row>
    <row r="141" spans="2:4" x14ac:dyDescent="0.3">
      <c r="B141" s="126" t="str">
        <v>104-003-032</v>
      </c>
      <c r="C141" s="127" t="str">
        <v>O2-1606 SHARON STEPESKY</v>
      </c>
      <c r="D141" s="128">
        <v>0</v>
      </c>
    </row>
    <row r="142" spans="2:4" x14ac:dyDescent="0.3">
      <c r="B142" s="126" t="str">
        <v>104-003-033</v>
      </c>
      <c r="C142" s="127" t="str">
        <v>O2-1705 DAVID SAADIA</v>
      </c>
      <c r="D142" s="128">
        <v>0</v>
      </c>
    </row>
    <row r="143" spans="2:4" x14ac:dyDescent="0.3">
      <c r="B143" s="126" t="str">
        <v>104-003-034</v>
      </c>
      <c r="C143" s="127" t="str">
        <v>O2-1706 DANIEL FRANKLIN</v>
      </c>
      <c r="D143" s="128">
        <v>0</v>
      </c>
    </row>
    <row r="144" spans="2:4" x14ac:dyDescent="0.3">
      <c r="B144" s="126" t="str">
        <v>104-003-035</v>
      </c>
      <c r="C144" s="127" t="str">
        <v xml:space="preserve">O2-1805 DAVID JASQUI R </v>
      </c>
      <c r="D144" s="128">
        <v>0</v>
      </c>
    </row>
    <row r="145" spans="2:4" x14ac:dyDescent="0.3">
      <c r="B145" s="126" t="str">
        <v>104-003-036</v>
      </c>
      <c r="C145" s="127" t="str">
        <v>O2-1806 SALOMON KABLY</v>
      </c>
      <c r="D145" s="128">
        <v>0</v>
      </c>
    </row>
    <row r="146" spans="2:4" x14ac:dyDescent="0.3">
      <c r="B146" s="126" t="str">
        <v>104-003-037</v>
      </c>
      <c r="C146" s="127" t="str">
        <v>O2-1905 MOISES IYABLONOVICH</v>
      </c>
      <c r="D146" s="128">
        <v>0</v>
      </c>
    </row>
    <row r="147" spans="2:4" x14ac:dyDescent="0.3">
      <c r="B147" s="126" t="str">
        <v>104-003-038</v>
      </c>
      <c r="C147" s="127" t="str">
        <v>O2-1906 JAIME SALEM</v>
      </c>
      <c r="D147" s="128">
        <v>27153</v>
      </c>
    </row>
    <row r="148" spans="2:4" x14ac:dyDescent="0.3">
      <c r="B148" s="126" t="str">
        <v>104-003-039</v>
      </c>
      <c r="C148" s="127" t="str">
        <v>O2-2005 RAMON ZONANA</v>
      </c>
      <c r="D148" s="128">
        <v>0</v>
      </c>
    </row>
    <row r="149" spans="2:4" x14ac:dyDescent="0.3">
      <c r="B149" s="126" t="str">
        <v>104-003-040</v>
      </c>
      <c r="C149" s="127" t="str">
        <v>O2-2006 LIC VANESSA OROZCO</v>
      </c>
      <c r="D149" s="128">
        <v>0</v>
      </c>
    </row>
    <row r="150" spans="2:4" x14ac:dyDescent="0.3">
      <c r="B150" s="126" t="str">
        <v>104-003-041</v>
      </c>
      <c r="C150" s="127" t="str">
        <v>O2-2105 ROBERTO VILLEGAS</v>
      </c>
      <c r="D150" s="128">
        <v>0</v>
      </c>
    </row>
    <row r="151" spans="2:4" x14ac:dyDescent="0.3">
      <c r="B151" s="126" t="str">
        <v>104-003-042</v>
      </c>
      <c r="C151" s="127" t="str">
        <v>O2-2106 JACOBO MIZRAHI</v>
      </c>
      <c r="D151" s="128">
        <v>-2.9103830456733704E-11</v>
      </c>
    </row>
    <row r="152" spans="2:4" x14ac:dyDescent="0.3">
      <c r="B152" s="126" t="str">
        <v>104-003-043</v>
      </c>
      <c r="C152" s="127" t="str">
        <v>O2-2205 JORGE WATTY</v>
      </c>
      <c r="D152" s="128">
        <v>500.00000000001455</v>
      </c>
    </row>
    <row r="153" spans="2:4" x14ac:dyDescent="0.3">
      <c r="B153" s="126" t="str">
        <v>104-003-044</v>
      </c>
      <c r="C153" s="127" t="str">
        <v>O2-2206 MOISES ZAGA</v>
      </c>
      <c r="D153" s="128">
        <v>27288</v>
      </c>
    </row>
    <row r="154" spans="2:4" x14ac:dyDescent="0.3">
      <c r="B154" s="126" t="str">
        <v>104-003-045</v>
      </c>
      <c r="C154" s="127" t="str">
        <v>O2-2305 CARLOS CALTUM</v>
      </c>
      <c r="D154" s="128">
        <v>0</v>
      </c>
    </row>
    <row r="155" spans="2:4" x14ac:dyDescent="0.3">
      <c r="B155" s="126" t="str">
        <v>104-003-046</v>
      </c>
      <c r="C155" s="127" t="str">
        <v>O2-2306 ROCIO ARREDONDO</v>
      </c>
      <c r="D155" s="128">
        <v>0</v>
      </c>
    </row>
    <row r="156" spans="2:4" x14ac:dyDescent="0.3">
      <c r="B156" s="126" t="str">
        <v>104-003-047</v>
      </c>
      <c r="C156" s="127" t="str">
        <v>O2-2405 SALVADOR BELTRAN</v>
      </c>
      <c r="D156" s="128">
        <v>0</v>
      </c>
    </row>
    <row r="157" spans="2:4" x14ac:dyDescent="0.3">
      <c r="B157" s="126" t="str">
        <v>104-003-048</v>
      </c>
      <c r="C157" s="127" t="str">
        <v>O2-2406 RUTH GARCIA</v>
      </c>
      <c r="D157" s="128">
        <v>0</v>
      </c>
    </row>
    <row r="158" spans="2:4" x14ac:dyDescent="0.3">
      <c r="B158" s="126" t="str">
        <v>104-003-049</v>
      </c>
      <c r="C158" s="127" t="str">
        <v>O2-2505 BEATRIZ CHAYET</v>
      </c>
      <c r="D158" s="128">
        <v>0</v>
      </c>
    </row>
    <row r="159" spans="2:4" x14ac:dyDescent="0.3">
      <c r="B159" s="126" t="str">
        <v>104-003-050</v>
      </c>
      <c r="C159" s="127" t="str">
        <v>O2-2506 FEDERICO ADLERCREUTZ</v>
      </c>
      <c r="D159" s="128">
        <v>-12694</v>
      </c>
    </row>
    <row r="160" spans="2:4" x14ac:dyDescent="0.3">
      <c r="B160" s="126" t="str">
        <v>104-003-051</v>
      </c>
      <c r="C160" s="127" t="str">
        <v>O2-PH05 ABRAHAM CHEREM C</v>
      </c>
      <c r="D160" s="128">
        <v>300</v>
      </c>
    </row>
    <row r="161" spans="2:4" x14ac:dyDescent="0.3">
      <c r="B161" s="126" t="str">
        <v>104-003-052</v>
      </c>
      <c r="C161" s="127" t="str">
        <v>O2-PH06 SUSETTE HALLAK</v>
      </c>
      <c r="D161" s="128">
        <v>7039</v>
      </c>
    </row>
    <row r="162" spans="2:4" x14ac:dyDescent="0.3">
      <c r="B162" s="126" t="str">
        <f t="array" ref="B162:D213">[2]!'@CTA[104-004-001..104-004-052, U, N, F]'</f>
        <v>104-004-001</v>
      </c>
      <c r="C162" s="127" t="str">
        <v>C1-107 GEMI GONZALEZ</v>
      </c>
      <c r="D162" s="128">
        <v>-98504</v>
      </c>
    </row>
    <row r="163" spans="2:4" x14ac:dyDescent="0.3">
      <c r="B163" s="126" t="str">
        <v>104-004-002</v>
      </c>
      <c r="C163" s="127" t="str">
        <v>C1-108 NICOLE OLSOFF</v>
      </c>
      <c r="D163" s="128">
        <v>0</v>
      </c>
    </row>
    <row r="164" spans="2:4" x14ac:dyDescent="0.3">
      <c r="B164" s="126" t="str">
        <v>104-004-003</v>
      </c>
      <c r="C164" s="127" t="str">
        <v>C1-207 ABRAHAM CHEREM C</v>
      </c>
      <c r="D164" s="128">
        <v>0</v>
      </c>
    </row>
    <row r="165" spans="2:4" x14ac:dyDescent="0.3">
      <c r="B165" s="126" t="str">
        <v>104-004-004</v>
      </c>
      <c r="C165" s="127" t="str">
        <v>C1-208 JACOBO CHEREM A</v>
      </c>
      <c r="D165" s="128">
        <v>0</v>
      </c>
    </row>
    <row r="166" spans="2:4" x14ac:dyDescent="0.3">
      <c r="B166" s="126" t="str">
        <v>104-004-005</v>
      </c>
      <c r="C166" s="127" t="str">
        <v>C1-307 ABRAHAM ATTIAS</v>
      </c>
      <c r="D166" s="128">
        <v>0</v>
      </c>
    </row>
    <row r="167" spans="2:4" x14ac:dyDescent="0.3">
      <c r="B167" s="126" t="str">
        <v>104-004-006</v>
      </c>
      <c r="C167" s="127" t="str">
        <v>C1-308 ELIZABETH ABRUCH</v>
      </c>
      <c r="D167" s="128">
        <v>0</v>
      </c>
    </row>
    <row r="168" spans="2:4" x14ac:dyDescent="0.3">
      <c r="B168" s="126" t="str">
        <v>104-004-007</v>
      </c>
      <c r="C168" s="127" t="str">
        <v>C1-407 JACOBO CHEREM A</v>
      </c>
      <c r="D168" s="128">
        <v>0</v>
      </c>
    </row>
    <row r="169" spans="2:4" x14ac:dyDescent="0.3">
      <c r="B169" s="126" t="str">
        <v>104-004-008</v>
      </c>
      <c r="C169" s="127" t="str">
        <v>C1-408 RONY STOLKIN</v>
      </c>
      <c r="D169" s="128">
        <v>-98504</v>
      </c>
    </row>
    <row r="170" spans="2:4" x14ac:dyDescent="0.3">
      <c r="B170" s="126" t="str">
        <v>104-004-009</v>
      </c>
      <c r="C170" s="127" t="str">
        <v>C1-507 ROSA TURQUIE</v>
      </c>
      <c r="D170" s="128">
        <v>27888</v>
      </c>
    </row>
    <row r="171" spans="2:4" x14ac:dyDescent="0.3">
      <c r="B171" s="126" t="str">
        <v>104-004-010</v>
      </c>
      <c r="C171" s="127" t="str">
        <v>C1-508 JEANETTE SITTON</v>
      </c>
      <c r="D171" s="128">
        <v>0</v>
      </c>
    </row>
    <row r="172" spans="2:4" x14ac:dyDescent="0.3">
      <c r="B172" s="126" t="str">
        <v>104-004-011</v>
      </c>
      <c r="C172" s="127" t="str">
        <v>C1-607 JACOBO CHEREM A</v>
      </c>
      <c r="D172" s="128">
        <v>0</v>
      </c>
    </row>
    <row r="173" spans="2:4" x14ac:dyDescent="0.3">
      <c r="B173" s="126" t="str">
        <v>104-004-012</v>
      </c>
      <c r="C173" s="127" t="str">
        <v>C1-608 FRIDA ASKENAZI</v>
      </c>
      <c r="D173" s="128">
        <v>0</v>
      </c>
    </row>
    <row r="174" spans="2:4" x14ac:dyDescent="0.3">
      <c r="B174" s="126" t="str">
        <v>104-004-013</v>
      </c>
      <c r="C174" s="127" t="str">
        <v>C1-707 CLAUDIA CAMUS</v>
      </c>
      <c r="D174" s="128">
        <v>13694</v>
      </c>
    </row>
    <row r="175" spans="2:4" x14ac:dyDescent="0.3">
      <c r="B175" s="126" t="str">
        <v>104-004-014</v>
      </c>
      <c r="C175" s="127" t="str">
        <v>C1-708 DANIEL CHICUREL</v>
      </c>
      <c r="D175" s="128">
        <v>0</v>
      </c>
    </row>
    <row r="176" spans="2:4" x14ac:dyDescent="0.3">
      <c r="B176" s="126" t="str">
        <v>104-004-015</v>
      </c>
      <c r="C176" s="127" t="str">
        <v>C1-807 EDUARDO CHEREM</v>
      </c>
      <c r="D176" s="128">
        <v>0</v>
      </c>
    </row>
    <row r="177" spans="2:4" x14ac:dyDescent="0.3">
      <c r="B177" s="126" t="str">
        <v>104-004-016</v>
      </c>
      <c r="C177" s="127" t="str">
        <v>C1-808 DAVID ATACH</v>
      </c>
      <c r="D177" s="128">
        <v>0</v>
      </c>
    </row>
    <row r="178" spans="2:4" x14ac:dyDescent="0.3">
      <c r="B178" s="126" t="str">
        <v>104-004-017</v>
      </c>
      <c r="C178" s="127" t="str">
        <v>C1-907 REBECA ROMANO</v>
      </c>
      <c r="D178" s="128">
        <v>0</v>
      </c>
    </row>
    <row r="179" spans="2:4" x14ac:dyDescent="0.3">
      <c r="B179" s="126" t="str">
        <v>104-004-018</v>
      </c>
      <c r="C179" s="127" t="str">
        <v>C1-908 MICHELLE CHIVER</v>
      </c>
      <c r="D179" s="128">
        <v>0</v>
      </c>
    </row>
    <row r="180" spans="2:4" x14ac:dyDescent="0.3">
      <c r="B180" s="126" t="str">
        <v>104-004-019</v>
      </c>
      <c r="C180" s="127" t="str">
        <v>C1-1007 AGGI FLEGMAN L</v>
      </c>
      <c r="D180" s="128">
        <v>0</v>
      </c>
    </row>
    <row r="181" spans="2:4" x14ac:dyDescent="0.3">
      <c r="B181" s="126" t="str">
        <v>104-004-020</v>
      </c>
      <c r="C181" s="127" t="str">
        <v>C1-1008 FERNANDA PUENTE</v>
      </c>
      <c r="D181" s="128">
        <v>0</v>
      </c>
    </row>
    <row r="182" spans="2:4" x14ac:dyDescent="0.3">
      <c r="B182" s="126" t="str">
        <v>104-004-021</v>
      </c>
      <c r="C182" s="127" t="str">
        <v>C1-1107 ISAAC HENDY</v>
      </c>
      <c r="D182" s="128">
        <v>0</v>
      </c>
    </row>
    <row r="183" spans="2:4" x14ac:dyDescent="0.3">
      <c r="B183" s="126" t="str">
        <v>104-004-022</v>
      </c>
      <c r="C183" s="127" t="str">
        <v>C1-1108 VICKY LANIADO</v>
      </c>
      <c r="D183" s="128">
        <v>0</v>
      </c>
    </row>
    <row r="184" spans="2:4" x14ac:dyDescent="0.3">
      <c r="B184" s="126" t="str">
        <v>104-004-023</v>
      </c>
      <c r="C184" s="127" t="str">
        <v>C1-1207 VICKY CALTUM</v>
      </c>
      <c r="D184" s="128">
        <v>0</v>
      </c>
    </row>
    <row r="185" spans="2:4" x14ac:dyDescent="0.3">
      <c r="B185" s="126" t="str">
        <v>104-004-024</v>
      </c>
      <c r="C185" s="127" t="str">
        <v>C1-1208 MOISES BEHAR</v>
      </c>
      <c r="D185" s="128">
        <v>-306</v>
      </c>
    </row>
    <row r="186" spans="2:4" x14ac:dyDescent="0.3">
      <c r="B186" s="126" t="str">
        <v>104-004-025</v>
      </c>
      <c r="C186" s="127" t="str">
        <v>C1-1307 DANYA NISSAN</v>
      </c>
      <c r="D186" s="128">
        <v>-12694</v>
      </c>
    </row>
    <row r="187" spans="2:4" x14ac:dyDescent="0.3">
      <c r="B187" s="126" t="str">
        <v>104-004-026</v>
      </c>
      <c r="C187" s="127" t="str">
        <v>C1-1308 VICTOR KALIFA</v>
      </c>
      <c r="D187" s="128">
        <v>0</v>
      </c>
    </row>
    <row r="188" spans="2:4" x14ac:dyDescent="0.3">
      <c r="B188" s="126" t="str">
        <v>104-004-027</v>
      </c>
      <c r="C188" s="127" t="str">
        <v>C1-1407 OSCAR ROMAN</v>
      </c>
      <c r="D188" s="128">
        <v>0</v>
      </c>
    </row>
    <row r="189" spans="2:4" x14ac:dyDescent="0.3">
      <c r="B189" s="126" t="str">
        <v>104-004-028</v>
      </c>
      <c r="C189" s="127" t="str">
        <v xml:space="preserve">C1-1408 ABRAHAM CHEREM C </v>
      </c>
      <c r="D189" s="128">
        <v>0</v>
      </c>
    </row>
    <row r="190" spans="2:4" x14ac:dyDescent="0.3">
      <c r="B190" s="126" t="str">
        <v>104-004-029</v>
      </c>
      <c r="C190" s="127" t="str">
        <v>C1-1507 ANDREA PERLA</v>
      </c>
      <c r="D190" s="128">
        <v>0</v>
      </c>
    </row>
    <row r="191" spans="2:4" x14ac:dyDescent="0.3">
      <c r="B191" s="126" t="str">
        <v>104-004-030</v>
      </c>
      <c r="C191" s="127" t="str">
        <v>C1-1508 ALBERTO NEHMAD</v>
      </c>
      <c r="D191" s="128">
        <v>13694.000000000007</v>
      </c>
    </row>
    <row r="192" spans="2:4" x14ac:dyDescent="0.3">
      <c r="B192" s="126" t="str">
        <v>104-004-031</v>
      </c>
      <c r="C192" s="127" t="str">
        <v>C1-1607 SALOMON COJAB</v>
      </c>
      <c r="D192" s="128">
        <v>-98504</v>
      </c>
    </row>
    <row r="193" spans="2:4" x14ac:dyDescent="0.3">
      <c r="B193" s="126" t="str">
        <v>104-004-032</v>
      </c>
      <c r="C193" s="127" t="str">
        <v>C1-1608 HUGO I. PEREZ</v>
      </c>
      <c r="D193" s="128">
        <v>0</v>
      </c>
    </row>
    <row r="194" spans="2:4" x14ac:dyDescent="0.3">
      <c r="B194" s="126" t="str">
        <v>104-004-033</v>
      </c>
      <c r="C194" s="127" t="str">
        <v>C1-1707 ABRAHAM CHEREM C</v>
      </c>
      <c r="D194" s="128">
        <v>0</v>
      </c>
    </row>
    <row r="195" spans="2:4" x14ac:dyDescent="0.3">
      <c r="B195" s="126" t="str">
        <v>104-004-034</v>
      </c>
      <c r="C195" s="127" t="str">
        <v>C1-1708 SALOMON NAANOUS</v>
      </c>
      <c r="D195" s="128">
        <v>0</v>
      </c>
    </row>
    <row r="196" spans="2:4" x14ac:dyDescent="0.3">
      <c r="B196" s="126" t="str">
        <v>104-004-035</v>
      </c>
      <c r="C196" s="127" t="str">
        <v>C1-1807 MIRIAM HALABE</v>
      </c>
      <c r="D196" s="128">
        <v>0</v>
      </c>
    </row>
    <row r="197" spans="2:4" x14ac:dyDescent="0.3">
      <c r="B197" s="126" t="str">
        <v>104-004-036</v>
      </c>
      <c r="C197" s="127" t="str">
        <v>C1-1808 JACOBO CHEREM A</v>
      </c>
      <c r="D197" s="128">
        <v>0</v>
      </c>
    </row>
    <row r="198" spans="2:4" x14ac:dyDescent="0.3">
      <c r="B198" s="126" t="str">
        <v>104-004-037</v>
      </c>
      <c r="C198" s="127" t="str">
        <v>C1-1907 ERIC ZUCHOVICKI</v>
      </c>
      <c r="D198" s="128">
        <v>0</v>
      </c>
    </row>
    <row r="199" spans="2:4" x14ac:dyDescent="0.3">
      <c r="B199" s="126" t="str">
        <v>104-004-038</v>
      </c>
      <c r="C199" s="127" t="str">
        <v>C1-1908 ALBERTO CATARIVAS</v>
      </c>
      <c r="D199" s="128">
        <v>0</v>
      </c>
    </row>
    <row r="200" spans="2:4" x14ac:dyDescent="0.3">
      <c r="B200" s="126" t="str">
        <v>104-004-039</v>
      </c>
      <c r="C200" s="127" t="str">
        <v>C1-2007 ILAN EICHNER</v>
      </c>
      <c r="D200" s="128">
        <v>0</v>
      </c>
    </row>
    <row r="201" spans="2:4" x14ac:dyDescent="0.3">
      <c r="B201" s="126" t="str">
        <v>104-004-040</v>
      </c>
      <c r="C201" s="127" t="str">
        <v>C1-2008 SANDRA MARAIMA</v>
      </c>
      <c r="D201" s="128">
        <v>0</v>
      </c>
    </row>
    <row r="202" spans="2:4" x14ac:dyDescent="0.3">
      <c r="B202" s="126" t="str">
        <v>104-004-041</v>
      </c>
      <c r="C202" s="127" t="str">
        <v>C1-2107 ISIDORO CHERES</v>
      </c>
      <c r="D202" s="128">
        <v>-98504</v>
      </c>
    </row>
    <row r="203" spans="2:4" x14ac:dyDescent="0.3">
      <c r="B203" s="126" t="str">
        <v>104-004-042</v>
      </c>
      <c r="C203" s="127" t="str">
        <v>C1-2108 DANIA DJADDAH</v>
      </c>
      <c r="D203" s="128">
        <v>0</v>
      </c>
    </row>
    <row r="204" spans="2:4" x14ac:dyDescent="0.3">
      <c r="B204" s="126" t="str">
        <v>104-004-043</v>
      </c>
      <c r="C204" s="127" t="str">
        <v>C1-2207 ALBERTO BALAS</v>
      </c>
      <c r="D204" s="128">
        <v>0</v>
      </c>
    </row>
    <row r="205" spans="2:4" x14ac:dyDescent="0.3">
      <c r="B205" s="126" t="str">
        <v>104-004-044</v>
      </c>
      <c r="C205" s="127" t="str">
        <v>C1-2208 GABRIEL EFTER</v>
      </c>
      <c r="D205" s="128">
        <v>0</v>
      </c>
    </row>
    <row r="206" spans="2:4" x14ac:dyDescent="0.3">
      <c r="B206" s="126" t="str">
        <v>104-004-045</v>
      </c>
      <c r="C206" s="127" t="str">
        <v>C1-2307 MARLEN KABLY</v>
      </c>
      <c r="D206" s="128">
        <v>0</v>
      </c>
    </row>
    <row r="207" spans="2:4" x14ac:dyDescent="0.3">
      <c r="B207" s="126" t="str">
        <v>104-004-046</v>
      </c>
      <c r="C207" s="127" t="str">
        <v>C1-2308 CARLOS OJEDA</v>
      </c>
      <c r="D207" s="128">
        <v>0</v>
      </c>
    </row>
    <row r="208" spans="2:4" x14ac:dyDescent="0.3">
      <c r="B208" s="126" t="str">
        <v>104-004-047</v>
      </c>
      <c r="C208" s="127" t="str">
        <v>C1-2407 SALOMON AMKIE</v>
      </c>
      <c r="D208" s="128">
        <v>1000</v>
      </c>
    </row>
    <row r="209" spans="2:4" x14ac:dyDescent="0.3">
      <c r="B209" s="126" t="str">
        <v>104-004-048</v>
      </c>
      <c r="C209" s="127" t="str">
        <v>C1-2408 LINDA LATI</v>
      </c>
      <c r="D209" s="128">
        <v>3519</v>
      </c>
    </row>
    <row r="210" spans="2:4" x14ac:dyDescent="0.3">
      <c r="B210" s="126" t="str">
        <v>104-004-049</v>
      </c>
      <c r="C210" s="127" t="str">
        <v>C1-2507 BERNARDO SHTEREMBERG</v>
      </c>
      <c r="D210" s="128">
        <v>0</v>
      </c>
    </row>
    <row r="211" spans="2:4" x14ac:dyDescent="0.3">
      <c r="B211" s="126" t="str">
        <v>104-004-050</v>
      </c>
      <c r="C211" s="127" t="str">
        <v>C1-2508 SALOMON AMBE</v>
      </c>
      <c r="D211" s="128">
        <v>13694</v>
      </c>
    </row>
    <row r="212" spans="2:4" x14ac:dyDescent="0.3">
      <c r="B212" s="126" t="str">
        <v>104-004-051</v>
      </c>
      <c r="C212" s="127" t="str">
        <v xml:space="preserve">C1-PH07 </v>
      </c>
      <c r="D212" s="128">
        <v>0</v>
      </c>
    </row>
    <row r="213" spans="2:4" x14ac:dyDescent="0.3">
      <c r="B213" s="126" t="str">
        <v>104-004-052</v>
      </c>
      <c r="C213" s="127" t="str">
        <v>C1-PH08 SALOMON ABADI</v>
      </c>
      <c r="D213" s="128">
        <v>0</v>
      </c>
    </row>
    <row r="214" spans="2:4" x14ac:dyDescent="0.3">
      <c r="B214" s="126" t="str">
        <f t="array" ref="B214:D265">[2]!'@CTA[104-005-001..104-005-052, U, N, F]'</f>
        <v>104-005-001</v>
      </c>
      <c r="C214" s="127" t="str">
        <v>C2-109 SALOMON BALAS</v>
      </c>
      <c r="D214" s="128">
        <v>0</v>
      </c>
    </row>
    <row r="215" spans="2:4" x14ac:dyDescent="0.3">
      <c r="B215" s="126" t="str">
        <v>104-005-002</v>
      </c>
      <c r="C215" s="127" t="str">
        <v>C2-110 MAURICIO FINKELSTEIN</v>
      </c>
      <c r="D215" s="128">
        <v>0</v>
      </c>
    </row>
    <row r="216" spans="2:4" x14ac:dyDescent="0.3">
      <c r="B216" s="126" t="str">
        <v>104-005-003</v>
      </c>
      <c r="C216" s="127" t="str">
        <v>C2-209 MIRELE DJADDAH</v>
      </c>
      <c r="D216" s="128">
        <v>0</v>
      </c>
    </row>
    <row r="217" spans="2:4" x14ac:dyDescent="0.3">
      <c r="B217" s="126" t="str">
        <v>104-005-004</v>
      </c>
      <c r="C217" s="127" t="str">
        <v>C2-210 JACOBO CHEJA</v>
      </c>
      <c r="D217" s="128">
        <v>0</v>
      </c>
    </row>
    <row r="218" spans="2:4" x14ac:dyDescent="0.3">
      <c r="B218" s="126" t="str">
        <v>104-005-005</v>
      </c>
      <c r="C218" s="127" t="str">
        <v>C2-309 DAVID SAAD</v>
      </c>
      <c r="D218" s="128">
        <v>0</v>
      </c>
    </row>
    <row r="219" spans="2:4" x14ac:dyDescent="0.3">
      <c r="B219" s="126" t="str">
        <v>104-005-006</v>
      </c>
      <c r="C219" s="127" t="str">
        <v>C2-310 JOSE AMKIE</v>
      </c>
      <c r="D219" s="128">
        <v>0</v>
      </c>
    </row>
    <row r="220" spans="2:4" x14ac:dyDescent="0.3">
      <c r="B220" s="126" t="str">
        <v>104-005-007</v>
      </c>
      <c r="C220" s="127" t="str">
        <v>C2-409 ASUNCION CASTELAZO</v>
      </c>
      <c r="D220" s="128">
        <v>0</v>
      </c>
    </row>
    <row r="221" spans="2:4" x14ac:dyDescent="0.3">
      <c r="B221" s="126" t="str">
        <v>104-005-008</v>
      </c>
      <c r="C221" s="127" t="str">
        <v>C2-410 LUIS GUILHERME</v>
      </c>
      <c r="D221" s="128">
        <v>0</v>
      </c>
    </row>
    <row r="222" spans="2:4" x14ac:dyDescent="0.3">
      <c r="B222" s="126" t="str">
        <v>104-005-009</v>
      </c>
      <c r="C222" s="127" t="str">
        <v>C2-509 MARCOS TUACHI</v>
      </c>
      <c r="D222" s="128">
        <v>0</v>
      </c>
    </row>
    <row r="223" spans="2:4" x14ac:dyDescent="0.3">
      <c r="B223" s="126" t="str">
        <v>104-005-010</v>
      </c>
      <c r="C223" s="127" t="str">
        <v>C2-510 SARITA AGAMI</v>
      </c>
      <c r="D223" s="128">
        <v>0</v>
      </c>
    </row>
    <row r="224" spans="2:4" x14ac:dyDescent="0.3">
      <c r="B224" s="126" t="str">
        <v>104-005-011</v>
      </c>
      <c r="C224" s="127" t="str">
        <v>C2-609 MAURICIO FINKELSTEIN</v>
      </c>
      <c r="D224" s="128">
        <v>0</v>
      </c>
    </row>
    <row r="225" spans="2:4" x14ac:dyDescent="0.3">
      <c r="B225" s="126" t="str">
        <v>104-005-012</v>
      </c>
      <c r="C225" s="127" t="str">
        <v>C2-610 MARK JERUSALMI</v>
      </c>
      <c r="D225" s="128">
        <v>0</v>
      </c>
    </row>
    <row r="226" spans="2:4" x14ac:dyDescent="0.3">
      <c r="B226" s="126" t="str">
        <v>104-005-013</v>
      </c>
      <c r="C226" s="127" t="str">
        <v>C2-709 JACK GOLDBERG</v>
      </c>
      <c r="D226" s="128">
        <v>0</v>
      </c>
    </row>
    <row r="227" spans="2:4" x14ac:dyDescent="0.3">
      <c r="B227" s="126" t="str">
        <v>104-005-014</v>
      </c>
      <c r="C227" s="127" t="str">
        <v>C2-710 MAURICIO COHEN</v>
      </c>
      <c r="D227" s="128">
        <v>0</v>
      </c>
    </row>
    <row r="228" spans="2:4" x14ac:dyDescent="0.3">
      <c r="B228" s="126" t="str">
        <v>104-005-015</v>
      </c>
      <c r="C228" s="127" t="str">
        <v>C2-809 ESTHER CALTUM</v>
      </c>
      <c r="D228" s="128">
        <v>300</v>
      </c>
    </row>
    <row r="229" spans="2:4" x14ac:dyDescent="0.3">
      <c r="B229" s="126" t="str">
        <v>104-005-016</v>
      </c>
      <c r="C229" s="127" t="str">
        <v>C2-810 SONIA FUX</v>
      </c>
      <c r="D229" s="128">
        <v>0</v>
      </c>
    </row>
    <row r="230" spans="2:4" x14ac:dyDescent="0.3">
      <c r="B230" s="126" t="str">
        <v>104-005-017</v>
      </c>
      <c r="C230" s="127" t="str">
        <v>C2-909 ARIELA ZAIDMAN</v>
      </c>
      <c r="D230" s="128">
        <v>-12694</v>
      </c>
    </row>
    <row r="231" spans="2:4" x14ac:dyDescent="0.3">
      <c r="B231" s="126" t="str">
        <v>104-005-018</v>
      </c>
      <c r="C231" s="127" t="str">
        <v>C2-910 ALBERTO KABLY</v>
      </c>
      <c r="D231" s="128">
        <v>0</v>
      </c>
    </row>
    <row r="232" spans="2:4" x14ac:dyDescent="0.3">
      <c r="B232" s="126" t="str">
        <v>104-005-019</v>
      </c>
      <c r="C232" s="127" t="str">
        <v>C2-1009 JONATHAN SALTIEL</v>
      </c>
      <c r="D232" s="128">
        <v>0</v>
      </c>
    </row>
    <row r="233" spans="2:4" x14ac:dyDescent="0.3">
      <c r="B233" s="126" t="str">
        <v>104-005-020</v>
      </c>
      <c r="C233" s="127" t="str">
        <v>C2-1010 JOSE BEJAR</v>
      </c>
      <c r="D233" s="128">
        <v>0</v>
      </c>
    </row>
    <row r="234" spans="2:4" x14ac:dyDescent="0.3">
      <c r="B234" s="126" t="str">
        <v>104-005-021</v>
      </c>
      <c r="C234" s="127" t="str">
        <v>C2-1109 RAQUELITA DUEK</v>
      </c>
      <c r="D234" s="128">
        <v>-12694</v>
      </c>
    </row>
    <row r="235" spans="2:4" x14ac:dyDescent="0.3">
      <c r="B235" s="126" t="str">
        <v>104-005-022</v>
      </c>
      <c r="C235" s="127" t="str">
        <v>C2-1110 FEDERICO PENHAS</v>
      </c>
      <c r="D235" s="128">
        <v>500</v>
      </c>
    </row>
    <row r="236" spans="2:4" x14ac:dyDescent="0.3">
      <c r="B236" s="126" t="str">
        <v>104-005-023</v>
      </c>
      <c r="C236" s="127" t="str">
        <v>C2-1209 SHELLY SEVILLA</v>
      </c>
      <c r="D236" s="128">
        <v>0</v>
      </c>
    </row>
    <row r="237" spans="2:4" x14ac:dyDescent="0.3">
      <c r="B237" s="126" t="str">
        <v>104-005-024</v>
      </c>
      <c r="C237" s="127" t="str">
        <v>C2-1210 JOSE JAFIF</v>
      </c>
      <c r="D237" s="128">
        <v>-38082</v>
      </c>
    </row>
    <row r="238" spans="2:4" x14ac:dyDescent="0.3">
      <c r="B238" s="126" t="str">
        <v>104-005-025</v>
      </c>
      <c r="C238" s="127" t="str">
        <v xml:space="preserve">C2-1309 DANIELA SALTIEL </v>
      </c>
      <c r="D238" s="128">
        <v>0</v>
      </c>
    </row>
    <row r="239" spans="2:4" x14ac:dyDescent="0.3">
      <c r="B239" s="126" t="str">
        <v>104-005-026</v>
      </c>
      <c r="C239" s="127" t="str">
        <v>C2-1310 VICTOR COHEN</v>
      </c>
      <c r="D239" s="128">
        <v>0</v>
      </c>
    </row>
    <row r="240" spans="2:4" x14ac:dyDescent="0.3">
      <c r="B240" s="126" t="str">
        <v>104-005-027</v>
      </c>
      <c r="C240" s="127" t="str">
        <v>C2-1409 SANTIAGO GONZALES</v>
      </c>
      <c r="D240" s="128">
        <v>0</v>
      </c>
    </row>
    <row r="241" spans="2:4" x14ac:dyDescent="0.3">
      <c r="B241" s="126" t="str">
        <v>104-005-028</v>
      </c>
      <c r="C241" s="127" t="str">
        <v>C2-1410 SARITA AGAMI M</v>
      </c>
      <c r="D241" s="128">
        <v>0</v>
      </c>
    </row>
    <row r="242" spans="2:4" x14ac:dyDescent="0.3">
      <c r="B242" s="126" t="str">
        <v>104-005-029</v>
      </c>
      <c r="C242" s="127" t="str">
        <v>C2-1509 MARCOS ZAGA</v>
      </c>
      <c r="D242" s="128">
        <v>0</v>
      </c>
    </row>
    <row r="243" spans="2:4" x14ac:dyDescent="0.3">
      <c r="B243" s="126" t="str">
        <v>104-005-030</v>
      </c>
      <c r="C243" s="127" t="str">
        <v>C2-1510 ANA BARBA</v>
      </c>
      <c r="D243" s="128">
        <v>0</v>
      </c>
    </row>
    <row r="244" spans="2:4" x14ac:dyDescent="0.3">
      <c r="B244" s="126" t="str">
        <v>104-005-031</v>
      </c>
      <c r="C244" s="127" t="str">
        <v>C2-1609 DANIA DJJADDAH</v>
      </c>
      <c r="D244" s="128">
        <v>0</v>
      </c>
    </row>
    <row r="245" spans="2:4" x14ac:dyDescent="0.3">
      <c r="B245" s="126" t="str">
        <v>104-005-032</v>
      </c>
      <c r="C245" s="127" t="str">
        <v>C2-1610 ESTHER MICHAN</v>
      </c>
      <c r="D245" s="128">
        <v>-12694</v>
      </c>
    </row>
    <row r="246" spans="2:4" x14ac:dyDescent="0.3">
      <c r="B246" s="126" t="str">
        <v>104-005-033</v>
      </c>
      <c r="C246" s="127" t="str">
        <v>C2-1709 JOSE CAIN</v>
      </c>
      <c r="D246" s="128">
        <v>0</v>
      </c>
    </row>
    <row r="247" spans="2:4" x14ac:dyDescent="0.3">
      <c r="B247" s="126" t="str">
        <v>104-005-034</v>
      </c>
      <c r="C247" s="127" t="str">
        <v>C2-1710 JOE SITT</v>
      </c>
      <c r="D247" s="128">
        <v>0</v>
      </c>
    </row>
    <row r="248" spans="2:4" x14ac:dyDescent="0.3">
      <c r="B248" s="126" t="str">
        <v>104-005-035</v>
      </c>
      <c r="C248" s="127" t="str">
        <v>C2-1809 FREDELLE ZETUNE</v>
      </c>
      <c r="D248" s="128">
        <v>-12694</v>
      </c>
    </row>
    <row r="249" spans="2:4" x14ac:dyDescent="0.3">
      <c r="B249" s="126" t="str">
        <v>104-005-036</v>
      </c>
      <c r="C249" s="127" t="str">
        <v>C2-1810 JACOBO CHEREM A</v>
      </c>
      <c r="D249" s="128">
        <v>0</v>
      </c>
    </row>
    <row r="250" spans="2:4" x14ac:dyDescent="0.3">
      <c r="B250" s="126" t="str">
        <v>104-005-037</v>
      </c>
      <c r="C250" s="127" t="str">
        <v>C2-1909 EDUARDO CHEREM</v>
      </c>
      <c r="D250" s="128">
        <v>0</v>
      </c>
    </row>
    <row r="251" spans="2:4" x14ac:dyDescent="0.3">
      <c r="B251" s="126" t="str">
        <v>104-005-038</v>
      </c>
      <c r="C251" s="127" t="str">
        <v>C2-1910 BENJAMIN FARCA</v>
      </c>
      <c r="D251" s="128">
        <v>0</v>
      </c>
    </row>
    <row r="252" spans="2:4" x14ac:dyDescent="0.3">
      <c r="B252" s="126" t="str">
        <v>104-005-039</v>
      </c>
      <c r="C252" s="127" t="str">
        <v>C2-2009 POLA CALTUM</v>
      </c>
      <c r="D252" s="128">
        <v>0</v>
      </c>
    </row>
    <row r="253" spans="2:4" x14ac:dyDescent="0.3">
      <c r="B253" s="126" t="str">
        <v>104-005-040</v>
      </c>
      <c r="C253" s="127" t="str">
        <v>C2-2010 CUSPIDE INDUSTRIAL CONST</v>
      </c>
      <c r="D253" s="128">
        <v>600</v>
      </c>
    </row>
    <row r="254" spans="2:4" x14ac:dyDescent="0.3">
      <c r="B254" s="126" t="str">
        <v>104-005-041</v>
      </c>
      <c r="C254" s="127" t="str">
        <v>C2-2109 SARA MASRI</v>
      </c>
      <c r="D254" s="128">
        <v>-25388</v>
      </c>
    </row>
    <row r="255" spans="2:4" x14ac:dyDescent="0.3">
      <c r="B255" s="126" t="str">
        <v>104-005-042</v>
      </c>
      <c r="C255" s="127" t="str">
        <v>C2-2110 SUSANA CATARIVAS</v>
      </c>
      <c r="D255" s="128">
        <v>0</v>
      </c>
    </row>
    <row r="256" spans="2:4" x14ac:dyDescent="0.3">
      <c r="B256" s="126" t="str">
        <v>104-005-043</v>
      </c>
      <c r="C256" s="127" t="str">
        <v>C2-2209 SOFIA DABBAH</v>
      </c>
      <c r="D256" s="128">
        <v>1.4551915228366852E-11</v>
      </c>
    </row>
    <row r="257" spans="2:4" x14ac:dyDescent="0.3">
      <c r="B257" s="126" t="str">
        <v>104-005-044</v>
      </c>
      <c r="C257" s="127" t="str">
        <v>C2-2210 AARON MASRI</v>
      </c>
      <c r="D257" s="128">
        <v>0</v>
      </c>
    </row>
    <row r="258" spans="2:4" x14ac:dyDescent="0.3">
      <c r="B258" s="126" t="str">
        <v>104-005-045</v>
      </c>
      <c r="C258" s="127" t="str">
        <v>C2-2309 ISAAC ADES</v>
      </c>
      <c r="D258" s="128">
        <v>0</v>
      </c>
    </row>
    <row r="259" spans="2:4" x14ac:dyDescent="0.3">
      <c r="B259" s="126" t="str">
        <v>104-005-046</v>
      </c>
      <c r="C259" s="127" t="str">
        <v>C2-2310 ISAAC JAFIF</v>
      </c>
      <c r="D259" s="128">
        <v>0</v>
      </c>
    </row>
    <row r="260" spans="2:4" x14ac:dyDescent="0.3">
      <c r="B260" s="126" t="str">
        <v>104-005-047</v>
      </c>
      <c r="C260" s="127" t="str">
        <v>C2-2409 JACOBO SHAMOSH</v>
      </c>
      <c r="D260" s="128">
        <v>0</v>
      </c>
    </row>
    <row r="261" spans="2:4" x14ac:dyDescent="0.3">
      <c r="B261" s="126" t="str">
        <v>104-005-048</v>
      </c>
      <c r="C261" s="127" t="str">
        <v>C2-2410 SARA MASRI</v>
      </c>
      <c r="D261" s="128">
        <v>-25388</v>
      </c>
    </row>
    <row r="262" spans="2:4" x14ac:dyDescent="0.3">
      <c r="B262" s="126" t="str">
        <v>104-005-049</v>
      </c>
      <c r="C262" s="127" t="str">
        <v>C2-2509 ELIAS ZAGA</v>
      </c>
      <c r="D262" s="128">
        <v>0</v>
      </c>
    </row>
    <row r="263" spans="2:4" x14ac:dyDescent="0.3">
      <c r="B263" s="126" t="str">
        <v>104-005-050</v>
      </c>
      <c r="C263" s="127" t="str">
        <v>C2-2510 ALLAN LEVY</v>
      </c>
      <c r="D263" s="128">
        <v>0</v>
      </c>
    </row>
    <row r="264" spans="2:4" x14ac:dyDescent="0.3">
      <c r="B264" s="126" t="str">
        <v>104-005-051</v>
      </c>
      <c r="C264" s="127" t="str">
        <v>C2-PH09 JUAN SAN MILLAN</v>
      </c>
      <c r="D264" s="128">
        <v>0</v>
      </c>
    </row>
    <row r="265" spans="2:4" x14ac:dyDescent="0.3">
      <c r="B265" s="126" t="str">
        <v>104-005-052</v>
      </c>
      <c r="C265" s="127" t="str">
        <v>C2-PH10 JEMILE RAYEK</v>
      </c>
      <c r="D265" s="128">
        <v>-12694</v>
      </c>
    </row>
    <row r="266" spans="2:4" x14ac:dyDescent="0.3">
      <c r="B266" s="126" t="str">
        <f t="array" ref="B266:D317">[2]!'@CTA[104-006-001..104-006-052, U, N, F]'</f>
        <v>104-006-001</v>
      </c>
      <c r="C266" s="127" t="str">
        <v>C3-111 EMILIA COHEN</v>
      </c>
      <c r="D266" s="128">
        <v>300</v>
      </c>
    </row>
    <row r="267" spans="2:4" x14ac:dyDescent="0.3">
      <c r="B267" s="126" t="str">
        <v>104-006-002</v>
      </c>
      <c r="C267" s="127" t="str">
        <v>C3-112 YOLANDA PRZYSZWA</v>
      </c>
      <c r="D267" s="128">
        <v>0</v>
      </c>
    </row>
    <row r="268" spans="2:4" x14ac:dyDescent="0.3">
      <c r="B268" s="126" t="str">
        <v>104-006-003</v>
      </c>
      <c r="C268" s="127" t="str">
        <v>C3-211 ISAAC ZAYATH</v>
      </c>
      <c r="D268" s="128">
        <v>112266</v>
      </c>
    </row>
    <row r="269" spans="2:4" x14ac:dyDescent="0.3">
      <c r="B269" s="126" t="str">
        <v>104-006-004</v>
      </c>
      <c r="C269" s="127" t="str">
        <v>C3-212 YEMI NAGAR</v>
      </c>
      <c r="D269" s="128">
        <v>0</v>
      </c>
    </row>
    <row r="270" spans="2:4" x14ac:dyDescent="0.3">
      <c r="B270" s="126" t="str">
        <v>104-006-005</v>
      </c>
      <c r="C270" s="127" t="str">
        <v>C3-311 LOURDES REVILLA</v>
      </c>
      <c r="D270" s="128">
        <v>-98503.999999999971</v>
      </c>
    </row>
    <row r="271" spans="2:4" x14ac:dyDescent="0.3">
      <c r="B271" s="126" t="str">
        <v>104-006-006</v>
      </c>
      <c r="C271" s="127" t="str">
        <v>C3-312 DAVID GUAKIL</v>
      </c>
      <c r="D271" s="128">
        <v>-12694</v>
      </c>
    </row>
    <row r="272" spans="2:4" x14ac:dyDescent="0.3">
      <c r="B272" s="126" t="str">
        <v>104-006-007</v>
      </c>
      <c r="C272" s="127" t="str">
        <v>C3-411 DANIEL NACACH</v>
      </c>
      <c r="D272" s="128">
        <v>0</v>
      </c>
    </row>
    <row r="273" spans="2:4" x14ac:dyDescent="0.3">
      <c r="B273" s="126" t="str">
        <v>104-006-008</v>
      </c>
      <c r="C273" s="127" t="str">
        <v>C3-412 ERIKA RAYNAL</v>
      </c>
      <c r="D273" s="128">
        <v>-200</v>
      </c>
    </row>
    <row r="274" spans="2:4" x14ac:dyDescent="0.3">
      <c r="B274" s="126" t="str">
        <v>104-006-009</v>
      </c>
      <c r="C274" s="127" t="str">
        <v>C3-511 BENJAMIN CHEREM T</v>
      </c>
      <c r="D274" s="128">
        <v>-12694</v>
      </c>
    </row>
    <row r="275" spans="2:4" x14ac:dyDescent="0.3">
      <c r="B275" s="126" t="str">
        <v>104-006-010</v>
      </c>
      <c r="C275" s="127" t="str">
        <v>C3-512 ALEJANDRO RABINOVITZ</v>
      </c>
      <c r="D275" s="128">
        <v>300</v>
      </c>
    </row>
    <row r="276" spans="2:4" x14ac:dyDescent="0.3">
      <c r="B276" s="126" t="str">
        <v>104-006-011</v>
      </c>
      <c r="C276" s="127" t="str">
        <v>C3-611 JOSE CAIN</v>
      </c>
      <c r="D276" s="128">
        <v>0</v>
      </c>
    </row>
    <row r="277" spans="2:4" x14ac:dyDescent="0.3">
      <c r="B277" s="126" t="str">
        <v>104-006-012</v>
      </c>
      <c r="C277" s="127" t="str">
        <v>C3-612 LORENA CARREÑO</v>
      </c>
      <c r="D277" s="128">
        <v>0</v>
      </c>
    </row>
    <row r="278" spans="2:4" x14ac:dyDescent="0.3">
      <c r="B278" s="126" t="str">
        <v>104-006-013</v>
      </c>
      <c r="C278" s="127" t="str">
        <v>C3-711 RONY JERUSALMI</v>
      </c>
      <c r="D278" s="128">
        <v>0</v>
      </c>
    </row>
    <row r="279" spans="2:4" x14ac:dyDescent="0.3">
      <c r="B279" s="126" t="str">
        <v>104-006-014</v>
      </c>
      <c r="C279" s="127" t="str">
        <v>C3-712 ALICIA ORTEGA</v>
      </c>
      <c r="D279" s="128">
        <v>0</v>
      </c>
    </row>
    <row r="280" spans="2:4" x14ac:dyDescent="0.3">
      <c r="B280" s="126" t="str">
        <v>104-006-015</v>
      </c>
      <c r="C280" s="127" t="str">
        <v>C3-811 ELIAS TUACHI</v>
      </c>
      <c r="D280" s="128">
        <v>0</v>
      </c>
    </row>
    <row r="281" spans="2:4" x14ac:dyDescent="0.3">
      <c r="B281" s="126" t="str">
        <v>104-006-016</v>
      </c>
      <c r="C281" s="127" t="str">
        <v>C3-812 SALOMON CASSAB</v>
      </c>
      <c r="D281" s="128">
        <v>-98504</v>
      </c>
    </row>
    <row r="282" spans="2:4" x14ac:dyDescent="0.3">
      <c r="B282" s="126" t="str">
        <v>104-006-017</v>
      </c>
      <c r="C282" s="127" t="str">
        <v>C3-911 KAREN TURQUIE</v>
      </c>
      <c r="D282" s="128">
        <v>-12694</v>
      </c>
    </row>
    <row r="283" spans="2:4" x14ac:dyDescent="0.3">
      <c r="B283" s="126" t="str">
        <v>104-006-018</v>
      </c>
      <c r="C283" s="127" t="str">
        <v>C3-912 ALBERTO ALVO</v>
      </c>
      <c r="D283" s="128">
        <v>0</v>
      </c>
    </row>
    <row r="284" spans="2:4" x14ac:dyDescent="0.3">
      <c r="B284" s="126" t="str">
        <v>104-006-019</v>
      </c>
      <c r="C284" s="127" t="str">
        <v>C3-1011 DALIA GUTIERREZ</v>
      </c>
      <c r="D284" s="128">
        <v>0</v>
      </c>
    </row>
    <row r="285" spans="2:4" x14ac:dyDescent="0.3">
      <c r="B285" s="126" t="str">
        <v>104-006-020</v>
      </c>
      <c r="C285" s="127" t="str">
        <v>C3-1012 DAVID COHEN</v>
      </c>
      <c r="D285" s="128">
        <v>0</v>
      </c>
    </row>
    <row r="286" spans="2:4" x14ac:dyDescent="0.3">
      <c r="B286" s="126" t="str">
        <v>104-006-021</v>
      </c>
      <c r="C286" s="127" t="str">
        <v>C3-1111 ESTHER ROMANO</v>
      </c>
      <c r="D286" s="128">
        <v>27956</v>
      </c>
    </row>
    <row r="287" spans="2:4" x14ac:dyDescent="0.3">
      <c r="B287" s="126" t="str">
        <v>104-006-022</v>
      </c>
      <c r="C287" s="127" t="str">
        <v xml:space="preserve">C3-1112 JOSE METTA </v>
      </c>
      <c r="D287" s="128">
        <v>0</v>
      </c>
    </row>
    <row r="288" spans="2:4" x14ac:dyDescent="0.3">
      <c r="B288" s="126" t="str">
        <v>104-006-023</v>
      </c>
      <c r="C288" s="127" t="str">
        <v>C3-1211 TERESA ENTEBI</v>
      </c>
      <c r="D288" s="128">
        <v>0</v>
      </c>
    </row>
    <row r="289" spans="2:4" x14ac:dyDescent="0.3">
      <c r="B289" s="126" t="str">
        <v>104-006-024</v>
      </c>
      <c r="C289" s="127" t="str">
        <v>C3-1212 FORTUNA CASSAB</v>
      </c>
      <c r="D289" s="128">
        <v>0</v>
      </c>
    </row>
    <row r="290" spans="2:4" x14ac:dyDescent="0.3">
      <c r="B290" s="126" t="str">
        <v>104-006-025</v>
      </c>
      <c r="C290" s="127" t="str">
        <v>C3-1311 ESTHER GALANTE</v>
      </c>
      <c r="D290" s="128">
        <v>0</v>
      </c>
    </row>
    <row r="291" spans="2:4" x14ac:dyDescent="0.3">
      <c r="B291" s="126" t="str">
        <v>104-006-026</v>
      </c>
      <c r="C291" s="127" t="str">
        <v>C3-1312 RAYMOND ZETUNE</v>
      </c>
      <c r="D291" s="128">
        <v>0</v>
      </c>
    </row>
    <row r="292" spans="2:4" x14ac:dyDescent="0.3">
      <c r="B292" s="126" t="str">
        <v>104-006-027</v>
      </c>
      <c r="C292" s="127" t="str">
        <v>C3-1411 MARIA REYES</v>
      </c>
      <c r="D292" s="128">
        <v>-12694</v>
      </c>
    </row>
    <row r="293" spans="2:4" x14ac:dyDescent="0.3">
      <c r="B293" s="126" t="str">
        <v>104-006-028</v>
      </c>
      <c r="C293" s="127" t="str">
        <v>C3-1412 GABRIEL TUACHI</v>
      </c>
      <c r="D293" s="128">
        <v>0</v>
      </c>
    </row>
    <row r="294" spans="2:4" x14ac:dyDescent="0.3">
      <c r="B294" s="126" t="str">
        <v>104-006-029</v>
      </c>
      <c r="C294" s="127" t="str">
        <v>C3-1511 LAURA VALDES</v>
      </c>
      <c r="D294" s="128">
        <v>-25388</v>
      </c>
    </row>
    <row r="295" spans="2:4" x14ac:dyDescent="0.3">
      <c r="B295" s="126" t="str">
        <v>104-006-030</v>
      </c>
      <c r="C295" s="127" t="str">
        <v>C3-1512 RODRIGO LAMBRE</v>
      </c>
      <c r="D295" s="128">
        <v>0</v>
      </c>
    </row>
    <row r="296" spans="2:4" x14ac:dyDescent="0.3">
      <c r="B296" s="126" t="str">
        <v>104-006-031</v>
      </c>
      <c r="C296" s="127" t="str">
        <v>C3-1611 ESTHER HARARI ACHAR DE CHEREM</v>
      </c>
      <c r="D296" s="128">
        <v>0</v>
      </c>
    </row>
    <row r="297" spans="2:4" x14ac:dyDescent="0.3">
      <c r="B297" s="126" t="str">
        <v>104-006-032</v>
      </c>
      <c r="C297" s="127" t="str">
        <v>C3-1612 RAQUEL SHABOT</v>
      </c>
      <c r="D297" s="128">
        <v>-98504</v>
      </c>
    </row>
    <row r="298" spans="2:4" x14ac:dyDescent="0.3">
      <c r="B298" s="126" t="str">
        <v>104-006-033</v>
      </c>
      <c r="C298" s="127" t="str">
        <v>C3-1711 EDITH OURFALI</v>
      </c>
      <c r="D298" s="128">
        <v>0</v>
      </c>
    </row>
    <row r="299" spans="2:4" x14ac:dyDescent="0.3">
      <c r="B299" s="126" t="str">
        <v>104-006-034</v>
      </c>
      <c r="C299" s="127" t="str">
        <v>C3-1712 ELIAS CHAYO</v>
      </c>
      <c r="D299" s="128">
        <v>-25388</v>
      </c>
    </row>
    <row r="300" spans="2:4" x14ac:dyDescent="0.3">
      <c r="B300" s="126" t="str">
        <v>104-006-035</v>
      </c>
      <c r="C300" s="127" t="str">
        <v>C3-1811 BENJAMIN CHEREM T</v>
      </c>
      <c r="D300" s="128">
        <v>-12694</v>
      </c>
    </row>
    <row r="301" spans="2:4" x14ac:dyDescent="0.3">
      <c r="B301" s="126" t="str">
        <v>104-006-036</v>
      </c>
      <c r="C301" s="127" t="str">
        <v>C3-1812 DALIA CASPI</v>
      </c>
      <c r="D301" s="128">
        <v>0</v>
      </c>
    </row>
    <row r="302" spans="2:4" x14ac:dyDescent="0.3">
      <c r="B302" s="126" t="str">
        <v>104-006-037</v>
      </c>
      <c r="C302" s="127" t="str">
        <v>C3-1911 BENJAMIN ZONANA</v>
      </c>
      <c r="D302" s="128">
        <v>-12694</v>
      </c>
    </row>
    <row r="303" spans="2:4" x14ac:dyDescent="0.3">
      <c r="B303" s="126" t="str">
        <v>104-006-038</v>
      </c>
      <c r="C303" s="127" t="str">
        <v xml:space="preserve">C3-1912 JACOBO CHEREM A </v>
      </c>
      <c r="D303" s="128">
        <v>0</v>
      </c>
    </row>
    <row r="304" spans="2:4" x14ac:dyDescent="0.3">
      <c r="B304" s="126" t="str">
        <v>104-006-039</v>
      </c>
      <c r="C304" s="127" t="str">
        <v>C3-2011 SARA MASRI</v>
      </c>
      <c r="D304" s="128">
        <v>-25388</v>
      </c>
    </row>
    <row r="305" spans="2:4" x14ac:dyDescent="0.3">
      <c r="B305" s="126" t="str">
        <v>104-006-040</v>
      </c>
      <c r="C305" s="127" t="str">
        <v>C3-2012 MARGARITA ZAGA</v>
      </c>
      <c r="D305" s="128">
        <v>0</v>
      </c>
    </row>
    <row r="306" spans="2:4" x14ac:dyDescent="0.3">
      <c r="B306" s="126" t="str">
        <v>104-006-041</v>
      </c>
      <c r="C306" s="127" t="str">
        <v>C3-2111 JACOBO LEVY</v>
      </c>
      <c r="D306" s="128">
        <v>0</v>
      </c>
    </row>
    <row r="307" spans="2:4" x14ac:dyDescent="0.3">
      <c r="B307" s="126" t="str">
        <v>104-006-042</v>
      </c>
      <c r="C307" s="127" t="str">
        <v>C3-2112 ALINE CHEREM</v>
      </c>
      <c r="D307" s="128">
        <v>-98504</v>
      </c>
    </row>
    <row r="308" spans="2:4" x14ac:dyDescent="0.3">
      <c r="B308" s="126" t="str">
        <v>104-006-043</v>
      </c>
      <c r="C308" s="127" t="str">
        <v>C3-2211 PABLO MARTI</v>
      </c>
      <c r="D308" s="128">
        <v>-98504</v>
      </c>
    </row>
    <row r="309" spans="2:4" x14ac:dyDescent="0.3">
      <c r="B309" s="126" t="str">
        <v>104-006-044</v>
      </c>
      <c r="C309" s="127" t="str">
        <v>C3-2212 GIL COHEN</v>
      </c>
      <c r="D309" s="128">
        <v>-12694</v>
      </c>
    </row>
    <row r="310" spans="2:4" x14ac:dyDescent="0.3">
      <c r="B310" s="126" t="str">
        <v>104-006-045</v>
      </c>
      <c r="C310" s="127" t="str">
        <v>C3-2311 RAQUEL ACHAR</v>
      </c>
      <c r="D310" s="128">
        <v>0</v>
      </c>
    </row>
    <row r="311" spans="2:4" x14ac:dyDescent="0.3">
      <c r="B311" s="126" t="str">
        <v>104-006-046</v>
      </c>
      <c r="C311" s="127" t="str">
        <v>C3-2312 MOISES PERLA</v>
      </c>
      <c r="D311" s="128">
        <v>0</v>
      </c>
    </row>
    <row r="312" spans="2:4" x14ac:dyDescent="0.3">
      <c r="B312" s="126" t="str">
        <v>104-006-047</v>
      </c>
      <c r="C312" s="127" t="str">
        <v>C3-2411 JOSE MASRI</v>
      </c>
      <c r="D312" s="128">
        <v>0</v>
      </c>
    </row>
    <row r="313" spans="2:4" x14ac:dyDescent="0.3">
      <c r="B313" s="126" t="str">
        <v>104-006-048</v>
      </c>
      <c r="C313" s="127" t="str">
        <v xml:space="preserve">C3-2412 MICHELLE SALTIEL </v>
      </c>
      <c r="D313" s="128">
        <v>0</v>
      </c>
    </row>
    <row r="314" spans="2:4" x14ac:dyDescent="0.3">
      <c r="B314" s="126" t="str">
        <v>104-006-049</v>
      </c>
      <c r="C314" s="127" t="str">
        <v>C3-2511 LEON KASSIN</v>
      </c>
      <c r="D314" s="128">
        <v>0</v>
      </c>
    </row>
    <row r="315" spans="2:4" x14ac:dyDescent="0.3">
      <c r="B315" s="126" t="str">
        <v>104-006-050</v>
      </c>
      <c r="C315" s="127" t="str">
        <v>C3-2512 EDUARDO BRIMAN</v>
      </c>
      <c r="D315" s="128">
        <v>0</v>
      </c>
    </row>
    <row r="316" spans="2:4" x14ac:dyDescent="0.3">
      <c r="B316" s="126" t="str">
        <v>104-006-051</v>
      </c>
      <c r="C316" s="127" t="str">
        <v>C3-PH11 JACOBO ROMANO</v>
      </c>
      <c r="D316" s="128">
        <v>-98504</v>
      </c>
    </row>
    <row r="317" spans="2:4" x14ac:dyDescent="0.3">
      <c r="B317" s="126" t="str">
        <v>104-006-052</v>
      </c>
      <c r="C317" s="127" t="str">
        <v>C3-PH12 DANIEL BRIMAN</v>
      </c>
      <c r="D317" s="128">
        <v>-98504</v>
      </c>
    </row>
    <row r="318" spans="2:4" x14ac:dyDescent="0.3">
      <c r="B318" s="126" t="str">
        <f t="array" ref="B318:D318">[2]!'@CTA[104-100-001, U, N, F]'</f>
        <v>104-100-001</v>
      </c>
      <c r="C318" s="127" t="str">
        <v>NO IDENTIFICADOS</v>
      </c>
      <c r="D318" s="128">
        <v>3.637978807091713E-12</v>
      </c>
    </row>
    <row r="319" spans="2:4" s="132" customFormat="1" ht="28.95" customHeight="1" thickBot="1" x14ac:dyDescent="0.35">
      <c r="B319" s="129"/>
      <c r="C319" s="130" t="s">
        <v>2</v>
      </c>
      <c r="D319" s="131">
        <f>SUM(D6:D318)</f>
        <v>-1759205</v>
      </c>
    </row>
    <row r="320" spans="2:4" ht="15" thickTop="1" x14ac:dyDescent="0.3">
      <c r="D320" s="104"/>
    </row>
    <row r="321" spans="4:4" x14ac:dyDescent="0.3">
      <c r="D321" s="104"/>
    </row>
    <row r="322" spans="4:4" x14ac:dyDescent="0.3">
      <c r="D322" s="104"/>
    </row>
    <row r="323" spans="4:4" x14ac:dyDescent="0.3">
      <c r="D323" s="104"/>
    </row>
    <row r="324" spans="4:4" x14ac:dyDescent="0.3">
      <c r="D324" s="104"/>
    </row>
    <row r="325" spans="4:4" x14ac:dyDescent="0.3">
      <c r="D325" s="104"/>
    </row>
    <row r="326" spans="4:4" x14ac:dyDescent="0.3">
      <c r="D326" s="104"/>
    </row>
    <row r="327" spans="4:4" x14ac:dyDescent="0.3">
      <c r="D327" s="104"/>
    </row>
    <row r="328" spans="4:4" x14ac:dyDescent="0.3">
      <c r="D328" s="104"/>
    </row>
    <row r="329" spans="4:4" x14ac:dyDescent="0.3">
      <c r="D329" s="104"/>
    </row>
    <row r="330" spans="4:4" x14ac:dyDescent="0.3">
      <c r="D330" s="104"/>
    </row>
    <row r="331" spans="4:4" x14ac:dyDescent="0.3">
      <c r="D331" s="104"/>
    </row>
    <row r="332" spans="4:4" x14ac:dyDescent="0.3">
      <c r="D332" s="104"/>
    </row>
    <row r="333" spans="4:4" x14ac:dyDescent="0.3">
      <c r="D333" s="104"/>
    </row>
    <row r="334" spans="4:4" x14ac:dyDescent="0.3">
      <c r="D334" s="104"/>
    </row>
    <row r="335" spans="4:4" x14ac:dyDescent="0.3">
      <c r="D335" s="104"/>
    </row>
    <row r="336" spans="4:4" x14ac:dyDescent="0.3">
      <c r="D336" s="104"/>
    </row>
    <row r="337" spans="4:4" x14ac:dyDescent="0.3">
      <c r="D337" s="104"/>
    </row>
    <row r="338" spans="4:4" x14ac:dyDescent="0.3">
      <c r="D338" s="104"/>
    </row>
    <row r="339" spans="4:4" x14ac:dyDescent="0.3">
      <c r="D339" s="104"/>
    </row>
    <row r="340" spans="4:4" x14ac:dyDescent="0.3">
      <c r="D340" s="104"/>
    </row>
    <row r="341" spans="4:4" x14ac:dyDescent="0.3">
      <c r="D341" s="104"/>
    </row>
    <row r="342" spans="4:4" x14ac:dyDescent="0.3">
      <c r="D342" s="104"/>
    </row>
    <row r="343" spans="4:4" x14ac:dyDescent="0.3">
      <c r="D343" s="104"/>
    </row>
    <row r="344" spans="4:4" x14ac:dyDescent="0.3">
      <c r="D344" s="104"/>
    </row>
    <row r="345" spans="4:4" x14ac:dyDescent="0.3">
      <c r="D345" s="104"/>
    </row>
    <row r="346" spans="4:4" x14ac:dyDescent="0.3">
      <c r="D346" s="104"/>
    </row>
    <row r="347" spans="4:4" x14ac:dyDescent="0.3">
      <c r="D347" s="104"/>
    </row>
    <row r="348" spans="4:4" x14ac:dyDescent="0.3">
      <c r="D348" s="104"/>
    </row>
    <row r="349" spans="4:4" x14ac:dyDescent="0.3">
      <c r="D349" s="104"/>
    </row>
    <row r="350" spans="4:4" x14ac:dyDescent="0.3">
      <c r="D350" s="104"/>
    </row>
    <row r="351" spans="4:4" x14ac:dyDescent="0.3">
      <c r="D351" s="104"/>
    </row>
    <row r="352" spans="4:4" x14ac:dyDescent="0.3">
      <c r="D352" s="104"/>
    </row>
    <row r="353" spans="4:4" x14ac:dyDescent="0.3">
      <c r="D353" s="104"/>
    </row>
    <row r="354" spans="4:4" x14ac:dyDescent="0.3">
      <c r="D354" s="104"/>
    </row>
    <row r="355" spans="4:4" x14ac:dyDescent="0.3">
      <c r="D355" s="104"/>
    </row>
    <row r="356" spans="4:4" x14ac:dyDescent="0.3">
      <c r="D356" s="104"/>
    </row>
    <row r="357" spans="4:4" x14ac:dyDescent="0.3">
      <c r="D357" s="104"/>
    </row>
    <row r="358" spans="4:4" x14ac:dyDescent="0.3">
      <c r="D358" s="104"/>
    </row>
    <row r="359" spans="4:4" x14ac:dyDescent="0.3">
      <c r="D359" s="104"/>
    </row>
    <row r="360" spans="4:4" x14ac:dyDescent="0.3">
      <c r="D360" s="104"/>
    </row>
    <row r="361" spans="4:4" x14ac:dyDescent="0.3">
      <c r="D361" s="104"/>
    </row>
    <row r="362" spans="4:4" x14ac:dyDescent="0.3">
      <c r="D362" s="104"/>
    </row>
    <row r="363" spans="4:4" x14ac:dyDescent="0.3">
      <c r="D363" s="104"/>
    </row>
    <row r="364" spans="4:4" x14ac:dyDescent="0.3">
      <c r="D364" s="104"/>
    </row>
    <row r="365" spans="4:4" x14ac:dyDescent="0.3">
      <c r="D365" s="104"/>
    </row>
    <row r="366" spans="4:4" x14ac:dyDescent="0.3">
      <c r="D366" s="104"/>
    </row>
    <row r="367" spans="4:4" x14ac:dyDescent="0.3">
      <c r="D367" s="104"/>
    </row>
    <row r="368" spans="4:4" x14ac:dyDescent="0.3">
      <c r="D368" s="104"/>
    </row>
    <row r="369" spans="4:4" x14ac:dyDescent="0.3">
      <c r="D369" s="104"/>
    </row>
    <row r="370" spans="4:4" x14ac:dyDescent="0.3">
      <c r="D370" s="104"/>
    </row>
    <row r="371" spans="4:4" x14ac:dyDescent="0.3">
      <c r="D371" s="104"/>
    </row>
    <row r="372" spans="4:4" x14ac:dyDescent="0.3">
      <c r="D372" s="104"/>
    </row>
    <row r="373" spans="4:4" x14ac:dyDescent="0.3">
      <c r="D373" s="104"/>
    </row>
    <row r="374" spans="4:4" x14ac:dyDescent="0.3">
      <c r="D374" s="104"/>
    </row>
    <row r="375" spans="4:4" x14ac:dyDescent="0.3">
      <c r="D375" s="104"/>
    </row>
    <row r="376" spans="4:4" x14ac:dyDescent="0.3">
      <c r="D376" s="104"/>
    </row>
    <row r="377" spans="4:4" x14ac:dyDescent="0.3">
      <c r="D377" s="104"/>
    </row>
    <row r="378" spans="4:4" x14ac:dyDescent="0.3">
      <c r="D378" s="104"/>
    </row>
    <row r="379" spans="4:4" x14ac:dyDescent="0.3">
      <c r="D379" s="104"/>
    </row>
    <row r="380" spans="4:4" x14ac:dyDescent="0.3">
      <c r="D380" s="104"/>
    </row>
    <row r="381" spans="4:4" x14ac:dyDescent="0.3">
      <c r="D381" s="104"/>
    </row>
    <row r="382" spans="4:4" x14ac:dyDescent="0.3">
      <c r="D382" s="104"/>
    </row>
    <row r="383" spans="4:4" x14ac:dyDescent="0.3">
      <c r="D383" s="104"/>
    </row>
    <row r="384" spans="4:4" x14ac:dyDescent="0.3">
      <c r="D384" s="104"/>
    </row>
    <row r="385" spans="4:4" x14ac:dyDescent="0.3">
      <c r="D385" s="104"/>
    </row>
    <row r="386" spans="4:4" x14ac:dyDescent="0.3">
      <c r="D386" s="104"/>
    </row>
    <row r="387" spans="4:4" x14ac:dyDescent="0.3">
      <c r="D387" s="104"/>
    </row>
    <row r="388" spans="4:4" x14ac:dyDescent="0.3">
      <c r="D388" s="104"/>
    </row>
    <row r="389" spans="4:4" x14ac:dyDescent="0.3">
      <c r="D389" s="104"/>
    </row>
    <row r="390" spans="4:4" x14ac:dyDescent="0.3">
      <c r="D390" s="104"/>
    </row>
    <row r="391" spans="4:4" x14ac:dyDescent="0.3">
      <c r="D391" s="104"/>
    </row>
    <row r="392" spans="4:4" x14ac:dyDescent="0.3">
      <c r="D392" s="104"/>
    </row>
    <row r="393" spans="4:4" x14ac:dyDescent="0.3">
      <c r="D393" s="104"/>
    </row>
    <row r="394" spans="4:4" x14ac:dyDescent="0.3">
      <c r="D394" s="104"/>
    </row>
    <row r="395" spans="4:4" x14ac:dyDescent="0.3">
      <c r="D395" s="104"/>
    </row>
    <row r="396" spans="4:4" x14ac:dyDescent="0.3">
      <c r="D396" s="104"/>
    </row>
    <row r="397" spans="4:4" x14ac:dyDescent="0.3">
      <c r="D397" s="104"/>
    </row>
    <row r="398" spans="4:4" x14ac:dyDescent="0.3">
      <c r="D398" s="104"/>
    </row>
    <row r="399" spans="4:4" x14ac:dyDescent="0.3">
      <c r="D399" s="104"/>
    </row>
    <row r="400" spans="4:4" x14ac:dyDescent="0.3">
      <c r="D400" s="104"/>
    </row>
    <row r="401" spans="4:4" x14ac:dyDescent="0.3">
      <c r="D401" s="104"/>
    </row>
    <row r="402" spans="4:4" x14ac:dyDescent="0.3">
      <c r="D402" s="104"/>
    </row>
    <row r="403" spans="4:4" x14ac:dyDescent="0.3">
      <c r="D403" s="104"/>
    </row>
    <row r="404" spans="4:4" x14ac:dyDescent="0.3">
      <c r="D404" s="104"/>
    </row>
    <row r="405" spans="4:4" x14ac:dyDescent="0.3">
      <c r="D405" s="104"/>
    </row>
    <row r="406" spans="4:4" x14ac:dyDescent="0.3">
      <c r="D406" s="104"/>
    </row>
    <row r="407" spans="4:4" x14ac:dyDescent="0.3">
      <c r="D407" s="104"/>
    </row>
    <row r="408" spans="4:4" x14ac:dyDescent="0.3">
      <c r="D408" s="104"/>
    </row>
    <row r="409" spans="4:4" x14ac:dyDescent="0.3">
      <c r="D409" s="104"/>
    </row>
    <row r="410" spans="4:4" x14ac:dyDescent="0.3">
      <c r="D410" s="104"/>
    </row>
    <row r="411" spans="4:4" x14ac:dyDescent="0.3">
      <c r="D411" s="104"/>
    </row>
    <row r="412" spans="4:4" x14ac:dyDescent="0.3">
      <c r="D412" s="104"/>
    </row>
    <row r="413" spans="4:4" x14ac:dyDescent="0.3">
      <c r="D413" s="104"/>
    </row>
    <row r="414" spans="4:4" x14ac:dyDescent="0.3">
      <c r="D414" s="104"/>
    </row>
    <row r="415" spans="4:4" x14ac:dyDescent="0.3">
      <c r="D415" s="104"/>
    </row>
    <row r="416" spans="4:4" x14ac:dyDescent="0.3">
      <c r="D416" s="104"/>
    </row>
    <row r="417" spans="4:4" x14ac:dyDescent="0.3">
      <c r="D417" s="104"/>
    </row>
    <row r="418" spans="4:4" x14ac:dyDescent="0.3">
      <c r="D418" s="104"/>
    </row>
    <row r="419" spans="4:4" x14ac:dyDescent="0.3">
      <c r="D419" s="104"/>
    </row>
    <row r="420" spans="4:4" x14ac:dyDescent="0.3">
      <c r="D420" s="104"/>
    </row>
    <row r="421" spans="4:4" x14ac:dyDescent="0.3">
      <c r="D421" s="104"/>
    </row>
    <row r="422" spans="4:4" x14ac:dyDescent="0.3">
      <c r="D422" s="104"/>
    </row>
    <row r="423" spans="4:4" x14ac:dyDescent="0.3">
      <c r="D423" s="104"/>
    </row>
    <row r="424" spans="4:4" x14ac:dyDescent="0.3">
      <c r="D424" s="104"/>
    </row>
    <row r="425" spans="4:4" x14ac:dyDescent="0.3">
      <c r="D425" s="104"/>
    </row>
    <row r="426" spans="4:4" x14ac:dyDescent="0.3">
      <c r="D426" s="104"/>
    </row>
    <row r="427" spans="4:4" x14ac:dyDescent="0.3">
      <c r="D427" s="104"/>
    </row>
    <row r="428" spans="4:4" x14ac:dyDescent="0.3">
      <c r="D428" s="104"/>
    </row>
    <row r="429" spans="4:4" x14ac:dyDescent="0.3">
      <c r="D429" s="104"/>
    </row>
    <row r="430" spans="4:4" x14ac:dyDescent="0.3">
      <c r="D430" s="104"/>
    </row>
    <row r="431" spans="4:4" x14ac:dyDescent="0.3">
      <c r="D431" s="104"/>
    </row>
    <row r="432" spans="4:4" x14ac:dyDescent="0.3">
      <c r="D432" s="104"/>
    </row>
    <row r="433" spans="4:4" x14ac:dyDescent="0.3">
      <c r="D433" s="104"/>
    </row>
    <row r="434" spans="4:4" x14ac:dyDescent="0.3">
      <c r="D434" s="104"/>
    </row>
    <row r="435" spans="4:4" x14ac:dyDescent="0.3">
      <c r="D435" s="104"/>
    </row>
    <row r="436" spans="4:4" x14ac:dyDescent="0.3">
      <c r="D436" s="104"/>
    </row>
    <row r="437" spans="4:4" x14ac:dyDescent="0.3">
      <c r="D437" s="104"/>
    </row>
    <row r="438" spans="4:4" x14ac:dyDescent="0.3">
      <c r="D438" s="104"/>
    </row>
    <row r="439" spans="4:4" x14ac:dyDescent="0.3">
      <c r="D439" s="104"/>
    </row>
    <row r="440" spans="4:4" x14ac:dyDescent="0.3">
      <c r="D440" s="104"/>
    </row>
    <row r="441" spans="4:4" x14ac:dyDescent="0.3">
      <c r="D441" s="104"/>
    </row>
    <row r="442" spans="4:4" x14ac:dyDescent="0.3">
      <c r="D442" s="104"/>
    </row>
    <row r="443" spans="4:4" x14ac:dyDescent="0.3">
      <c r="D443" s="104"/>
    </row>
    <row r="444" spans="4:4" x14ac:dyDescent="0.3">
      <c r="D444" s="104"/>
    </row>
    <row r="445" spans="4:4" x14ac:dyDescent="0.3">
      <c r="D445" s="104"/>
    </row>
    <row r="446" spans="4:4" x14ac:dyDescent="0.3">
      <c r="D446" s="104"/>
    </row>
    <row r="447" spans="4:4" x14ac:dyDescent="0.3">
      <c r="D447" s="104"/>
    </row>
    <row r="448" spans="4:4" x14ac:dyDescent="0.3">
      <c r="D448" s="104"/>
    </row>
    <row r="449" spans="4:4" x14ac:dyDescent="0.3">
      <c r="D449" s="104"/>
    </row>
    <row r="450" spans="4:4" x14ac:dyDescent="0.3">
      <c r="D450" s="104"/>
    </row>
    <row r="451" spans="4:4" x14ac:dyDescent="0.3">
      <c r="D451" s="104"/>
    </row>
    <row r="452" spans="4:4" x14ac:dyDescent="0.3">
      <c r="D452" s="104"/>
    </row>
    <row r="453" spans="4:4" x14ac:dyDescent="0.3">
      <c r="D453" s="104"/>
    </row>
    <row r="454" spans="4:4" x14ac:dyDescent="0.3">
      <c r="D454" s="104"/>
    </row>
    <row r="455" spans="4:4" x14ac:dyDescent="0.3">
      <c r="D455" s="104"/>
    </row>
    <row r="456" spans="4:4" x14ac:dyDescent="0.3">
      <c r="D456" s="104"/>
    </row>
    <row r="457" spans="4:4" x14ac:dyDescent="0.3">
      <c r="D457" s="104"/>
    </row>
    <row r="458" spans="4:4" x14ac:dyDescent="0.3">
      <c r="D458" s="104"/>
    </row>
    <row r="459" spans="4:4" x14ac:dyDescent="0.3">
      <c r="D459" s="104"/>
    </row>
    <row r="460" spans="4:4" x14ac:dyDescent="0.3">
      <c r="D460" s="104"/>
    </row>
    <row r="461" spans="4:4" x14ac:dyDescent="0.3">
      <c r="D461" s="104"/>
    </row>
    <row r="462" spans="4:4" x14ac:dyDescent="0.3">
      <c r="D462" s="104"/>
    </row>
    <row r="463" spans="4:4" x14ac:dyDescent="0.3">
      <c r="D463" s="104"/>
    </row>
    <row r="464" spans="4:4" x14ac:dyDescent="0.3">
      <c r="D464" s="104"/>
    </row>
    <row r="465" spans="4:4" x14ac:dyDescent="0.3">
      <c r="D465" s="104"/>
    </row>
    <row r="466" spans="4:4" x14ac:dyDescent="0.3">
      <c r="D466" s="104"/>
    </row>
    <row r="467" spans="4:4" x14ac:dyDescent="0.3">
      <c r="D467" s="104"/>
    </row>
    <row r="468" spans="4:4" x14ac:dyDescent="0.3">
      <c r="D468" s="104"/>
    </row>
    <row r="469" spans="4:4" x14ac:dyDescent="0.3">
      <c r="D469" s="104"/>
    </row>
    <row r="470" spans="4:4" x14ac:dyDescent="0.3">
      <c r="D470" s="104"/>
    </row>
    <row r="471" spans="4:4" x14ac:dyDescent="0.3">
      <c r="D471" s="104"/>
    </row>
    <row r="472" spans="4:4" x14ac:dyDescent="0.3">
      <c r="D472" s="104"/>
    </row>
    <row r="473" spans="4:4" x14ac:dyDescent="0.3">
      <c r="D473" s="104"/>
    </row>
    <row r="474" spans="4:4" x14ac:dyDescent="0.3">
      <c r="D474" s="104"/>
    </row>
    <row r="475" spans="4:4" x14ac:dyDescent="0.3">
      <c r="D475" s="104"/>
    </row>
    <row r="476" spans="4:4" x14ac:dyDescent="0.3">
      <c r="D476" s="104"/>
    </row>
    <row r="477" spans="4:4" x14ac:dyDescent="0.3">
      <c r="D477" s="104"/>
    </row>
    <row r="478" spans="4:4" x14ac:dyDescent="0.3">
      <c r="D478" s="104"/>
    </row>
    <row r="479" spans="4:4" x14ac:dyDescent="0.3">
      <c r="D479" s="104"/>
    </row>
    <row r="480" spans="4:4" x14ac:dyDescent="0.3">
      <c r="D480" s="104"/>
    </row>
    <row r="481" spans="4:4" x14ac:dyDescent="0.3">
      <c r="D481" s="104"/>
    </row>
    <row r="482" spans="4:4" x14ac:dyDescent="0.3">
      <c r="D482" s="104"/>
    </row>
    <row r="483" spans="4:4" x14ac:dyDescent="0.3">
      <c r="D483" s="104"/>
    </row>
    <row r="484" spans="4:4" x14ac:dyDescent="0.3">
      <c r="D484" s="104"/>
    </row>
    <row r="485" spans="4:4" x14ac:dyDescent="0.3">
      <c r="D485" s="104"/>
    </row>
    <row r="486" spans="4:4" x14ac:dyDescent="0.3">
      <c r="D486" s="104"/>
    </row>
    <row r="487" spans="4:4" x14ac:dyDescent="0.3">
      <c r="D487" s="104"/>
    </row>
    <row r="488" spans="4:4" x14ac:dyDescent="0.3">
      <c r="D488" s="104"/>
    </row>
    <row r="489" spans="4:4" x14ac:dyDescent="0.3">
      <c r="D489" s="104"/>
    </row>
    <row r="490" spans="4:4" x14ac:dyDescent="0.3">
      <c r="D490" s="104"/>
    </row>
    <row r="491" spans="4:4" x14ac:dyDescent="0.3">
      <c r="D491" s="104"/>
    </row>
    <row r="492" spans="4:4" x14ac:dyDescent="0.3">
      <c r="D492" s="104"/>
    </row>
    <row r="493" spans="4:4" x14ac:dyDescent="0.3">
      <c r="D493" s="104"/>
    </row>
    <row r="494" spans="4:4" x14ac:dyDescent="0.3">
      <c r="D494" s="104"/>
    </row>
    <row r="495" spans="4:4" x14ac:dyDescent="0.3">
      <c r="D495" s="104"/>
    </row>
    <row r="496" spans="4:4" x14ac:dyDescent="0.3">
      <c r="D496" s="104"/>
    </row>
    <row r="497" spans="4:4" x14ac:dyDescent="0.3">
      <c r="D497" s="104"/>
    </row>
    <row r="498" spans="4:4" x14ac:dyDescent="0.3">
      <c r="D498" s="104"/>
    </row>
    <row r="499" spans="4:4" x14ac:dyDescent="0.3">
      <c r="D499" s="104"/>
    </row>
    <row r="500" spans="4:4" x14ac:dyDescent="0.3">
      <c r="D500" s="104"/>
    </row>
    <row r="501" spans="4:4" x14ac:dyDescent="0.3">
      <c r="D501" s="104"/>
    </row>
    <row r="502" spans="4:4" x14ac:dyDescent="0.3">
      <c r="D502" s="104"/>
    </row>
    <row r="503" spans="4:4" x14ac:dyDescent="0.3">
      <c r="D503" s="104"/>
    </row>
    <row r="504" spans="4:4" x14ac:dyDescent="0.3">
      <c r="D504" s="104"/>
    </row>
    <row r="505" spans="4:4" x14ac:dyDescent="0.3">
      <c r="D505" s="104"/>
    </row>
    <row r="506" spans="4:4" x14ac:dyDescent="0.3">
      <c r="D506" s="104"/>
    </row>
    <row r="507" spans="4:4" x14ac:dyDescent="0.3">
      <c r="D507" s="104"/>
    </row>
    <row r="508" spans="4:4" x14ac:dyDescent="0.3">
      <c r="D508" s="104"/>
    </row>
    <row r="509" spans="4:4" x14ac:dyDescent="0.3">
      <c r="D509" s="104"/>
    </row>
    <row r="510" spans="4:4" x14ac:dyDescent="0.3">
      <c r="D510" s="104"/>
    </row>
    <row r="511" spans="4:4" x14ac:dyDescent="0.3">
      <c r="D511" s="104"/>
    </row>
    <row r="512" spans="4:4" x14ac:dyDescent="0.3">
      <c r="D512" s="104"/>
    </row>
    <row r="513" spans="4:4" x14ac:dyDescent="0.3">
      <c r="D513" s="104"/>
    </row>
    <row r="514" spans="4:4" x14ac:dyDescent="0.3">
      <c r="D514" s="104"/>
    </row>
    <row r="515" spans="4:4" x14ac:dyDescent="0.3">
      <c r="D515" s="104"/>
    </row>
    <row r="516" spans="4:4" x14ac:dyDescent="0.3">
      <c r="D516" s="104"/>
    </row>
    <row r="517" spans="4:4" x14ac:dyDescent="0.3">
      <c r="D517" s="104"/>
    </row>
    <row r="518" spans="4:4" x14ac:dyDescent="0.3">
      <c r="D518" s="104"/>
    </row>
    <row r="519" spans="4:4" x14ac:dyDescent="0.3">
      <c r="D519" s="104"/>
    </row>
    <row r="520" spans="4:4" x14ac:dyDescent="0.3">
      <c r="D520" s="104"/>
    </row>
    <row r="521" spans="4:4" x14ac:dyDescent="0.3">
      <c r="D521" s="104"/>
    </row>
    <row r="522" spans="4:4" x14ac:dyDescent="0.3">
      <c r="D522" s="104"/>
    </row>
    <row r="523" spans="4:4" x14ac:dyDescent="0.3">
      <c r="D523" s="104"/>
    </row>
    <row r="524" spans="4:4" x14ac:dyDescent="0.3">
      <c r="D524" s="104"/>
    </row>
    <row r="525" spans="4:4" x14ac:dyDescent="0.3">
      <c r="D525" s="104"/>
    </row>
    <row r="526" spans="4:4" x14ac:dyDescent="0.3">
      <c r="D526" s="104"/>
    </row>
    <row r="527" spans="4:4" x14ac:dyDescent="0.3">
      <c r="D527" s="104"/>
    </row>
    <row r="528" spans="4:4" x14ac:dyDescent="0.3">
      <c r="D528" s="104"/>
    </row>
    <row r="529" spans="4:4" x14ac:dyDescent="0.3">
      <c r="D529" s="104"/>
    </row>
    <row r="530" spans="4:4" x14ac:dyDescent="0.3">
      <c r="D530" s="104"/>
    </row>
    <row r="531" spans="4:4" x14ac:dyDescent="0.3">
      <c r="D531" s="104"/>
    </row>
    <row r="532" spans="4:4" x14ac:dyDescent="0.3">
      <c r="D532" s="104"/>
    </row>
    <row r="533" spans="4:4" x14ac:dyDescent="0.3">
      <c r="D533" s="104"/>
    </row>
    <row r="534" spans="4:4" x14ac:dyDescent="0.3">
      <c r="D534" s="104"/>
    </row>
    <row r="535" spans="4:4" x14ac:dyDescent="0.3">
      <c r="D535" s="104"/>
    </row>
    <row r="536" spans="4:4" x14ac:dyDescent="0.3">
      <c r="D536" s="104"/>
    </row>
    <row r="537" spans="4:4" x14ac:dyDescent="0.3">
      <c r="D537" s="104"/>
    </row>
    <row r="538" spans="4:4" x14ac:dyDescent="0.3">
      <c r="D538" s="104"/>
    </row>
    <row r="539" spans="4:4" x14ac:dyDescent="0.3">
      <c r="D539" s="104"/>
    </row>
    <row r="540" spans="4:4" x14ac:dyDescent="0.3">
      <c r="D540" s="104"/>
    </row>
    <row r="541" spans="4:4" x14ac:dyDescent="0.3">
      <c r="D541" s="104"/>
    </row>
    <row r="542" spans="4:4" x14ac:dyDescent="0.3">
      <c r="D542" s="104"/>
    </row>
    <row r="543" spans="4:4" x14ac:dyDescent="0.3">
      <c r="D543" s="104"/>
    </row>
    <row r="544" spans="4:4" x14ac:dyDescent="0.3">
      <c r="D544" s="104"/>
    </row>
    <row r="545" spans="4:4" x14ac:dyDescent="0.3">
      <c r="D545" s="104"/>
    </row>
    <row r="546" spans="4:4" x14ac:dyDescent="0.3">
      <c r="D546" s="104"/>
    </row>
    <row r="547" spans="4:4" x14ac:dyDescent="0.3">
      <c r="D547" s="104"/>
    </row>
    <row r="548" spans="4:4" x14ac:dyDescent="0.3">
      <c r="D548" s="104"/>
    </row>
    <row r="549" spans="4:4" x14ac:dyDescent="0.3">
      <c r="D549" s="104"/>
    </row>
    <row r="550" spans="4:4" x14ac:dyDescent="0.3">
      <c r="D550" s="104"/>
    </row>
    <row r="551" spans="4:4" x14ac:dyDescent="0.3">
      <c r="D551" s="104"/>
    </row>
    <row r="552" spans="4:4" x14ac:dyDescent="0.3">
      <c r="D552" s="104"/>
    </row>
    <row r="553" spans="4:4" x14ac:dyDescent="0.3">
      <c r="D553" s="104"/>
    </row>
    <row r="554" spans="4:4" x14ac:dyDescent="0.3">
      <c r="D554" s="104"/>
    </row>
    <row r="555" spans="4:4" x14ac:dyDescent="0.3">
      <c r="D555" s="104"/>
    </row>
    <row r="556" spans="4:4" x14ac:dyDescent="0.3">
      <c r="D556" s="104"/>
    </row>
    <row r="557" spans="4:4" x14ac:dyDescent="0.3">
      <c r="D557" s="104"/>
    </row>
    <row r="558" spans="4:4" x14ac:dyDescent="0.3">
      <c r="D558" s="104"/>
    </row>
    <row r="559" spans="4:4" x14ac:dyDescent="0.3">
      <c r="D559" s="104"/>
    </row>
    <row r="560" spans="4:4" x14ac:dyDescent="0.3">
      <c r="D560" s="104"/>
    </row>
    <row r="561" spans="4:4" x14ac:dyDescent="0.3">
      <c r="D561" s="104"/>
    </row>
    <row r="562" spans="4:4" x14ac:dyDescent="0.3">
      <c r="D562" s="104"/>
    </row>
    <row r="563" spans="4:4" x14ac:dyDescent="0.3">
      <c r="D563" s="104"/>
    </row>
    <row r="564" spans="4:4" x14ac:dyDescent="0.3">
      <c r="D564" s="104"/>
    </row>
    <row r="565" spans="4:4" x14ac:dyDescent="0.3">
      <c r="D565" s="104"/>
    </row>
    <row r="566" spans="4:4" x14ac:dyDescent="0.3">
      <c r="D566" s="104"/>
    </row>
    <row r="567" spans="4:4" x14ac:dyDescent="0.3">
      <c r="D567" s="104"/>
    </row>
    <row r="568" spans="4:4" x14ac:dyDescent="0.3">
      <c r="D568" s="104"/>
    </row>
    <row r="569" spans="4:4" x14ac:dyDescent="0.3">
      <c r="D569" s="104"/>
    </row>
    <row r="570" spans="4:4" x14ac:dyDescent="0.3">
      <c r="D570" s="104"/>
    </row>
    <row r="571" spans="4:4" x14ac:dyDescent="0.3">
      <c r="D571" s="104"/>
    </row>
    <row r="572" spans="4:4" x14ac:dyDescent="0.3">
      <c r="D572" s="104"/>
    </row>
    <row r="573" spans="4:4" x14ac:dyDescent="0.3">
      <c r="D573" s="104"/>
    </row>
    <row r="574" spans="4:4" x14ac:dyDescent="0.3">
      <c r="D574" s="104"/>
    </row>
    <row r="575" spans="4:4" x14ac:dyDescent="0.3">
      <c r="D575" s="104"/>
    </row>
    <row r="576" spans="4:4" x14ac:dyDescent="0.3">
      <c r="D576" s="104"/>
    </row>
    <row r="577" spans="4:4" x14ac:dyDescent="0.3">
      <c r="D577" s="104"/>
    </row>
    <row r="578" spans="4:4" x14ac:dyDescent="0.3">
      <c r="D578" s="104"/>
    </row>
    <row r="579" spans="4:4" x14ac:dyDescent="0.3">
      <c r="D579" s="104"/>
    </row>
    <row r="580" spans="4:4" x14ac:dyDescent="0.3">
      <c r="D580" s="104"/>
    </row>
    <row r="581" spans="4:4" x14ac:dyDescent="0.3">
      <c r="D581" s="104"/>
    </row>
    <row r="582" spans="4:4" x14ac:dyDescent="0.3">
      <c r="D582" s="104"/>
    </row>
    <row r="583" spans="4:4" x14ac:dyDescent="0.3">
      <c r="D583" s="104"/>
    </row>
    <row r="584" spans="4:4" x14ac:dyDescent="0.3">
      <c r="D584" s="104"/>
    </row>
    <row r="585" spans="4:4" x14ac:dyDescent="0.3">
      <c r="D585" s="104"/>
    </row>
    <row r="586" spans="4:4" x14ac:dyDescent="0.3">
      <c r="D586" s="104"/>
    </row>
    <row r="587" spans="4:4" x14ac:dyDescent="0.3">
      <c r="D587" s="104"/>
    </row>
    <row r="588" spans="4:4" x14ac:dyDescent="0.3">
      <c r="D588" s="104"/>
    </row>
    <row r="589" spans="4:4" x14ac:dyDescent="0.3">
      <c r="D589" s="104"/>
    </row>
    <row r="590" spans="4:4" x14ac:dyDescent="0.3">
      <c r="D590" s="104"/>
    </row>
    <row r="591" spans="4:4" x14ac:dyDescent="0.3">
      <c r="D591" s="104"/>
    </row>
    <row r="592" spans="4:4" x14ac:dyDescent="0.3">
      <c r="D592" s="104"/>
    </row>
    <row r="593" spans="4:4" x14ac:dyDescent="0.3">
      <c r="D593" s="104"/>
    </row>
    <row r="594" spans="4:4" x14ac:dyDescent="0.3">
      <c r="D594" s="104"/>
    </row>
    <row r="595" spans="4:4" x14ac:dyDescent="0.3">
      <c r="D595" s="104"/>
    </row>
    <row r="596" spans="4:4" x14ac:dyDescent="0.3">
      <c r="D596" s="104"/>
    </row>
    <row r="597" spans="4:4" x14ac:dyDescent="0.3">
      <c r="D597" s="104"/>
    </row>
    <row r="598" spans="4:4" x14ac:dyDescent="0.3">
      <c r="D598" s="104"/>
    </row>
    <row r="599" spans="4:4" x14ac:dyDescent="0.3">
      <c r="D599" s="104"/>
    </row>
    <row r="600" spans="4:4" x14ac:dyDescent="0.3">
      <c r="D600" s="104"/>
    </row>
    <row r="601" spans="4:4" x14ac:dyDescent="0.3">
      <c r="D601" s="104"/>
    </row>
    <row r="602" spans="4:4" x14ac:dyDescent="0.3">
      <c r="D602" s="104"/>
    </row>
    <row r="603" spans="4:4" x14ac:dyDescent="0.3">
      <c r="D603" s="104"/>
    </row>
    <row r="604" spans="4:4" x14ac:dyDescent="0.3">
      <c r="D604" s="104"/>
    </row>
    <row r="605" spans="4:4" x14ac:dyDescent="0.3">
      <c r="D605" s="104"/>
    </row>
    <row r="606" spans="4:4" x14ac:dyDescent="0.3">
      <c r="D606" s="104"/>
    </row>
    <row r="607" spans="4:4" x14ac:dyDescent="0.3">
      <c r="D607" s="104"/>
    </row>
    <row r="608" spans="4:4" x14ac:dyDescent="0.3">
      <c r="D608" s="104"/>
    </row>
    <row r="609" spans="4:4" x14ac:dyDescent="0.3">
      <c r="D609" s="104"/>
    </row>
    <row r="610" spans="4:4" x14ac:dyDescent="0.3">
      <c r="D610" s="104"/>
    </row>
    <row r="611" spans="4:4" x14ac:dyDescent="0.3">
      <c r="D611" s="104"/>
    </row>
    <row r="612" spans="4:4" x14ac:dyDescent="0.3">
      <c r="D612" s="104"/>
    </row>
    <row r="613" spans="4:4" x14ac:dyDescent="0.3">
      <c r="D613" s="104"/>
    </row>
    <row r="614" spans="4:4" x14ac:dyDescent="0.3">
      <c r="D614" s="104"/>
    </row>
    <row r="615" spans="4:4" x14ac:dyDescent="0.3">
      <c r="D615" s="104"/>
    </row>
    <row r="616" spans="4:4" x14ac:dyDescent="0.3">
      <c r="D616" s="104"/>
    </row>
    <row r="617" spans="4:4" x14ac:dyDescent="0.3">
      <c r="D617" s="104"/>
    </row>
    <row r="618" spans="4:4" x14ac:dyDescent="0.3">
      <c r="D618" s="104"/>
    </row>
    <row r="619" spans="4:4" x14ac:dyDescent="0.3">
      <c r="D619" s="104"/>
    </row>
    <row r="620" spans="4:4" x14ac:dyDescent="0.3">
      <c r="D620" s="104"/>
    </row>
    <row r="621" spans="4:4" x14ac:dyDescent="0.3">
      <c r="D621" s="104"/>
    </row>
    <row r="622" spans="4:4" x14ac:dyDescent="0.3">
      <c r="D622" s="104"/>
    </row>
    <row r="623" spans="4:4" x14ac:dyDescent="0.3">
      <c r="D623" s="104"/>
    </row>
    <row r="624" spans="4:4" x14ac:dyDescent="0.3">
      <c r="D624" s="104"/>
    </row>
    <row r="625" spans="4:4" x14ac:dyDescent="0.3">
      <c r="D625" s="104"/>
    </row>
    <row r="626" spans="4:4" x14ac:dyDescent="0.3">
      <c r="D626" s="104"/>
    </row>
    <row r="627" spans="4:4" x14ac:dyDescent="0.3">
      <c r="D627" s="104"/>
    </row>
    <row r="628" spans="4:4" x14ac:dyDescent="0.3">
      <c r="D628" s="104"/>
    </row>
    <row r="629" spans="4:4" x14ac:dyDescent="0.3">
      <c r="D629" s="104"/>
    </row>
    <row r="630" spans="4:4" x14ac:dyDescent="0.3">
      <c r="D630" s="104"/>
    </row>
    <row r="631" spans="4:4" x14ac:dyDescent="0.3">
      <c r="D631" s="104"/>
    </row>
    <row r="632" spans="4:4" x14ac:dyDescent="0.3">
      <c r="D632" s="104"/>
    </row>
    <row r="633" spans="4:4" x14ac:dyDescent="0.3">
      <c r="D633" s="104"/>
    </row>
    <row r="634" spans="4:4" x14ac:dyDescent="0.3">
      <c r="D634" s="104"/>
    </row>
    <row r="635" spans="4:4" x14ac:dyDescent="0.3">
      <c r="D635" s="104"/>
    </row>
    <row r="636" spans="4:4" x14ac:dyDescent="0.3">
      <c r="D636" s="104"/>
    </row>
    <row r="637" spans="4:4" x14ac:dyDescent="0.3">
      <c r="D637" s="104"/>
    </row>
    <row r="638" spans="4:4" x14ac:dyDescent="0.3">
      <c r="D638" s="104"/>
    </row>
    <row r="639" spans="4:4" x14ac:dyDescent="0.3">
      <c r="D639" s="104"/>
    </row>
    <row r="640" spans="4:4" x14ac:dyDescent="0.3">
      <c r="D640" s="104"/>
    </row>
    <row r="641" spans="4:4" x14ac:dyDescent="0.3">
      <c r="D641" s="104"/>
    </row>
    <row r="642" spans="4:4" x14ac:dyDescent="0.3">
      <c r="D642" s="104"/>
    </row>
    <row r="643" spans="4:4" x14ac:dyDescent="0.3">
      <c r="D643" s="104"/>
    </row>
    <row r="644" spans="4:4" x14ac:dyDescent="0.3">
      <c r="D644" s="104"/>
    </row>
    <row r="645" spans="4:4" x14ac:dyDescent="0.3">
      <c r="D645" s="104"/>
    </row>
    <row r="646" spans="4:4" x14ac:dyDescent="0.3">
      <c r="D646" s="104"/>
    </row>
    <row r="647" spans="4:4" x14ac:dyDescent="0.3">
      <c r="D647" s="104"/>
    </row>
    <row r="648" spans="4:4" x14ac:dyDescent="0.3">
      <c r="D648" s="104"/>
    </row>
    <row r="649" spans="4:4" x14ac:dyDescent="0.3">
      <c r="D649" s="104"/>
    </row>
    <row r="650" spans="4:4" x14ac:dyDescent="0.3">
      <c r="D650" s="104"/>
    </row>
    <row r="651" spans="4:4" x14ac:dyDescent="0.3">
      <c r="D651" s="104"/>
    </row>
    <row r="652" spans="4:4" x14ac:dyDescent="0.3">
      <c r="D652" s="104"/>
    </row>
    <row r="653" spans="4:4" x14ac:dyDescent="0.3">
      <c r="D653" s="104"/>
    </row>
    <row r="654" spans="4:4" x14ac:dyDescent="0.3">
      <c r="D654" s="104"/>
    </row>
    <row r="655" spans="4:4" x14ac:dyDescent="0.3">
      <c r="D655" s="104"/>
    </row>
    <row r="656" spans="4:4" x14ac:dyDescent="0.3">
      <c r="D656" s="104"/>
    </row>
    <row r="657" spans="4:4" x14ac:dyDescent="0.3">
      <c r="D657" s="104"/>
    </row>
    <row r="658" spans="4:4" x14ac:dyDescent="0.3">
      <c r="D658" s="104"/>
    </row>
    <row r="659" spans="4:4" x14ac:dyDescent="0.3">
      <c r="D659" s="104"/>
    </row>
    <row r="660" spans="4:4" x14ac:dyDescent="0.3">
      <c r="D660" s="104"/>
    </row>
    <row r="661" spans="4:4" x14ac:dyDescent="0.3">
      <c r="D661" s="104"/>
    </row>
    <row r="662" spans="4:4" x14ac:dyDescent="0.3">
      <c r="D662" s="104"/>
    </row>
    <row r="663" spans="4:4" x14ac:dyDescent="0.3">
      <c r="D663" s="104"/>
    </row>
    <row r="664" spans="4:4" x14ac:dyDescent="0.3">
      <c r="D664" s="104"/>
    </row>
    <row r="665" spans="4:4" x14ac:dyDescent="0.3">
      <c r="D665" s="104"/>
    </row>
    <row r="666" spans="4:4" x14ac:dyDescent="0.3">
      <c r="D666" s="104"/>
    </row>
    <row r="667" spans="4:4" x14ac:dyDescent="0.3">
      <c r="D667" s="104"/>
    </row>
    <row r="668" spans="4:4" x14ac:dyDescent="0.3">
      <c r="D668" s="104"/>
    </row>
    <row r="669" spans="4:4" x14ac:dyDescent="0.3">
      <c r="D669" s="104"/>
    </row>
    <row r="670" spans="4:4" x14ac:dyDescent="0.3">
      <c r="D670" s="104"/>
    </row>
    <row r="671" spans="4:4" x14ac:dyDescent="0.3">
      <c r="D671" s="104"/>
    </row>
    <row r="672" spans="4:4" x14ac:dyDescent="0.3">
      <c r="D672" s="104"/>
    </row>
    <row r="673" spans="4:4" x14ac:dyDescent="0.3">
      <c r="D673" s="104"/>
    </row>
    <row r="674" spans="4:4" x14ac:dyDescent="0.3">
      <c r="D674" s="104"/>
    </row>
    <row r="675" spans="4:4" x14ac:dyDescent="0.3">
      <c r="D675" s="104"/>
    </row>
    <row r="676" spans="4:4" x14ac:dyDescent="0.3">
      <c r="D676" s="104"/>
    </row>
    <row r="677" spans="4:4" x14ac:dyDescent="0.3">
      <c r="D677" s="104"/>
    </row>
    <row r="678" spans="4:4" x14ac:dyDescent="0.3">
      <c r="D678" s="104"/>
    </row>
    <row r="679" spans="4:4" x14ac:dyDescent="0.3">
      <c r="D679" s="104"/>
    </row>
    <row r="680" spans="4:4" x14ac:dyDescent="0.3">
      <c r="D680" s="104"/>
    </row>
    <row r="681" spans="4:4" x14ac:dyDescent="0.3">
      <c r="D681" s="104"/>
    </row>
    <row r="682" spans="4:4" x14ac:dyDescent="0.3">
      <c r="D682" s="104"/>
    </row>
    <row r="683" spans="4:4" x14ac:dyDescent="0.3">
      <c r="D683" s="104"/>
    </row>
    <row r="684" spans="4:4" x14ac:dyDescent="0.3">
      <c r="D684" s="104"/>
    </row>
    <row r="685" spans="4:4" x14ac:dyDescent="0.3">
      <c r="D685" s="104"/>
    </row>
    <row r="686" spans="4:4" x14ac:dyDescent="0.3">
      <c r="D686" s="104"/>
    </row>
    <row r="687" spans="4:4" x14ac:dyDescent="0.3">
      <c r="D687" s="104"/>
    </row>
    <row r="688" spans="4:4" x14ac:dyDescent="0.3">
      <c r="D688" s="104"/>
    </row>
    <row r="689" spans="4:4" x14ac:dyDescent="0.3">
      <c r="D689" s="104"/>
    </row>
    <row r="690" spans="4:4" x14ac:dyDescent="0.3">
      <c r="D690" s="104"/>
    </row>
    <row r="691" spans="4:4" x14ac:dyDescent="0.3">
      <c r="D691" s="104"/>
    </row>
    <row r="692" spans="4:4" x14ac:dyDescent="0.3">
      <c r="D692" s="104"/>
    </row>
    <row r="693" spans="4:4" x14ac:dyDescent="0.3">
      <c r="D693" s="104"/>
    </row>
    <row r="694" spans="4:4" x14ac:dyDescent="0.3">
      <c r="D694" s="104"/>
    </row>
    <row r="695" spans="4:4" x14ac:dyDescent="0.3">
      <c r="D695" s="104"/>
    </row>
    <row r="696" spans="4:4" x14ac:dyDescent="0.3">
      <c r="D696" s="104"/>
    </row>
    <row r="697" spans="4:4" x14ac:dyDescent="0.3">
      <c r="D697" s="104"/>
    </row>
    <row r="698" spans="4:4" x14ac:dyDescent="0.3">
      <c r="D698" s="104"/>
    </row>
    <row r="699" spans="4:4" x14ac:dyDescent="0.3">
      <c r="D699" s="104"/>
    </row>
    <row r="700" spans="4:4" x14ac:dyDescent="0.3">
      <c r="D700" s="104"/>
    </row>
    <row r="701" spans="4:4" x14ac:dyDescent="0.3">
      <c r="D701" s="104"/>
    </row>
    <row r="702" spans="4:4" x14ac:dyDescent="0.3">
      <c r="D702" s="104"/>
    </row>
    <row r="703" spans="4:4" x14ac:dyDescent="0.3">
      <c r="D703" s="104"/>
    </row>
    <row r="704" spans="4:4" x14ac:dyDescent="0.3">
      <c r="D704" s="104"/>
    </row>
    <row r="705" spans="4:4" x14ac:dyDescent="0.3">
      <c r="D705" s="104"/>
    </row>
    <row r="706" spans="4:4" x14ac:dyDescent="0.3">
      <c r="D706" s="104"/>
    </row>
    <row r="707" spans="4:4" x14ac:dyDescent="0.3">
      <c r="D707" s="104"/>
    </row>
    <row r="708" spans="4:4" x14ac:dyDescent="0.3">
      <c r="D708" s="104"/>
    </row>
    <row r="709" spans="4:4" x14ac:dyDescent="0.3">
      <c r="D709" s="104"/>
    </row>
    <row r="710" spans="4:4" x14ac:dyDescent="0.3">
      <c r="D710" s="104"/>
    </row>
    <row r="711" spans="4:4" x14ac:dyDescent="0.3">
      <c r="D711" s="104"/>
    </row>
    <row r="712" spans="4:4" x14ac:dyDescent="0.3">
      <c r="D712" s="104"/>
    </row>
    <row r="713" spans="4:4" x14ac:dyDescent="0.3">
      <c r="D713" s="104"/>
    </row>
    <row r="714" spans="4:4" x14ac:dyDescent="0.3">
      <c r="D714" s="104"/>
    </row>
    <row r="715" spans="4:4" x14ac:dyDescent="0.3">
      <c r="D715" s="104"/>
    </row>
    <row r="716" spans="4:4" x14ac:dyDescent="0.3">
      <c r="D716" s="104"/>
    </row>
    <row r="717" spans="4:4" x14ac:dyDescent="0.3">
      <c r="D717" s="104"/>
    </row>
    <row r="718" spans="4:4" x14ac:dyDescent="0.3">
      <c r="D718" s="104"/>
    </row>
    <row r="719" spans="4:4" x14ac:dyDescent="0.3">
      <c r="D719" s="104"/>
    </row>
    <row r="720" spans="4:4" x14ac:dyDescent="0.3">
      <c r="D720" s="104"/>
    </row>
    <row r="721" spans="4:4" x14ac:dyDescent="0.3">
      <c r="D721" s="104"/>
    </row>
    <row r="722" spans="4:4" x14ac:dyDescent="0.3">
      <c r="D722" s="104"/>
    </row>
    <row r="723" spans="4:4" x14ac:dyDescent="0.3">
      <c r="D723" s="104"/>
    </row>
    <row r="724" spans="4:4" x14ac:dyDescent="0.3">
      <c r="D724" s="104"/>
    </row>
    <row r="725" spans="4:4" x14ac:dyDescent="0.3">
      <c r="D725" s="104"/>
    </row>
    <row r="726" spans="4:4" x14ac:dyDescent="0.3">
      <c r="D726" s="104"/>
    </row>
    <row r="727" spans="4:4" x14ac:dyDescent="0.3">
      <c r="D727" s="104"/>
    </row>
    <row r="728" spans="4:4" x14ac:dyDescent="0.3">
      <c r="D728" s="104"/>
    </row>
    <row r="729" spans="4:4" x14ac:dyDescent="0.3">
      <c r="D729" s="104"/>
    </row>
    <row r="730" spans="4:4" x14ac:dyDescent="0.3">
      <c r="D730" s="104"/>
    </row>
    <row r="731" spans="4:4" x14ac:dyDescent="0.3">
      <c r="D731" s="104"/>
    </row>
    <row r="732" spans="4:4" x14ac:dyDescent="0.3">
      <c r="D732" s="104"/>
    </row>
    <row r="733" spans="4:4" x14ac:dyDescent="0.3">
      <c r="D733" s="104"/>
    </row>
    <row r="734" spans="4:4" x14ac:dyDescent="0.3">
      <c r="D734" s="104"/>
    </row>
    <row r="735" spans="4:4" x14ac:dyDescent="0.3">
      <c r="D735" s="104"/>
    </row>
    <row r="736" spans="4:4" x14ac:dyDescent="0.3">
      <c r="D736" s="104"/>
    </row>
    <row r="737" spans="4:4" x14ac:dyDescent="0.3">
      <c r="D737" s="104"/>
    </row>
    <row r="738" spans="4:4" x14ac:dyDescent="0.3">
      <c r="D738" s="104"/>
    </row>
    <row r="739" spans="4:4" x14ac:dyDescent="0.3">
      <c r="D739" s="104"/>
    </row>
    <row r="740" spans="4:4" x14ac:dyDescent="0.3">
      <c r="D740" s="104"/>
    </row>
    <row r="741" spans="4:4" x14ac:dyDescent="0.3">
      <c r="D741" s="104"/>
    </row>
    <row r="742" spans="4:4" x14ac:dyDescent="0.3">
      <c r="D742" s="104"/>
    </row>
    <row r="743" spans="4:4" x14ac:dyDescent="0.3">
      <c r="D743" s="104"/>
    </row>
    <row r="744" spans="4:4" x14ac:dyDescent="0.3">
      <c r="D744" s="104"/>
    </row>
    <row r="745" spans="4:4" x14ac:dyDescent="0.3">
      <c r="D745" s="104"/>
    </row>
    <row r="746" spans="4:4" x14ac:dyDescent="0.3">
      <c r="D746" s="104"/>
    </row>
    <row r="747" spans="4:4" x14ac:dyDescent="0.3">
      <c r="D747" s="104"/>
    </row>
    <row r="748" spans="4:4" x14ac:dyDescent="0.3">
      <c r="D748" s="104"/>
    </row>
    <row r="749" spans="4:4" x14ac:dyDescent="0.3">
      <c r="D749" s="104"/>
    </row>
    <row r="750" spans="4:4" x14ac:dyDescent="0.3">
      <c r="D750" s="104"/>
    </row>
    <row r="751" spans="4:4" x14ac:dyDescent="0.3">
      <c r="D751" s="104"/>
    </row>
    <row r="752" spans="4:4" x14ac:dyDescent="0.3">
      <c r="D752" s="104"/>
    </row>
    <row r="753" spans="4:4" x14ac:dyDescent="0.3">
      <c r="D753" s="104"/>
    </row>
    <row r="754" spans="4:4" x14ac:dyDescent="0.3">
      <c r="D754" s="104"/>
    </row>
    <row r="755" spans="4:4" x14ac:dyDescent="0.3">
      <c r="D755" s="104"/>
    </row>
    <row r="756" spans="4:4" x14ac:dyDescent="0.3">
      <c r="D756" s="104"/>
    </row>
    <row r="757" spans="4:4" x14ac:dyDescent="0.3">
      <c r="D757" s="104"/>
    </row>
    <row r="758" spans="4:4" x14ac:dyDescent="0.3">
      <c r="D758" s="104"/>
    </row>
    <row r="759" spans="4:4" x14ac:dyDescent="0.3">
      <c r="D759" s="104"/>
    </row>
    <row r="760" spans="4:4" x14ac:dyDescent="0.3">
      <c r="D760" s="104"/>
    </row>
    <row r="761" spans="4:4" x14ac:dyDescent="0.3">
      <c r="D761" s="104"/>
    </row>
    <row r="762" spans="4:4" x14ac:dyDescent="0.3">
      <c r="D762" s="104"/>
    </row>
    <row r="763" spans="4:4" x14ac:dyDescent="0.3">
      <c r="D763" s="104"/>
    </row>
    <row r="764" spans="4:4" x14ac:dyDescent="0.3">
      <c r="D764" s="104"/>
    </row>
    <row r="765" spans="4:4" x14ac:dyDescent="0.3">
      <c r="D765" s="104"/>
    </row>
    <row r="766" spans="4:4" x14ac:dyDescent="0.3">
      <c r="D766" s="104"/>
    </row>
    <row r="767" spans="4:4" x14ac:dyDescent="0.3">
      <c r="D767" s="104"/>
    </row>
    <row r="768" spans="4:4" x14ac:dyDescent="0.3">
      <c r="D768" s="104"/>
    </row>
    <row r="769" spans="4:4" x14ac:dyDescent="0.3">
      <c r="D769" s="104"/>
    </row>
    <row r="770" spans="4:4" x14ac:dyDescent="0.3">
      <c r="D770" s="104"/>
    </row>
    <row r="771" spans="4:4" x14ac:dyDescent="0.3">
      <c r="D771" s="104"/>
    </row>
    <row r="772" spans="4:4" x14ac:dyDescent="0.3">
      <c r="D772" s="104"/>
    </row>
    <row r="773" spans="4:4" x14ac:dyDescent="0.3">
      <c r="D773" s="104"/>
    </row>
    <row r="774" spans="4:4" x14ac:dyDescent="0.3">
      <c r="D774" s="104"/>
    </row>
    <row r="775" spans="4:4" x14ac:dyDescent="0.3">
      <c r="D775" s="104"/>
    </row>
    <row r="776" spans="4:4" x14ac:dyDescent="0.3">
      <c r="D776" s="104"/>
    </row>
    <row r="777" spans="4:4" x14ac:dyDescent="0.3">
      <c r="D777" s="104"/>
    </row>
    <row r="778" spans="4:4" x14ac:dyDescent="0.3">
      <c r="D778" s="104"/>
    </row>
    <row r="779" spans="4:4" x14ac:dyDescent="0.3">
      <c r="D779" s="104"/>
    </row>
    <row r="780" spans="4:4" x14ac:dyDescent="0.3">
      <c r="D780" s="104"/>
    </row>
    <row r="781" spans="4:4" x14ac:dyDescent="0.3">
      <c r="D781" s="104"/>
    </row>
    <row r="782" spans="4:4" x14ac:dyDescent="0.3">
      <c r="D782" s="104"/>
    </row>
    <row r="783" spans="4:4" x14ac:dyDescent="0.3">
      <c r="D783" s="104"/>
    </row>
    <row r="784" spans="4:4" x14ac:dyDescent="0.3">
      <c r="D784" s="104"/>
    </row>
    <row r="785" spans="4:4" x14ac:dyDescent="0.3">
      <c r="D785" s="104"/>
    </row>
    <row r="786" spans="4:4" x14ac:dyDescent="0.3">
      <c r="D786" s="104"/>
    </row>
    <row r="787" spans="4:4" x14ac:dyDescent="0.3">
      <c r="D787" s="104"/>
    </row>
    <row r="788" spans="4:4" x14ac:dyDescent="0.3">
      <c r="D788" s="104"/>
    </row>
    <row r="789" spans="4:4" x14ac:dyDescent="0.3">
      <c r="D789" s="104"/>
    </row>
    <row r="790" spans="4:4" x14ac:dyDescent="0.3">
      <c r="D790" s="104"/>
    </row>
    <row r="791" spans="4:4" x14ac:dyDescent="0.3">
      <c r="D791" s="104"/>
    </row>
    <row r="792" spans="4:4" x14ac:dyDescent="0.3">
      <c r="D792" s="104"/>
    </row>
    <row r="793" spans="4:4" x14ac:dyDescent="0.3">
      <c r="D793" s="104"/>
    </row>
    <row r="794" spans="4:4" x14ac:dyDescent="0.3">
      <c r="D794" s="104"/>
    </row>
    <row r="795" spans="4:4" x14ac:dyDescent="0.3">
      <c r="D795" s="104"/>
    </row>
    <row r="796" spans="4:4" x14ac:dyDescent="0.3">
      <c r="D796" s="104"/>
    </row>
    <row r="797" spans="4:4" x14ac:dyDescent="0.3">
      <c r="D797" s="104"/>
    </row>
    <row r="798" spans="4:4" x14ac:dyDescent="0.3">
      <c r="D798" s="104"/>
    </row>
    <row r="799" spans="4:4" x14ac:dyDescent="0.3">
      <c r="D799" s="104"/>
    </row>
    <row r="800" spans="4:4" x14ac:dyDescent="0.3">
      <c r="D800" s="104"/>
    </row>
    <row r="801" spans="4:4" x14ac:dyDescent="0.3">
      <c r="D801" s="104"/>
    </row>
    <row r="802" spans="4:4" x14ac:dyDescent="0.3">
      <c r="D802" s="104"/>
    </row>
    <row r="803" spans="4:4" x14ac:dyDescent="0.3">
      <c r="D803" s="104"/>
    </row>
    <row r="804" spans="4:4" x14ac:dyDescent="0.3">
      <c r="D804" s="104"/>
    </row>
    <row r="805" spans="4:4" x14ac:dyDescent="0.3">
      <c r="D805" s="104"/>
    </row>
    <row r="806" spans="4:4" x14ac:dyDescent="0.3">
      <c r="D806" s="104"/>
    </row>
    <row r="807" spans="4:4" x14ac:dyDescent="0.3">
      <c r="D807" s="104"/>
    </row>
    <row r="808" spans="4:4" x14ac:dyDescent="0.3">
      <c r="D808" s="104"/>
    </row>
    <row r="809" spans="4:4" x14ac:dyDescent="0.3">
      <c r="D809" s="104"/>
    </row>
    <row r="810" spans="4:4" x14ac:dyDescent="0.3">
      <c r="D810" s="104"/>
    </row>
    <row r="811" spans="4:4" x14ac:dyDescent="0.3">
      <c r="D811" s="104"/>
    </row>
    <row r="812" spans="4:4" x14ac:dyDescent="0.3">
      <c r="D812" s="104"/>
    </row>
    <row r="813" spans="4:4" x14ac:dyDescent="0.3">
      <c r="D813" s="104"/>
    </row>
    <row r="814" spans="4:4" x14ac:dyDescent="0.3">
      <c r="D814" s="104"/>
    </row>
    <row r="815" spans="4:4" x14ac:dyDescent="0.3">
      <c r="D815" s="104"/>
    </row>
    <row r="816" spans="4:4" x14ac:dyDescent="0.3">
      <c r="D816" s="104"/>
    </row>
    <row r="817" spans="4:4" x14ac:dyDescent="0.3">
      <c r="D817" s="104"/>
    </row>
    <row r="818" spans="4:4" x14ac:dyDescent="0.3">
      <c r="D818" s="104"/>
    </row>
    <row r="819" spans="4:4" x14ac:dyDescent="0.3">
      <c r="D819" s="104"/>
    </row>
    <row r="820" spans="4:4" x14ac:dyDescent="0.3">
      <c r="D820" s="104"/>
    </row>
    <row r="821" spans="4:4" x14ac:dyDescent="0.3">
      <c r="D821" s="104"/>
    </row>
    <row r="822" spans="4:4" x14ac:dyDescent="0.3">
      <c r="D822" s="104"/>
    </row>
    <row r="823" spans="4:4" x14ac:dyDescent="0.3">
      <c r="D823" s="104"/>
    </row>
    <row r="824" spans="4:4" x14ac:dyDescent="0.3">
      <c r="D824" s="104"/>
    </row>
    <row r="825" spans="4:4" x14ac:dyDescent="0.3">
      <c r="D825" s="104"/>
    </row>
    <row r="826" spans="4:4" x14ac:dyDescent="0.3">
      <c r="D826" s="104"/>
    </row>
    <row r="827" spans="4:4" x14ac:dyDescent="0.3">
      <c r="D827" s="104"/>
    </row>
    <row r="828" spans="4:4" x14ac:dyDescent="0.3">
      <c r="D828" s="104"/>
    </row>
    <row r="829" spans="4:4" x14ac:dyDescent="0.3">
      <c r="D829" s="104"/>
    </row>
    <row r="830" spans="4:4" x14ac:dyDescent="0.3">
      <c r="D830" s="104"/>
    </row>
    <row r="831" spans="4:4" x14ac:dyDescent="0.3">
      <c r="D831" s="104"/>
    </row>
    <row r="832" spans="4:4" x14ac:dyDescent="0.3">
      <c r="D832" s="104"/>
    </row>
    <row r="833" spans="4:4" x14ac:dyDescent="0.3">
      <c r="D833" s="104"/>
    </row>
    <row r="834" spans="4:4" x14ac:dyDescent="0.3">
      <c r="D834" s="104"/>
    </row>
    <row r="835" spans="4:4" x14ac:dyDescent="0.3">
      <c r="D835" s="104"/>
    </row>
    <row r="836" spans="4:4" x14ac:dyDescent="0.3">
      <c r="D836" s="104"/>
    </row>
    <row r="837" spans="4:4" x14ac:dyDescent="0.3">
      <c r="D837" s="104"/>
    </row>
    <row r="838" spans="4:4" x14ac:dyDescent="0.3">
      <c r="D838" s="104"/>
    </row>
    <row r="839" spans="4:4" x14ac:dyDescent="0.3">
      <c r="D839" s="104"/>
    </row>
    <row r="840" spans="4:4" x14ac:dyDescent="0.3">
      <c r="D840" s="104"/>
    </row>
    <row r="841" spans="4:4" x14ac:dyDescent="0.3">
      <c r="D841" s="104"/>
    </row>
    <row r="842" spans="4:4" x14ac:dyDescent="0.3">
      <c r="D842" s="104"/>
    </row>
    <row r="843" spans="4:4" x14ac:dyDescent="0.3">
      <c r="D843" s="104"/>
    </row>
    <row r="844" spans="4:4" x14ac:dyDescent="0.3">
      <c r="D844" s="104"/>
    </row>
    <row r="845" spans="4:4" x14ac:dyDescent="0.3">
      <c r="D845" s="104"/>
    </row>
    <row r="846" spans="4:4" x14ac:dyDescent="0.3">
      <c r="D846" s="104"/>
    </row>
    <row r="847" spans="4:4" x14ac:dyDescent="0.3">
      <c r="D847" s="104"/>
    </row>
    <row r="848" spans="4:4" x14ac:dyDescent="0.3">
      <c r="D848" s="104"/>
    </row>
    <row r="849" spans="4:4" x14ac:dyDescent="0.3">
      <c r="D849" s="104"/>
    </row>
    <row r="850" spans="4:4" x14ac:dyDescent="0.3">
      <c r="D850" s="104"/>
    </row>
    <row r="851" spans="4:4" x14ac:dyDescent="0.3">
      <c r="D851" s="104"/>
    </row>
    <row r="852" spans="4:4" x14ac:dyDescent="0.3">
      <c r="D852" s="104"/>
    </row>
    <row r="853" spans="4:4" x14ac:dyDescent="0.3">
      <c r="D853" s="104"/>
    </row>
    <row r="854" spans="4:4" x14ac:dyDescent="0.3">
      <c r="D854" s="104"/>
    </row>
    <row r="855" spans="4:4" x14ac:dyDescent="0.3">
      <c r="D855" s="104"/>
    </row>
    <row r="856" spans="4:4" x14ac:dyDescent="0.3">
      <c r="D856" s="104"/>
    </row>
    <row r="857" spans="4:4" x14ac:dyDescent="0.3">
      <c r="D857" s="104"/>
    </row>
    <row r="858" spans="4:4" x14ac:dyDescent="0.3">
      <c r="D858" s="104"/>
    </row>
    <row r="859" spans="4:4" x14ac:dyDescent="0.3">
      <c r="D859" s="104"/>
    </row>
    <row r="860" spans="4:4" x14ac:dyDescent="0.3">
      <c r="D860" s="104"/>
    </row>
    <row r="861" spans="4:4" x14ac:dyDescent="0.3">
      <c r="D861" s="104"/>
    </row>
    <row r="862" spans="4:4" x14ac:dyDescent="0.3">
      <c r="D862" s="104"/>
    </row>
    <row r="863" spans="4:4" x14ac:dyDescent="0.3">
      <c r="D863" s="104"/>
    </row>
    <row r="864" spans="4:4" x14ac:dyDescent="0.3">
      <c r="D864" s="104"/>
    </row>
    <row r="865" spans="4:4" x14ac:dyDescent="0.3">
      <c r="D865" s="104"/>
    </row>
    <row r="866" spans="4:4" x14ac:dyDescent="0.3">
      <c r="D866" s="104"/>
    </row>
    <row r="867" spans="4:4" x14ac:dyDescent="0.3">
      <c r="D867" s="104"/>
    </row>
    <row r="868" spans="4:4" x14ac:dyDescent="0.3">
      <c r="D868" s="104"/>
    </row>
    <row r="869" spans="4:4" x14ac:dyDescent="0.3">
      <c r="D869" s="104"/>
    </row>
    <row r="870" spans="4:4" x14ac:dyDescent="0.3">
      <c r="D870" s="104"/>
    </row>
    <row r="871" spans="4:4" x14ac:dyDescent="0.3">
      <c r="D871" s="104"/>
    </row>
    <row r="872" spans="4:4" x14ac:dyDescent="0.3">
      <c r="D872" s="104"/>
    </row>
    <row r="873" spans="4:4" x14ac:dyDescent="0.3">
      <c r="D873" s="104"/>
    </row>
    <row r="874" spans="4:4" x14ac:dyDescent="0.3">
      <c r="D874" s="104"/>
    </row>
    <row r="875" spans="4:4" x14ac:dyDescent="0.3">
      <c r="D875" s="104"/>
    </row>
    <row r="876" spans="4:4" x14ac:dyDescent="0.3">
      <c r="D876" s="104"/>
    </row>
    <row r="877" spans="4:4" x14ac:dyDescent="0.3">
      <c r="D877" s="104"/>
    </row>
    <row r="878" spans="4:4" x14ac:dyDescent="0.3">
      <c r="D878" s="104"/>
    </row>
    <row r="879" spans="4:4" x14ac:dyDescent="0.3">
      <c r="D879" s="104"/>
    </row>
    <row r="880" spans="4:4" x14ac:dyDescent="0.3">
      <c r="D880" s="104"/>
    </row>
    <row r="881" spans="4:4" x14ac:dyDescent="0.3">
      <c r="D881" s="104"/>
    </row>
    <row r="882" spans="4:4" x14ac:dyDescent="0.3">
      <c r="D882" s="104"/>
    </row>
    <row r="883" spans="4:4" x14ac:dyDescent="0.3">
      <c r="D883" s="104"/>
    </row>
    <row r="884" spans="4:4" x14ac:dyDescent="0.3">
      <c r="D884" s="104"/>
    </row>
    <row r="885" spans="4:4" x14ac:dyDescent="0.3">
      <c r="D885" s="104"/>
    </row>
    <row r="886" spans="4:4" x14ac:dyDescent="0.3">
      <c r="D886" s="104"/>
    </row>
    <row r="887" spans="4:4" x14ac:dyDescent="0.3">
      <c r="D887" s="104"/>
    </row>
    <row r="888" spans="4:4" x14ac:dyDescent="0.3">
      <c r="D888" s="104"/>
    </row>
    <row r="889" spans="4:4" x14ac:dyDescent="0.3">
      <c r="D889" s="104"/>
    </row>
    <row r="890" spans="4:4" x14ac:dyDescent="0.3">
      <c r="D890" s="104"/>
    </row>
    <row r="891" spans="4:4" x14ac:dyDescent="0.3">
      <c r="D891" s="104"/>
    </row>
    <row r="892" spans="4:4" x14ac:dyDescent="0.3">
      <c r="D892" s="104"/>
    </row>
    <row r="893" spans="4:4" x14ac:dyDescent="0.3">
      <c r="D893" s="104"/>
    </row>
    <row r="894" spans="4:4" x14ac:dyDescent="0.3">
      <c r="D894" s="104"/>
    </row>
    <row r="895" spans="4:4" x14ac:dyDescent="0.3">
      <c r="D895" s="104"/>
    </row>
    <row r="896" spans="4:4" x14ac:dyDescent="0.3">
      <c r="D896" s="104"/>
    </row>
    <row r="897" spans="4:4" x14ac:dyDescent="0.3">
      <c r="D897" s="104"/>
    </row>
    <row r="898" spans="4:4" x14ac:dyDescent="0.3">
      <c r="D898" s="104"/>
    </row>
    <row r="899" spans="4:4" x14ac:dyDescent="0.3">
      <c r="D899" s="104"/>
    </row>
    <row r="900" spans="4:4" x14ac:dyDescent="0.3">
      <c r="D900" s="104"/>
    </row>
    <row r="901" spans="4:4" x14ac:dyDescent="0.3">
      <c r="D901" s="104"/>
    </row>
    <row r="902" spans="4:4" x14ac:dyDescent="0.3">
      <c r="D902" s="104"/>
    </row>
    <row r="903" spans="4:4" x14ac:dyDescent="0.3">
      <c r="D903" s="104"/>
    </row>
    <row r="904" spans="4:4" x14ac:dyDescent="0.3">
      <c r="D904" s="104"/>
    </row>
    <row r="905" spans="4:4" x14ac:dyDescent="0.3">
      <c r="D905" s="104"/>
    </row>
    <row r="906" spans="4:4" x14ac:dyDescent="0.3">
      <c r="D906" s="104"/>
    </row>
    <row r="907" spans="4:4" x14ac:dyDescent="0.3">
      <c r="D907" s="104"/>
    </row>
    <row r="908" spans="4:4" x14ac:dyDescent="0.3">
      <c r="D908" s="104"/>
    </row>
    <row r="909" spans="4:4" x14ac:dyDescent="0.3">
      <c r="D909" s="104"/>
    </row>
    <row r="910" spans="4:4" x14ac:dyDescent="0.3">
      <c r="D910" s="104"/>
    </row>
    <row r="911" spans="4:4" x14ac:dyDescent="0.3">
      <c r="D911" s="104"/>
    </row>
    <row r="912" spans="4:4" x14ac:dyDescent="0.3">
      <c r="D912" s="104"/>
    </row>
    <row r="913" spans="4:4" x14ac:dyDescent="0.3">
      <c r="D913" s="104"/>
    </row>
    <row r="914" spans="4:4" x14ac:dyDescent="0.3">
      <c r="D914" s="104"/>
    </row>
    <row r="915" spans="4:4" x14ac:dyDescent="0.3">
      <c r="D915" s="104"/>
    </row>
    <row r="916" spans="4:4" x14ac:dyDescent="0.3">
      <c r="D916" s="104"/>
    </row>
    <row r="917" spans="4:4" x14ac:dyDescent="0.3">
      <c r="D917" s="104"/>
    </row>
    <row r="918" spans="4:4" x14ac:dyDescent="0.3">
      <c r="D918" s="104"/>
    </row>
    <row r="919" spans="4:4" x14ac:dyDescent="0.3">
      <c r="D919" s="104"/>
    </row>
    <row r="920" spans="4:4" x14ac:dyDescent="0.3">
      <c r="D920" s="104"/>
    </row>
    <row r="921" spans="4:4" x14ac:dyDescent="0.3">
      <c r="D921" s="104"/>
    </row>
    <row r="922" spans="4:4" x14ac:dyDescent="0.3">
      <c r="D922" s="104"/>
    </row>
    <row r="923" spans="4:4" x14ac:dyDescent="0.3">
      <c r="D923" s="104"/>
    </row>
    <row r="924" spans="4:4" x14ac:dyDescent="0.3">
      <c r="D924" s="104"/>
    </row>
    <row r="925" spans="4:4" x14ac:dyDescent="0.3">
      <c r="D925" s="104"/>
    </row>
    <row r="926" spans="4:4" x14ac:dyDescent="0.3">
      <c r="D926" s="104"/>
    </row>
    <row r="927" spans="4:4" x14ac:dyDescent="0.3">
      <c r="D927" s="104"/>
    </row>
    <row r="928" spans="4:4" x14ac:dyDescent="0.3">
      <c r="D928" s="104"/>
    </row>
    <row r="929" spans="4:4" x14ac:dyDescent="0.3">
      <c r="D929" s="104"/>
    </row>
    <row r="930" spans="4:4" x14ac:dyDescent="0.3">
      <c r="D930" s="104"/>
    </row>
    <row r="931" spans="4:4" x14ac:dyDescent="0.3">
      <c r="D931" s="104"/>
    </row>
    <row r="932" spans="4:4" x14ac:dyDescent="0.3">
      <c r="D932" s="104"/>
    </row>
    <row r="933" spans="4:4" x14ac:dyDescent="0.3">
      <c r="D933" s="104"/>
    </row>
    <row r="934" spans="4:4" x14ac:dyDescent="0.3">
      <c r="D934" s="104"/>
    </row>
    <row r="935" spans="4:4" x14ac:dyDescent="0.3">
      <c r="D935" s="104"/>
    </row>
    <row r="936" spans="4:4" x14ac:dyDescent="0.3">
      <c r="D936" s="104"/>
    </row>
    <row r="937" spans="4:4" x14ac:dyDescent="0.3">
      <c r="D937" s="104"/>
    </row>
    <row r="938" spans="4:4" x14ac:dyDescent="0.3">
      <c r="D938" s="104"/>
    </row>
    <row r="939" spans="4:4" x14ac:dyDescent="0.3">
      <c r="D939" s="104"/>
    </row>
    <row r="940" spans="4:4" x14ac:dyDescent="0.3">
      <c r="D940" s="104"/>
    </row>
    <row r="941" spans="4:4" x14ac:dyDescent="0.3">
      <c r="D941" s="104"/>
    </row>
    <row r="942" spans="4:4" x14ac:dyDescent="0.3">
      <c r="D942" s="104"/>
    </row>
    <row r="943" spans="4:4" x14ac:dyDescent="0.3">
      <c r="D943" s="104"/>
    </row>
    <row r="944" spans="4:4" x14ac:dyDescent="0.3">
      <c r="D944" s="104"/>
    </row>
    <row r="945" spans="4:4" x14ac:dyDescent="0.3">
      <c r="D945" s="104"/>
    </row>
    <row r="946" spans="4:4" x14ac:dyDescent="0.3">
      <c r="D946" s="104"/>
    </row>
    <row r="947" spans="4:4" x14ac:dyDescent="0.3">
      <c r="D947" s="104"/>
    </row>
    <row r="948" spans="4:4" x14ac:dyDescent="0.3">
      <c r="D948" s="104"/>
    </row>
    <row r="949" spans="4:4" x14ac:dyDescent="0.3">
      <c r="D949" s="104"/>
    </row>
    <row r="950" spans="4:4" x14ac:dyDescent="0.3">
      <c r="D950" s="104"/>
    </row>
    <row r="951" spans="4:4" x14ac:dyDescent="0.3">
      <c r="D951" s="104"/>
    </row>
    <row r="952" spans="4:4" x14ac:dyDescent="0.3">
      <c r="D952" s="104"/>
    </row>
    <row r="953" spans="4:4" x14ac:dyDescent="0.3">
      <c r="D953" s="104"/>
    </row>
    <row r="954" spans="4:4" x14ac:dyDescent="0.3">
      <c r="D954" s="104"/>
    </row>
    <row r="955" spans="4:4" x14ac:dyDescent="0.3">
      <c r="D955" s="104"/>
    </row>
    <row r="956" spans="4:4" x14ac:dyDescent="0.3">
      <c r="D956" s="104"/>
    </row>
    <row r="957" spans="4:4" x14ac:dyDescent="0.3">
      <c r="D957" s="104"/>
    </row>
    <row r="958" spans="4:4" x14ac:dyDescent="0.3">
      <c r="D958" s="104"/>
    </row>
    <row r="959" spans="4:4" x14ac:dyDescent="0.3">
      <c r="D959" s="104"/>
    </row>
    <row r="960" spans="4:4" x14ac:dyDescent="0.3">
      <c r="D960" s="104"/>
    </row>
    <row r="961" spans="4:4" x14ac:dyDescent="0.3">
      <c r="D961" s="104"/>
    </row>
    <row r="962" spans="4:4" x14ac:dyDescent="0.3">
      <c r="D962" s="104"/>
    </row>
    <row r="963" spans="4:4" x14ac:dyDescent="0.3">
      <c r="D963" s="104"/>
    </row>
    <row r="964" spans="4:4" x14ac:dyDescent="0.3">
      <c r="D964" s="104"/>
    </row>
    <row r="965" spans="4:4" x14ac:dyDescent="0.3">
      <c r="D965" s="104"/>
    </row>
    <row r="966" spans="4:4" x14ac:dyDescent="0.3">
      <c r="D966" s="104"/>
    </row>
    <row r="967" spans="4:4" x14ac:dyDescent="0.3">
      <c r="D967" s="104"/>
    </row>
    <row r="968" spans="4:4" x14ac:dyDescent="0.3">
      <c r="D968" s="104"/>
    </row>
    <row r="969" spans="4:4" x14ac:dyDescent="0.3">
      <c r="D969" s="104"/>
    </row>
    <row r="970" spans="4:4" x14ac:dyDescent="0.3">
      <c r="D970" s="104"/>
    </row>
    <row r="971" spans="4:4" x14ac:dyDescent="0.3">
      <c r="D971" s="104"/>
    </row>
    <row r="972" spans="4:4" x14ac:dyDescent="0.3">
      <c r="D972" s="104"/>
    </row>
    <row r="973" spans="4:4" x14ac:dyDescent="0.3">
      <c r="D973" s="104"/>
    </row>
    <row r="974" spans="4:4" x14ac:dyDescent="0.3">
      <c r="D974" s="104"/>
    </row>
    <row r="975" spans="4:4" x14ac:dyDescent="0.3">
      <c r="D975" s="104"/>
    </row>
    <row r="976" spans="4:4" x14ac:dyDescent="0.3">
      <c r="D976" s="104"/>
    </row>
    <row r="977" spans="4:4" x14ac:dyDescent="0.3">
      <c r="D977" s="104"/>
    </row>
    <row r="978" spans="4:4" x14ac:dyDescent="0.3">
      <c r="D978" s="104"/>
    </row>
    <row r="979" spans="4:4" x14ac:dyDescent="0.3">
      <c r="D979" s="104"/>
    </row>
    <row r="980" spans="4:4" x14ac:dyDescent="0.3">
      <c r="D980" s="104"/>
    </row>
    <row r="981" spans="4:4" x14ac:dyDescent="0.3">
      <c r="D981" s="104"/>
    </row>
    <row r="982" spans="4:4" x14ac:dyDescent="0.3">
      <c r="D982" s="104"/>
    </row>
    <row r="983" spans="4:4" x14ac:dyDescent="0.3">
      <c r="D983" s="104"/>
    </row>
    <row r="984" spans="4:4" x14ac:dyDescent="0.3">
      <c r="D984" s="104"/>
    </row>
    <row r="985" spans="4:4" x14ac:dyDescent="0.3">
      <c r="D985" s="104"/>
    </row>
    <row r="986" spans="4:4" x14ac:dyDescent="0.3">
      <c r="D986" s="104"/>
    </row>
    <row r="987" spans="4:4" x14ac:dyDescent="0.3">
      <c r="D987" s="104"/>
    </row>
    <row r="988" spans="4:4" x14ac:dyDescent="0.3">
      <c r="D988" s="104"/>
    </row>
    <row r="989" spans="4:4" x14ac:dyDescent="0.3">
      <c r="D989" s="104"/>
    </row>
    <row r="990" spans="4:4" x14ac:dyDescent="0.3">
      <c r="D990" s="104"/>
    </row>
    <row r="991" spans="4:4" x14ac:dyDescent="0.3">
      <c r="D991" s="104"/>
    </row>
    <row r="992" spans="4:4" x14ac:dyDescent="0.3">
      <c r="D992" s="104"/>
    </row>
    <row r="993" spans="4:4" x14ac:dyDescent="0.3">
      <c r="D993" s="104"/>
    </row>
    <row r="994" spans="4:4" x14ac:dyDescent="0.3">
      <c r="D994" s="104"/>
    </row>
    <row r="995" spans="4:4" x14ac:dyDescent="0.3">
      <c r="D995" s="104"/>
    </row>
    <row r="996" spans="4:4" x14ac:dyDescent="0.3">
      <c r="D996" s="104"/>
    </row>
    <row r="997" spans="4:4" x14ac:dyDescent="0.3">
      <c r="D997" s="104"/>
    </row>
    <row r="998" spans="4:4" x14ac:dyDescent="0.3">
      <c r="D998" s="104"/>
    </row>
    <row r="999" spans="4:4" x14ac:dyDescent="0.3">
      <c r="D999" s="104"/>
    </row>
    <row r="1000" spans="4:4" x14ac:dyDescent="0.3">
      <c r="D1000" s="104"/>
    </row>
    <row r="1001" spans="4:4" x14ac:dyDescent="0.3">
      <c r="D1001" s="104"/>
    </row>
    <row r="1002" spans="4:4" x14ac:dyDescent="0.3">
      <c r="D1002" s="104"/>
    </row>
    <row r="1003" spans="4:4" x14ac:dyDescent="0.3">
      <c r="D1003" s="104"/>
    </row>
    <row r="1004" spans="4:4" x14ac:dyDescent="0.3">
      <c r="D1004" s="104"/>
    </row>
    <row r="1005" spans="4:4" x14ac:dyDescent="0.3">
      <c r="D1005" s="104"/>
    </row>
    <row r="1006" spans="4:4" x14ac:dyDescent="0.3">
      <c r="D1006" s="104"/>
    </row>
    <row r="1007" spans="4:4" x14ac:dyDescent="0.3">
      <c r="D1007" s="104"/>
    </row>
    <row r="1008" spans="4:4" x14ac:dyDescent="0.3">
      <c r="D1008" s="104"/>
    </row>
    <row r="1009" spans="4:4" x14ac:dyDescent="0.3">
      <c r="D1009" s="104"/>
    </row>
    <row r="1010" spans="4:4" x14ac:dyDescent="0.3">
      <c r="D1010" s="104"/>
    </row>
    <row r="1011" spans="4:4" x14ac:dyDescent="0.3">
      <c r="D1011" s="104"/>
    </row>
    <row r="1012" spans="4:4" x14ac:dyDescent="0.3">
      <c r="D1012" s="104"/>
    </row>
    <row r="1013" spans="4:4" x14ac:dyDescent="0.3">
      <c r="D1013" s="104"/>
    </row>
    <row r="1014" spans="4:4" x14ac:dyDescent="0.3">
      <c r="D1014" s="104"/>
    </row>
    <row r="1015" spans="4:4" x14ac:dyDescent="0.3">
      <c r="D1015" s="104"/>
    </row>
    <row r="1016" spans="4:4" x14ac:dyDescent="0.3">
      <c r="D1016" s="104"/>
    </row>
    <row r="1017" spans="4:4" x14ac:dyDescent="0.3">
      <c r="D1017" s="104"/>
    </row>
    <row r="1018" spans="4:4" x14ac:dyDescent="0.3">
      <c r="D1018" s="104"/>
    </row>
    <row r="1019" spans="4:4" x14ac:dyDescent="0.3">
      <c r="D1019" s="104"/>
    </row>
    <row r="1020" spans="4:4" x14ac:dyDescent="0.3">
      <c r="D1020" s="104"/>
    </row>
    <row r="1021" spans="4:4" x14ac:dyDescent="0.3">
      <c r="D1021" s="104"/>
    </row>
    <row r="1022" spans="4:4" x14ac:dyDescent="0.3">
      <c r="D1022" s="104"/>
    </row>
    <row r="1023" spans="4:4" x14ac:dyDescent="0.3">
      <c r="D1023" s="104"/>
    </row>
    <row r="1024" spans="4:4" x14ac:dyDescent="0.3">
      <c r="D1024" s="104"/>
    </row>
    <row r="1025" spans="4:4" x14ac:dyDescent="0.3">
      <c r="D1025" s="104"/>
    </row>
    <row r="1026" spans="4:4" x14ac:dyDescent="0.3">
      <c r="D1026" s="104"/>
    </row>
    <row r="1027" spans="4:4" x14ac:dyDescent="0.3">
      <c r="D1027" s="104"/>
    </row>
    <row r="1028" spans="4:4" x14ac:dyDescent="0.3">
      <c r="D1028" s="104"/>
    </row>
    <row r="1029" spans="4:4" x14ac:dyDescent="0.3">
      <c r="D1029" s="104"/>
    </row>
    <row r="1030" spans="4:4" x14ac:dyDescent="0.3">
      <c r="D1030" s="104"/>
    </row>
    <row r="1031" spans="4:4" x14ac:dyDescent="0.3">
      <c r="D1031" s="104"/>
    </row>
    <row r="1032" spans="4:4" x14ac:dyDescent="0.3">
      <c r="D1032" s="104"/>
    </row>
    <row r="1033" spans="4:4" x14ac:dyDescent="0.3">
      <c r="D1033" s="104"/>
    </row>
    <row r="1034" spans="4:4" x14ac:dyDescent="0.3">
      <c r="D1034" s="104"/>
    </row>
    <row r="1035" spans="4:4" x14ac:dyDescent="0.3">
      <c r="D1035" s="104"/>
    </row>
    <row r="1036" spans="4:4" x14ac:dyDescent="0.3">
      <c r="D1036" s="104"/>
    </row>
    <row r="1037" spans="4:4" x14ac:dyDescent="0.3">
      <c r="D1037" s="104"/>
    </row>
    <row r="1038" spans="4:4" x14ac:dyDescent="0.3">
      <c r="D1038" s="104"/>
    </row>
    <row r="1039" spans="4:4" x14ac:dyDescent="0.3">
      <c r="D1039" s="104"/>
    </row>
    <row r="1040" spans="4:4" x14ac:dyDescent="0.3">
      <c r="D1040" s="104"/>
    </row>
    <row r="1041" spans="4:4" x14ac:dyDescent="0.3">
      <c r="D1041" s="104"/>
    </row>
    <row r="1042" spans="4:4" x14ac:dyDescent="0.3">
      <c r="D1042" s="104"/>
    </row>
    <row r="1043" spans="4:4" x14ac:dyDescent="0.3">
      <c r="D1043" s="104"/>
    </row>
    <row r="1044" spans="4:4" x14ac:dyDescent="0.3">
      <c r="D1044" s="104"/>
    </row>
    <row r="1045" spans="4:4" x14ac:dyDescent="0.3">
      <c r="D1045" s="104"/>
    </row>
    <row r="1046" spans="4:4" x14ac:dyDescent="0.3">
      <c r="D1046" s="104"/>
    </row>
    <row r="1047" spans="4:4" x14ac:dyDescent="0.3">
      <c r="D1047" s="104"/>
    </row>
    <row r="1048" spans="4:4" x14ac:dyDescent="0.3">
      <c r="D1048" s="104"/>
    </row>
    <row r="1049" spans="4:4" x14ac:dyDescent="0.3">
      <c r="D1049" s="104"/>
    </row>
    <row r="1050" spans="4:4" x14ac:dyDescent="0.3">
      <c r="D1050" s="104"/>
    </row>
    <row r="1051" spans="4:4" x14ac:dyDescent="0.3">
      <c r="D1051" s="104"/>
    </row>
    <row r="1052" spans="4:4" x14ac:dyDescent="0.3">
      <c r="D1052" s="104"/>
    </row>
    <row r="1053" spans="4:4" x14ac:dyDescent="0.3">
      <c r="D1053" s="104"/>
    </row>
    <row r="1054" spans="4:4" x14ac:dyDescent="0.3">
      <c r="D1054" s="104"/>
    </row>
    <row r="1055" spans="4:4" x14ac:dyDescent="0.3">
      <c r="D1055" s="104"/>
    </row>
    <row r="1056" spans="4:4" x14ac:dyDescent="0.3">
      <c r="D1056" s="104"/>
    </row>
    <row r="1057" spans="4:4" x14ac:dyDescent="0.3">
      <c r="D1057" s="104"/>
    </row>
    <row r="1058" spans="4:4" x14ac:dyDescent="0.3">
      <c r="D1058" s="104"/>
    </row>
    <row r="1059" spans="4:4" x14ac:dyDescent="0.3">
      <c r="D1059" s="104"/>
    </row>
    <row r="1060" spans="4:4" x14ac:dyDescent="0.3">
      <c r="D1060" s="104"/>
    </row>
    <row r="1061" spans="4:4" x14ac:dyDescent="0.3">
      <c r="D1061" s="104"/>
    </row>
    <row r="1062" spans="4:4" x14ac:dyDescent="0.3">
      <c r="D1062" s="104"/>
    </row>
    <row r="1063" spans="4:4" x14ac:dyDescent="0.3">
      <c r="D1063" s="104"/>
    </row>
    <row r="1064" spans="4:4" x14ac:dyDescent="0.3">
      <c r="D1064" s="104"/>
    </row>
    <row r="1065" spans="4:4" x14ac:dyDescent="0.3">
      <c r="D1065" s="104"/>
    </row>
    <row r="1066" spans="4:4" x14ac:dyDescent="0.3">
      <c r="D1066" s="104"/>
    </row>
    <row r="1067" spans="4:4" x14ac:dyDescent="0.3">
      <c r="D1067" s="104"/>
    </row>
    <row r="1068" spans="4:4" x14ac:dyDescent="0.3">
      <c r="D1068" s="104"/>
    </row>
    <row r="1069" spans="4:4" x14ac:dyDescent="0.3">
      <c r="D1069" s="104"/>
    </row>
    <row r="1070" spans="4:4" x14ac:dyDescent="0.3">
      <c r="D1070" s="104"/>
    </row>
    <row r="1071" spans="4:4" x14ac:dyDescent="0.3">
      <c r="D1071" s="104"/>
    </row>
    <row r="1072" spans="4:4" x14ac:dyDescent="0.3">
      <c r="D1072" s="104"/>
    </row>
    <row r="1073" spans="4:4" x14ac:dyDescent="0.3">
      <c r="D1073" s="104"/>
    </row>
    <row r="1074" spans="4:4" x14ac:dyDescent="0.3">
      <c r="D1074" s="104"/>
    </row>
    <row r="1075" spans="4:4" x14ac:dyDescent="0.3">
      <c r="D1075" s="104"/>
    </row>
    <row r="1076" spans="4:4" x14ac:dyDescent="0.3">
      <c r="D1076" s="104"/>
    </row>
    <row r="1077" spans="4:4" x14ac:dyDescent="0.3">
      <c r="D1077" s="104"/>
    </row>
    <row r="1078" spans="4:4" x14ac:dyDescent="0.3">
      <c r="D1078" s="104"/>
    </row>
    <row r="1079" spans="4:4" x14ac:dyDescent="0.3">
      <c r="D1079" s="104"/>
    </row>
    <row r="1080" spans="4:4" x14ac:dyDescent="0.3">
      <c r="D1080" s="104"/>
    </row>
    <row r="1081" spans="4:4" x14ac:dyDescent="0.3">
      <c r="D1081" s="104"/>
    </row>
    <row r="1082" spans="4:4" x14ac:dyDescent="0.3">
      <c r="D1082" s="104"/>
    </row>
    <row r="1083" spans="4:4" x14ac:dyDescent="0.3">
      <c r="D1083" s="104"/>
    </row>
    <row r="1084" spans="4:4" x14ac:dyDescent="0.3">
      <c r="D1084" s="104"/>
    </row>
    <row r="1085" spans="4:4" x14ac:dyDescent="0.3">
      <c r="D1085" s="104"/>
    </row>
    <row r="1086" spans="4:4" x14ac:dyDescent="0.3">
      <c r="D1086" s="104"/>
    </row>
    <row r="1087" spans="4:4" x14ac:dyDescent="0.3">
      <c r="D1087" s="104"/>
    </row>
    <row r="1088" spans="4:4" x14ac:dyDescent="0.3">
      <c r="D1088" s="104"/>
    </row>
    <row r="1089" spans="4:4" x14ac:dyDescent="0.3">
      <c r="D1089" s="104"/>
    </row>
    <row r="1090" spans="4:4" x14ac:dyDescent="0.3">
      <c r="D1090" s="104"/>
    </row>
    <row r="1091" spans="4:4" x14ac:dyDescent="0.3">
      <c r="D1091" s="104"/>
    </row>
    <row r="1092" spans="4:4" x14ac:dyDescent="0.3">
      <c r="D1092" s="104"/>
    </row>
    <row r="1093" spans="4:4" x14ac:dyDescent="0.3">
      <c r="D1093" s="104"/>
    </row>
    <row r="1094" spans="4:4" x14ac:dyDescent="0.3">
      <c r="D1094" s="104"/>
    </row>
    <row r="1095" spans="4:4" x14ac:dyDescent="0.3">
      <c r="D1095" s="104"/>
    </row>
    <row r="1096" spans="4:4" x14ac:dyDescent="0.3">
      <c r="D1096" s="104"/>
    </row>
    <row r="1097" spans="4:4" x14ac:dyDescent="0.3">
      <c r="D1097" s="104"/>
    </row>
    <row r="1098" spans="4:4" x14ac:dyDescent="0.3">
      <c r="D1098" s="104"/>
    </row>
    <row r="1099" spans="4:4" x14ac:dyDescent="0.3">
      <c r="D1099" s="104"/>
    </row>
    <row r="1100" spans="4:4" x14ac:dyDescent="0.3">
      <c r="D1100" s="104"/>
    </row>
    <row r="1101" spans="4:4" x14ac:dyDescent="0.3">
      <c r="D1101" s="104"/>
    </row>
    <row r="1102" spans="4:4" x14ac:dyDescent="0.3">
      <c r="D1102" s="104"/>
    </row>
    <row r="1103" spans="4:4" x14ac:dyDescent="0.3">
      <c r="D1103" s="104"/>
    </row>
    <row r="1104" spans="4:4" x14ac:dyDescent="0.3">
      <c r="D1104" s="104"/>
    </row>
    <row r="1105" spans="4:4" x14ac:dyDescent="0.3">
      <c r="D1105" s="104"/>
    </row>
    <row r="1106" spans="4:4" x14ac:dyDescent="0.3">
      <c r="D1106" s="104"/>
    </row>
    <row r="1107" spans="4:4" x14ac:dyDescent="0.3">
      <c r="D1107" s="104"/>
    </row>
    <row r="1108" spans="4:4" x14ac:dyDescent="0.3">
      <c r="D1108" s="104"/>
    </row>
    <row r="1109" spans="4:4" x14ac:dyDescent="0.3">
      <c r="D1109" s="104"/>
    </row>
    <row r="1110" spans="4:4" x14ac:dyDescent="0.3">
      <c r="D1110" s="104"/>
    </row>
    <row r="1111" spans="4:4" x14ac:dyDescent="0.3">
      <c r="D1111" s="104"/>
    </row>
    <row r="1112" spans="4:4" x14ac:dyDescent="0.3">
      <c r="D1112" s="104"/>
    </row>
    <row r="1113" spans="4:4" x14ac:dyDescent="0.3">
      <c r="D1113" s="104"/>
    </row>
    <row r="1114" spans="4:4" x14ac:dyDescent="0.3">
      <c r="D1114" s="104"/>
    </row>
    <row r="1115" spans="4:4" x14ac:dyDescent="0.3">
      <c r="D1115" s="104"/>
    </row>
    <row r="1116" spans="4:4" x14ac:dyDescent="0.3">
      <c r="D1116" s="104"/>
    </row>
    <row r="1117" spans="4:4" x14ac:dyDescent="0.3">
      <c r="D1117" s="104"/>
    </row>
    <row r="1118" spans="4:4" x14ac:dyDescent="0.3">
      <c r="D1118" s="104"/>
    </row>
    <row r="1119" spans="4:4" x14ac:dyDescent="0.3">
      <c r="D1119" s="104"/>
    </row>
    <row r="1120" spans="4:4" x14ac:dyDescent="0.3">
      <c r="D1120" s="104"/>
    </row>
    <row r="1121" spans="4:4" x14ac:dyDescent="0.3">
      <c r="D1121" s="104"/>
    </row>
    <row r="1122" spans="4:4" x14ac:dyDescent="0.3">
      <c r="D1122" s="104"/>
    </row>
    <row r="1123" spans="4:4" x14ac:dyDescent="0.3">
      <c r="D1123" s="104"/>
    </row>
    <row r="1124" spans="4:4" x14ac:dyDescent="0.3">
      <c r="D1124" s="104"/>
    </row>
    <row r="1125" spans="4:4" x14ac:dyDescent="0.3">
      <c r="D1125" s="104"/>
    </row>
    <row r="1126" spans="4:4" x14ac:dyDescent="0.3">
      <c r="D1126" s="104"/>
    </row>
    <row r="1127" spans="4:4" x14ac:dyDescent="0.3">
      <c r="D1127" s="104"/>
    </row>
    <row r="1128" spans="4:4" x14ac:dyDescent="0.3">
      <c r="D1128" s="104"/>
    </row>
    <row r="1129" spans="4:4" x14ac:dyDescent="0.3">
      <c r="D1129" s="104"/>
    </row>
    <row r="1130" spans="4:4" x14ac:dyDescent="0.3">
      <c r="D1130" s="104"/>
    </row>
    <row r="1131" spans="4:4" x14ac:dyDescent="0.3">
      <c r="D1131" s="104"/>
    </row>
    <row r="1132" spans="4:4" x14ac:dyDescent="0.3">
      <c r="D1132" s="104"/>
    </row>
    <row r="1133" spans="4:4" x14ac:dyDescent="0.3">
      <c r="D1133" s="104"/>
    </row>
    <row r="1134" spans="4:4" x14ac:dyDescent="0.3">
      <c r="D1134" s="104"/>
    </row>
    <row r="1135" spans="4:4" x14ac:dyDescent="0.3">
      <c r="D1135" s="104"/>
    </row>
    <row r="1136" spans="4:4" x14ac:dyDescent="0.3">
      <c r="D1136" s="104"/>
    </row>
    <row r="1137" spans="4:4" x14ac:dyDescent="0.3">
      <c r="D1137" s="104"/>
    </row>
    <row r="1138" spans="4:4" x14ac:dyDescent="0.3">
      <c r="D1138" s="104"/>
    </row>
    <row r="1139" spans="4:4" x14ac:dyDescent="0.3">
      <c r="D1139" s="104"/>
    </row>
    <row r="1140" spans="4:4" x14ac:dyDescent="0.3">
      <c r="D1140" s="104"/>
    </row>
    <row r="1141" spans="4:4" x14ac:dyDescent="0.3">
      <c r="D1141" s="104"/>
    </row>
    <row r="1142" spans="4:4" x14ac:dyDescent="0.3">
      <c r="D1142" s="104"/>
    </row>
    <row r="1143" spans="4:4" x14ac:dyDescent="0.3">
      <c r="D1143" s="104"/>
    </row>
    <row r="1144" spans="4:4" x14ac:dyDescent="0.3">
      <c r="D1144" s="104"/>
    </row>
    <row r="1145" spans="4:4" x14ac:dyDescent="0.3">
      <c r="D1145" s="104"/>
    </row>
    <row r="1146" spans="4:4" x14ac:dyDescent="0.3">
      <c r="D1146" s="104"/>
    </row>
    <row r="1147" spans="4:4" x14ac:dyDescent="0.3">
      <c r="D1147" s="104"/>
    </row>
    <row r="1148" spans="4:4" x14ac:dyDescent="0.3">
      <c r="D1148" s="104"/>
    </row>
    <row r="1149" spans="4:4" x14ac:dyDescent="0.3">
      <c r="D1149" s="104"/>
    </row>
    <row r="1150" spans="4:4" x14ac:dyDescent="0.3">
      <c r="D1150" s="104"/>
    </row>
    <row r="1151" spans="4:4" x14ac:dyDescent="0.3">
      <c r="D1151" s="104"/>
    </row>
    <row r="1152" spans="4:4" x14ac:dyDescent="0.3">
      <c r="D1152" s="104"/>
    </row>
    <row r="1153" spans="4:4" x14ac:dyDescent="0.3">
      <c r="D1153" s="104"/>
    </row>
    <row r="1154" spans="4:4" x14ac:dyDescent="0.3">
      <c r="D1154" s="104"/>
    </row>
    <row r="1155" spans="4:4" x14ac:dyDescent="0.3">
      <c r="D1155" s="104"/>
    </row>
    <row r="1156" spans="4:4" x14ac:dyDescent="0.3">
      <c r="D1156" s="104"/>
    </row>
    <row r="1157" spans="4:4" x14ac:dyDescent="0.3">
      <c r="D1157" s="104"/>
    </row>
    <row r="1158" spans="4:4" x14ac:dyDescent="0.3">
      <c r="D1158" s="104"/>
    </row>
    <row r="1159" spans="4:4" x14ac:dyDescent="0.3">
      <c r="D1159" s="104"/>
    </row>
    <row r="1160" spans="4:4" x14ac:dyDescent="0.3">
      <c r="D1160" s="104"/>
    </row>
    <row r="1161" spans="4:4" x14ac:dyDescent="0.3">
      <c r="D1161" s="104"/>
    </row>
    <row r="1162" spans="4:4" x14ac:dyDescent="0.3">
      <c r="D1162" s="104"/>
    </row>
    <row r="1163" spans="4:4" x14ac:dyDescent="0.3">
      <c r="D1163" s="104"/>
    </row>
    <row r="1164" spans="4:4" x14ac:dyDescent="0.3">
      <c r="D1164" s="104"/>
    </row>
    <row r="1165" spans="4:4" x14ac:dyDescent="0.3">
      <c r="D1165" s="104"/>
    </row>
    <row r="1166" spans="4:4" x14ac:dyDescent="0.3">
      <c r="D1166" s="104"/>
    </row>
    <row r="1167" spans="4:4" x14ac:dyDescent="0.3">
      <c r="D1167" s="104"/>
    </row>
    <row r="1168" spans="4:4" x14ac:dyDescent="0.3">
      <c r="D1168" s="104"/>
    </row>
    <row r="1169" spans="4:4" x14ac:dyDescent="0.3">
      <c r="D1169" s="104"/>
    </row>
    <row r="1170" spans="4:4" x14ac:dyDescent="0.3">
      <c r="D1170" s="104"/>
    </row>
    <row r="1171" spans="4:4" x14ac:dyDescent="0.3">
      <c r="D1171" s="104"/>
    </row>
    <row r="1172" spans="4:4" x14ac:dyDescent="0.3">
      <c r="D1172" s="104"/>
    </row>
    <row r="1173" spans="4:4" x14ac:dyDescent="0.3">
      <c r="D1173" s="104"/>
    </row>
    <row r="1174" spans="4:4" x14ac:dyDescent="0.3">
      <c r="D1174" s="104"/>
    </row>
    <row r="1175" spans="4:4" x14ac:dyDescent="0.3">
      <c r="D1175" s="104"/>
    </row>
    <row r="1176" spans="4:4" x14ac:dyDescent="0.3">
      <c r="D1176" s="104"/>
    </row>
    <row r="1177" spans="4:4" x14ac:dyDescent="0.3">
      <c r="D1177" s="104"/>
    </row>
    <row r="1178" spans="4:4" x14ac:dyDescent="0.3">
      <c r="D1178" s="104"/>
    </row>
    <row r="1179" spans="4:4" x14ac:dyDescent="0.3">
      <c r="D1179" s="104"/>
    </row>
    <row r="1180" spans="4:4" x14ac:dyDescent="0.3">
      <c r="D1180" s="104"/>
    </row>
    <row r="1181" spans="4:4" x14ac:dyDescent="0.3">
      <c r="D1181" s="104"/>
    </row>
    <row r="1182" spans="4:4" x14ac:dyDescent="0.3">
      <c r="D1182" s="104"/>
    </row>
    <row r="1183" spans="4:4" x14ac:dyDescent="0.3">
      <c r="D1183" s="104"/>
    </row>
    <row r="1184" spans="4:4" x14ac:dyDescent="0.3">
      <c r="D1184" s="104"/>
    </row>
    <row r="1185" spans="4:4" x14ac:dyDescent="0.3">
      <c r="D1185" s="104"/>
    </row>
    <row r="1186" spans="4:4" x14ac:dyDescent="0.3">
      <c r="D1186" s="104"/>
    </row>
    <row r="1187" spans="4:4" x14ac:dyDescent="0.3">
      <c r="D1187" s="104"/>
    </row>
    <row r="1188" spans="4:4" x14ac:dyDescent="0.3">
      <c r="D1188" s="104"/>
    </row>
    <row r="1189" spans="4:4" x14ac:dyDescent="0.3">
      <c r="D1189" s="104"/>
    </row>
    <row r="1190" spans="4:4" x14ac:dyDescent="0.3">
      <c r="D1190" s="104"/>
    </row>
    <row r="1191" spans="4:4" x14ac:dyDescent="0.3">
      <c r="D1191" s="104"/>
    </row>
    <row r="1192" spans="4:4" x14ac:dyDescent="0.3">
      <c r="D1192" s="104"/>
    </row>
    <row r="1193" spans="4:4" x14ac:dyDescent="0.3">
      <c r="D1193" s="104"/>
    </row>
    <row r="1194" spans="4:4" x14ac:dyDescent="0.3">
      <c r="D1194" s="104"/>
    </row>
    <row r="1195" spans="4:4" x14ac:dyDescent="0.3">
      <c r="D1195" s="104"/>
    </row>
    <row r="1196" spans="4:4" x14ac:dyDescent="0.3">
      <c r="D1196" s="104"/>
    </row>
    <row r="1197" spans="4:4" x14ac:dyDescent="0.3">
      <c r="D1197" s="104"/>
    </row>
    <row r="1198" spans="4:4" x14ac:dyDescent="0.3">
      <c r="D1198" s="104"/>
    </row>
    <row r="1199" spans="4:4" x14ac:dyDescent="0.3">
      <c r="D1199" s="104"/>
    </row>
    <row r="1200" spans="4:4" x14ac:dyDescent="0.3">
      <c r="D1200" s="104"/>
    </row>
    <row r="1201" spans="4:4" x14ac:dyDescent="0.3">
      <c r="D1201" s="104"/>
    </row>
    <row r="1202" spans="4:4" x14ac:dyDescent="0.3">
      <c r="D1202" s="104"/>
    </row>
    <row r="1203" spans="4:4" x14ac:dyDescent="0.3">
      <c r="D1203" s="104"/>
    </row>
    <row r="1204" spans="4:4" x14ac:dyDescent="0.3">
      <c r="D1204" s="104"/>
    </row>
    <row r="1205" spans="4:4" x14ac:dyDescent="0.3">
      <c r="D1205" s="104"/>
    </row>
    <row r="1206" spans="4:4" x14ac:dyDescent="0.3">
      <c r="D1206" s="104"/>
    </row>
    <row r="1207" spans="4:4" x14ac:dyDescent="0.3">
      <c r="D1207" s="104"/>
    </row>
    <row r="1208" spans="4:4" x14ac:dyDescent="0.3">
      <c r="D1208" s="104"/>
    </row>
    <row r="1209" spans="4:4" x14ac:dyDescent="0.3">
      <c r="D1209" s="104"/>
    </row>
    <row r="1210" spans="4:4" x14ac:dyDescent="0.3">
      <c r="D1210" s="104"/>
    </row>
    <row r="1211" spans="4:4" x14ac:dyDescent="0.3">
      <c r="D1211" s="104"/>
    </row>
    <row r="1212" spans="4:4" x14ac:dyDescent="0.3">
      <c r="D1212" s="104"/>
    </row>
    <row r="1213" spans="4:4" x14ac:dyDescent="0.3">
      <c r="D1213" s="104"/>
    </row>
    <row r="1214" spans="4:4" x14ac:dyDescent="0.3">
      <c r="D1214" s="104"/>
    </row>
    <row r="1215" spans="4:4" x14ac:dyDescent="0.3">
      <c r="D1215" s="104"/>
    </row>
    <row r="1216" spans="4:4" x14ac:dyDescent="0.3">
      <c r="D1216" s="104"/>
    </row>
    <row r="1217" spans="4:4" x14ac:dyDescent="0.3">
      <c r="D1217" s="104"/>
    </row>
    <row r="1218" spans="4:4" x14ac:dyDescent="0.3">
      <c r="D1218" s="104"/>
    </row>
    <row r="1219" spans="4:4" x14ac:dyDescent="0.3">
      <c r="D1219" s="104"/>
    </row>
    <row r="1220" spans="4:4" x14ac:dyDescent="0.3">
      <c r="D1220" s="104"/>
    </row>
    <row r="1221" spans="4:4" x14ac:dyDescent="0.3">
      <c r="D1221" s="104"/>
    </row>
    <row r="1222" spans="4:4" x14ac:dyDescent="0.3">
      <c r="D1222" s="104"/>
    </row>
    <row r="1223" spans="4:4" x14ac:dyDescent="0.3">
      <c r="D1223" s="104"/>
    </row>
    <row r="1224" spans="4:4" x14ac:dyDescent="0.3">
      <c r="D1224" s="104"/>
    </row>
    <row r="1225" spans="4:4" x14ac:dyDescent="0.3">
      <c r="D1225" s="104"/>
    </row>
    <row r="1226" spans="4:4" x14ac:dyDescent="0.3">
      <c r="D1226" s="104"/>
    </row>
    <row r="1227" spans="4:4" x14ac:dyDescent="0.3">
      <c r="D1227" s="104"/>
    </row>
    <row r="1228" spans="4:4" x14ac:dyDescent="0.3">
      <c r="D1228" s="104"/>
    </row>
    <row r="1229" spans="4:4" x14ac:dyDescent="0.3">
      <c r="D1229" s="104"/>
    </row>
    <row r="1230" spans="4:4" x14ac:dyDescent="0.3">
      <c r="D1230" s="104"/>
    </row>
    <row r="1231" spans="4:4" x14ac:dyDescent="0.3">
      <c r="D1231" s="104"/>
    </row>
    <row r="1232" spans="4:4" x14ac:dyDescent="0.3">
      <c r="D1232" s="104"/>
    </row>
    <row r="1233" spans="4:4" x14ac:dyDescent="0.3">
      <c r="D1233" s="104"/>
    </row>
    <row r="1234" spans="4:4" x14ac:dyDescent="0.3">
      <c r="D1234" s="104"/>
    </row>
    <row r="1235" spans="4:4" x14ac:dyDescent="0.3">
      <c r="D1235" s="104"/>
    </row>
    <row r="1236" spans="4:4" x14ac:dyDescent="0.3">
      <c r="D1236" s="104"/>
    </row>
    <row r="1237" spans="4:4" x14ac:dyDescent="0.3">
      <c r="D1237" s="104"/>
    </row>
    <row r="1238" spans="4:4" x14ac:dyDescent="0.3">
      <c r="D1238" s="104"/>
    </row>
    <row r="1239" spans="4:4" x14ac:dyDescent="0.3">
      <c r="D1239" s="104"/>
    </row>
    <row r="1240" spans="4:4" x14ac:dyDescent="0.3">
      <c r="D1240" s="104"/>
    </row>
    <row r="1241" spans="4:4" x14ac:dyDescent="0.3">
      <c r="D1241" s="104"/>
    </row>
    <row r="1242" spans="4:4" x14ac:dyDescent="0.3">
      <c r="D1242" s="104"/>
    </row>
    <row r="1243" spans="4:4" x14ac:dyDescent="0.3">
      <c r="D1243" s="104"/>
    </row>
    <row r="1244" spans="4:4" x14ac:dyDescent="0.3">
      <c r="D1244" s="104"/>
    </row>
    <row r="1245" spans="4:4" x14ac:dyDescent="0.3">
      <c r="D1245" s="104"/>
    </row>
    <row r="1246" spans="4:4" x14ac:dyDescent="0.3">
      <c r="D1246" s="104"/>
    </row>
    <row r="1247" spans="4:4" x14ac:dyDescent="0.3">
      <c r="D1247" s="104"/>
    </row>
    <row r="1248" spans="4:4" x14ac:dyDescent="0.3">
      <c r="D1248" s="104"/>
    </row>
    <row r="1249" spans="4:4" x14ac:dyDescent="0.3">
      <c r="D1249" s="104"/>
    </row>
    <row r="1250" spans="4:4" x14ac:dyDescent="0.3">
      <c r="D1250" s="104"/>
    </row>
    <row r="1251" spans="4:4" x14ac:dyDescent="0.3">
      <c r="D1251" s="104"/>
    </row>
    <row r="1252" spans="4:4" x14ac:dyDescent="0.3">
      <c r="D1252" s="104"/>
    </row>
    <row r="1253" spans="4:4" x14ac:dyDescent="0.3">
      <c r="D1253" s="104"/>
    </row>
    <row r="1254" spans="4:4" x14ac:dyDescent="0.3">
      <c r="D1254" s="104"/>
    </row>
    <row r="1255" spans="4:4" x14ac:dyDescent="0.3">
      <c r="D1255" s="104"/>
    </row>
    <row r="1256" spans="4:4" x14ac:dyDescent="0.3">
      <c r="D1256" s="104"/>
    </row>
    <row r="1257" spans="4:4" x14ac:dyDescent="0.3">
      <c r="D1257" s="104"/>
    </row>
    <row r="1258" spans="4:4" x14ac:dyDescent="0.3">
      <c r="D1258" s="104"/>
    </row>
    <row r="1259" spans="4:4" x14ac:dyDescent="0.3">
      <c r="D1259" s="104"/>
    </row>
    <row r="1260" spans="4:4" x14ac:dyDescent="0.3">
      <c r="D1260" s="104"/>
    </row>
    <row r="1261" spans="4:4" x14ac:dyDescent="0.3">
      <c r="D1261" s="104"/>
    </row>
    <row r="1262" spans="4:4" x14ac:dyDescent="0.3">
      <c r="D1262" s="104"/>
    </row>
    <row r="1263" spans="4:4" x14ac:dyDescent="0.3">
      <c r="D1263" s="104"/>
    </row>
    <row r="1264" spans="4:4" x14ac:dyDescent="0.3">
      <c r="D1264" s="104"/>
    </row>
    <row r="1265" spans="4:4" x14ac:dyDescent="0.3">
      <c r="D1265" s="104"/>
    </row>
    <row r="1266" spans="4:4" x14ac:dyDescent="0.3">
      <c r="D1266" s="104"/>
    </row>
    <row r="1267" spans="4:4" x14ac:dyDescent="0.3">
      <c r="D1267" s="104"/>
    </row>
    <row r="1268" spans="4:4" x14ac:dyDescent="0.3">
      <c r="D1268" s="104"/>
    </row>
    <row r="1269" spans="4:4" x14ac:dyDescent="0.3">
      <c r="D1269" s="104"/>
    </row>
    <row r="1270" spans="4:4" x14ac:dyDescent="0.3">
      <c r="D1270" s="104"/>
    </row>
    <row r="1271" spans="4:4" x14ac:dyDescent="0.3">
      <c r="D1271" s="104"/>
    </row>
    <row r="1272" spans="4:4" x14ac:dyDescent="0.3">
      <c r="D1272" s="104"/>
    </row>
    <row r="1273" spans="4:4" x14ac:dyDescent="0.3">
      <c r="D1273" s="104"/>
    </row>
    <row r="1274" spans="4:4" x14ac:dyDescent="0.3">
      <c r="D1274" s="104"/>
    </row>
    <row r="1275" spans="4:4" x14ac:dyDescent="0.3">
      <c r="D1275" s="104"/>
    </row>
    <row r="1276" spans="4:4" x14ac:dyDescent="0.3">
      <c r="D1276" s="104"/>
    </row>
    <row r="1277" spans="4:4" x14ac:dyDescent="0.3">
      <c r="D1277" s="104"/>
    </row>
    <row r="1278" spans="4:4" x14ac:dyDescent="0.3">
      <c r="D1278" s="104"/>
    </row>
    <row r="1279" spans="4:4" x14ac:dyDescent="0.3">
      <c r="D1279" s="104"/>
    </row>
    <row r="1280" spans="4:4" x14ac:dyDescent="0.3">
      <c r="D1280" s="104"/>
    </row>
    <row r="1281" spans="4:4" x14ac:dyDescent="0.3">
      <c r="D1281" s="104"/>
    </row>
    <row r="1282" spans="4:4" x14ac:dyDescent="0.3">
      <c r="D1282" s="104"/>
    </row>
    <row r="1283" spans="4:4" x14ac:dyDescent="0.3">
      <c r="D1283" s="104"/>
    </row>
    <row r="1284" spans="4:4" x14ac:dyDescent="0.3">
      <c r="D1284" s="104"/>
    </row>
    <row r="1285" spans="4:4" x14ac:dyDescent="0.3">
      <c r="D1285" s="104"/>
    </row>
    <row r="1286" spans="4:4" x14ac:dyDescent="0.3">
      <c r="D1286" s="104"/>
    </row>
    <row r="1287" spans="4:4" x14ac:dyDescent="0.3">
      <c r="D1287" s="104"/>
    </row>
    <row r="1288" spans="4:4" x14ac:dyDescent="0.3">
      <c r="D1288" s="104"/>
    </row>
    <row r="1289" spans="4:4" x14ac:dyDescent="0.3">
      <c r="D1289" s="104"/>
    </row>
    <row r="1290" spans="4:4" x14ac:dyDescent="0.3">
      <c r="D1290" s="104"/>
    </row>
    <row r="1291" spans="4:4" x14ac:dyDescent="0.3">
      <c r="D1291" s="104"/>
    </row>
    <row r="1292" spans="4:4" x14ac:dyDescent="0.3">
      <c r="D1292" s="104"/>
    </row>
    <row r="1293" spans="4:4" x14ac:dyDescent="0.3">
      <c r="D1293" s="104"/>
    </row>
    <row r="1294" spans="4:4" x14ac:dyDescent="0.3">
      <c r="D1294" s="104"/>
    </row>
    <row r="1295" spans="4:4" x14ac:dyDescent="0.3">
      <c r="D1295" s="104"/>
    </row>
    <row r="1296" spans="4:4" x14ac:dyDescent="0.3">
      <c r="D1296" s="104"/>
    </row>
    <row r="1297" spans="4:4" x14ac:dyDescent="0.3">
      <c r="D1297" s="104"/>
    </row>
    <row r="1298" spans="4:4" x14ac:dyDescent="0.3">
      <c r="D1298" s="104"/>
    </row>
    <row r="1299" spans="4:4" x14ac:dyDescent="0.3">
      <c r="D1299" s="104"/>
    </row>
    <row r="1300" spans="4:4" x14ac:dyDescent="0.3">
      <c r="D1300" s="104"/>
    </row>
    <row r="1301" spans="4:4" x14ac:dyDescent="0.3">
      <c r="D1301" s="104"/>
    </row>
    <row r="1302" spans="4:4" x14ac:dyDescent="0.3">
      <c r="D1302" s="104"/>
    </row>
    <row r="1303" spans="4:4" x14ac:dyDescent="0.3">
      <c r="D1303" s="104"/>
    </row>
    <row r="1304" spans="4:4" x14ac:dyDescent="0.3">
      <c r="D1304" s="104"/>
    </row>
    <row r="1305" spans="4:4" x14ac:dyDescent="0.3">
      <c r="D1305" s="104"/>
    </row>
    <row r="1306" spans="4:4" x14ac:dyDescent="0.3">
      <c r="D1306" s="104"/>
    </row>
    <row r="1307" spans="4:4" x14ac:dyDescent="0.3">
      <c r="D1307" s="104"/>
    </row>
    <row r="1308" spans="4:4" x14ac:dyDescent="0.3">
      <c r="D1308" s="104"/>
    </row>
    <row r="1309" spans="4:4" x14ac:dyDescent="0.3">
      <c r="D1309" s="104"/>
    </row>
    <row r="1310" spans="4:4" x14ac:dyDescent="0.3">
      <c r="D1310" s="104"/>
    </row>
    <row r="1311" spans="4:4" x14ac:dyDescent="0.3">
      <c r="D1311" s="104"/>
    </row>
    <row r="1312" spans="4:4" x14ac:dyDescent="0.3">
      <c r="D1312" s="104"/>
    </row>
    <row r="1313" spans="4:4" x14ac:dyDescent="0.3">
      <c r="D1313" s="104"/>
    </row>
    <row r="1314" spans="4:4" x14ac:dyDescent="0.3">
      <c r="D1314" s="104"/>
    </row>
    <row r="1315" spans="4:4" x14ac:dyDescent="0.3">
      <c r="D1315" s="104"/>
    </row>
    <row r="1316" spans="4:4" x14ac:dyDescent="0.3">
      <c r="D1316" s="104"/>
    </row>
    <row r="1317" spans="4:4" x14ac:dyDescent="0.3">
      <c r="D1317" s="104"/>
    </row>
    <row r="1318" spans="4:4" x14ac:dyDescent="0.3">
      <c r="D1318" s="104"/>
    </row>
    <row r="1319" spans="4:4" x14ac:dyDescent="0.3">
      <c r="D1319" s="104"/>
    </row>
    <row r="1320" spans="4:4" x14ac:dyDescent="0.3">
      <c r="D1320" s="104"/>
    </row>
    <row r="1321" spans="4:4" x14ac:dyDescent="0.3">
      <c r="D1321" s="104"/>
    </row>
    <row r="1322" spans="4:4" x14ac:dyDescent="0.3">
      <c r="D1322" s="104"/>
    </row>
    <row r="1323" spans="4:4" x14ac:dyDescent="0.3">
      <c r="D1323" s="104"/>
    </row>
    <row r="1324" spans="4:4" x14ac:dyDescent="0.3">
      <c r="D1324" s="104"/>
    </row>
    <row r="1325" spans="4:4" x14ac:dyDescent="0.3">
      <c r="D1325" s="104"/>
    </row>
    <row r="1326" spans="4:4" x14ac:dyDescent="0.3">
      <c r="D1326" s="104"/>
    </row>
    <row r="1327" spans="4:4" x14ac:dyDescent="0.3">
      <c r="D1327" s="104"/>
    </row>
    <row r="1328" spans="4:4" x14ac:dyDescent="0.3">
      <c r="D1328" s="104"/>
    </row>
    <row r="1329" spans="4:4" x14ac:dyDescent="0.3">
      <c r="D1329" s="104"/>
    </row>
    <row r="1330" spans="4:4" x14ac:dyDescent="0.3">
      <c r="D1330" s="104"/>
    </row>
    <row r="1331" spans="4:4" x14ac:dyDescent="0.3">
      <c r="D1331" s="104"/>
    </row>
    <row r="1332" spans="4:4" x14ac:dyDescent="0.3">
      <c r="D1332" s="104"/>
    </row>
    <row r="1333" spans="4:4" x14ac:dyDescent="0.3">
      <c r="D1333" s="104"/>
    </row>
    <row r="1334" spans="4:4" x14ac:dyDescent="0.3">
      <c r="D1334" s="104"/>
    </row>
    <row r="1335" spans="4:4" x14ac:dyDescent="0.3">
      <c r="D1335" s="104"/>
    </row>
    <row r="1336" spans="4:4" x14ac:dyDescent="0.3">
      <c r="D1336" s="104"/>
    </row>
    <row r="1337" spans="4:4" x14ac:dyDescent="0.3">
      <c r="D1337" s="104"/>
    </row>
    <row r="1338" spans="4:4" x14ac:dyDescent="0.3">
      <c r="D1338" s="104"/>
    </row>
    <row r="1339" spans="4:4" x14ac:dyDescent="0.3">
      <c r="D1339" s="104"/>
    </row>
    <row r="1340" spans="4:4" x14ac:dyDescent="0.3">
      <c r="D1340" s="104"/>
    </row>
    <row r="1341" spans="4:4" x14ac:dyDescent="0.3">
      <c r="D1341" s="104"/>
    </row>
    <row r="1342" spans="4:4" x14ac:dyDescent="0.3">
      <c r="D1342" s="104"/>
    </row>
    <row r="1343" spans="4:4" x14ac:dyDescent="0.3">
      <c r="D1343" s="104"/>
    </row>
    <row r="1344" spans="4:4" x14ac:dyDescent="0.3">
      <c r="D1344" s="104"/>
    </row>
    <row r="1345" spans="4:4" x14ac:dyDescent="0.3">
      <c r="D1345" s="104"/>
    </row>
    <row r="1346" spans="4:4" x14ac:dyDescent="0.3">
      <c r="D1346" s="104"/>
    </row>
    <row r="1347" spans="4:4" x14ac:dyDescent="0.3">
      <c r="D1347" s="104"/>
    </row>
    <row r="1348" spans="4:4" x14ac:dyDescent="0.3">
      <c r="D1348" s="104"/>
    </row>
    <row r="1349" spans="4:4" x14ac:dyDescent="0.3">
      <c r="D1349" s="104"/>
    </row>
    <row r="1350" spans="4:4" x14ac:dyDescent="0.3">
      <c r="D1350" s="104"/>
    </row>
    <row r="1351" spans="4:4" x14ac:dyDescent="0.3">
      <c r="D1351" s="104"/>
    </row>
    <row r="1352" spans="4:4" x14ac:dyDescent="0.3">
      <c r="D1352" s="104"/>
    </row>
    <row r="1353" spans="4:4" x14ac:dyDescent="0.3">
      <c r="D1353" s="104"/>
    </row>
    <row r="1354" spans="4:4" x14ac:dyDescent="0.3">
      <c r="D1354" s="104"/>
    </row>
    <row r="1355" spans="4:4" x14ac:dyDescent="0.3">
      <c r="D1355" s="104"/>
    </row>
    <row r="1356" spans="4:4" x14ac:dyDescent="0.3">
      <c r="D1356" s="104"/>
    </row>
    <row r="1357" spans="4:4" x14ac:dyDescent="0.3">
      <c r="D1357" s="104"/>
    </row>
    <row r="1358" spans="4:4" x14ac:dyDescent="0.3">
      <c r="D1358" s="104"/>
    </row>
    <row r="1359" spans="4:4" x14ac:dyDescent="0.3">
      <c r="D1359" s="104"/>
    </row>
    <row r="1360" spans="4:4" x14ac:dyDescent="0.3">
      <c r="D1360" s="104"/>
    </row>
    <row r="1361" spans="4:4" x14ac:dyDescent="0.3">
      <c r="D1361" s="104"/>
    </row>
    <row r="1362" spans="4:4" x14ac:dyDescent="0.3">
      <c r="D1362" s="104"/>
    </row>
    <row r="1363" spans="4:4" x14ac:dyDescent="0.3">
      <c r="D1363" s="104"/>
    </row>
    <row r="1364" spans="4:4" x14ac:dyDescent="0.3">
      <c r="D1364" s="104"/>
    </row>
    <row r="1365" spans="4:4" x14ac:dyDescent="0.3">
      <c r="D1365" s="104"/>
    </row>
    <row r="1366" spans="4:4" x14ac:dyDescent="0.3">
      <c r="D1366" s="104"/>
    </row>
    <row r="1367" spans="4:4" x14ac:dyDescent="0.3">
      <c r="D1367" s="104"/>
    </row>
    <row r="1368" spans="4:4" x14ac:dyDescent="0.3">
      <c r="D1368" s="104"/>
    </row>
    <row r="1369" spans="4:4" x14ac:dyDescent="0.3">
      <c r="D1369" s="104"/>
    </row>
    <row r="1370" spans="4:4" x14ac:dyDescent="0.3">
      <c r="D1370" s="104"/>
    </row>
    <row r="1371" spans="4:4" x14ac:dyDescent="0.3">
      <c r="D1371" s="104"/>
    </row>
    <row r="1372" spans="4:4" x14ac:dyDescent="0.3">
      <c r="D1372" s="104"/>
    </row>
    <row r="1373" spans="4:4" x14ac:dyDescent="0.3">
      <c r="D1373" s="104"/>
    </row>
    <row r="1374" spans="4:4" x14ac:dyDescent="0.3">
      <c r="D1374" s="104"/>
    </row>
    <row r="1375" spans="4:4" x14ac:dyDescent="0.3">
      <c r="D1375" s="104"/>
    </row>
    <row r="1376" spans="4:4" x14ac:dyDescent="0.3">
      <c r="D1376" s="104"/>
    </row>
    <row r="1377" spans="4:4" x14ac:dyDescent="0.3">
      <c r="D1377" s="104"/>
    </row>
    <row r="1378" spans="4:4" x14ac:dyDescent="0.3">
      <c r="D1378" s="104"/>
    </row>
    <row r="1379" spans="4:4" x14ac:dyDescent="0.3">
      <c r="D1379" s="104"/>
    </row>
    <row r="1380" spans="4:4" x14ac:dyDescent="0.3">
      <c r="D1380" s="104"/>
    </row>
    <row r="1381" spans="4:4" x14ac:dyDescent="0.3">
      <c r="D1381" s="104"/>
    </row>
    <row r="1382" spans="4:4" x14ac:dyDescent="0.3">
      <c r="D1382" s="104"/>
    </row>
    <row r="1383" spans="4:4" x14ac:dyDescent="0.3">
      <c r="D1383" s="104"/>
    </row>
    <row r="1384" spans="4:4" x14ac:dyDescent="0.3">
      <c r="D1384" s="104"/>
    </row>
    <row r="1385" spans="4:4" x14ac:dyDescent="0.3">
      <c r="D1385" s="104"/>
    </row>
    <row r="1386" spans="4:4" x14ac:dyDescent="0.3">
      <c r="D1386" s="104"/>
    </row>
    <row r="1387" spans="4:4" x14ac:dyDescent="0.3">
      <c r="D1387" s="104"/>
    </row>
    <row r="1388" spans="4:4" x14ac:dyDescent="0.3">
      <c r="D1388" s="104"/>
    </row>
    <row r="1389" spans="4:4" x14ac:dyDescent="0.3">
      <c r="D1389" s="104"/>
    </row>
    <row r="1390" spans="4:4" x14ac:dyDescent="0.3">
      <c r="D1390" s="104"/>
    </row>
    <row r="1391" spans="4:4" x14ac:dyDescent="0.3">
      <c r="D1391" s="104"/>
    </row>
    <row r="1392" spans="4:4" x14ac:dyDescent="0.3">
      <c r="D1392" s="104"/>
    </row>
    <row r="1393" spans="4:4" x14ac:dyDescent="0.3">
      <c r="D1393" s="104"/>
    </row>
    <row r="1394" spans="4:4" x14ac:dyDescent="0.3">
      <c r="D1394" s="104"/>
    </row>
    <row r="1395" spans="4:4" x14ac:dyDescent="0.3">
      <c r="D1395" s="104"/>
    </row>
    <row r="1396" spans="4:4" x14ac:dyDescent="0.3">
      <c r="D1396" s="104"/>
    </row>
    <row r="1397" spans="4:4" x14ac:dyDescent="0.3">
      <c r="D1397" s="104"/>
    </row>
    <row r="1398" spans="4:4" x14ac:dyDescent="0.3">
      <c r="D1398" s="104"/>
    </row>
    <row r="1399" spans="4:4" x14ac:dyDescent="0.3">
      <c r="D1399" s="104"/>
    </row>
    <row r="1400" spans="4:4" x14ac:dyDescent="0.3">
      <c r="D1400" s="104"/>
    </row>
    <row r="1401" spans="4:4" x14ac:dyDescent="0.3">
      <c r="D1401" s="104"/>
    </row>
    <row r="1402" spans="4:4" x14ac:dyDescent="0.3">
      <c r="D1402" s="104"/>
    </row>
    <row r="1403" spans="4:4" x14ac:dyDescent="0.3">
      <c r="D1403" s="104"/>
    </row>
    <row r="1404" spans="4:4" x14ac:dyDescent="0.3">
      <c r="D1404" s="104"/>
    </row>
    <row r="1405" spans="4:4" x14ac:dyDescent="0.3">
      <c r="D1405" s="104"/>
    </row>
    <row r="1406" spans="4:4" x14ac:dyDescent="0.3">
      <c r="D1406" s="104"/>
    </row>
    <row r="1407" spans="4:4" x14ac:dyDescent="0.3">
      <c r="D1407" s="104"/>
    </row>
    <row r="1408" spans="4:4" x14ac:dyDescent="0.3">
      <c r="D1408" s="104"/>
    </row>
    <row r="1409" spans="4:4" x14ac:dyDescent="0.3">
      <c r="D1409" s="104"/>
    </row>
    <row r="1410" spans="4:4" x14ac:dyDescent="0.3">
      <c r="D1410" s="104"/>
    </row>
    <row r="1411" spans="4:4" x14ac:dyDescent="0.3">
      <c r="D1411" s="104"/>
    </row>
    <row r="1412" spans="4:4" x14ac:dyDescent="0.3">
      <c r="D1412" s="104"/>
    </row>
    <row r="1413" spans="4:4" x14ac:dyDescent="0.3">
      <c r="D1413" s="104"/>
    </row>
    <row r="1414" spans="4:4" x14ac:dyDescent="0.3">
      <c r="D1414" s="104"/>
    </row>
    <row r="1415" spans="4:4" x14ac:dyDescent="0.3">
      <c r="D1415" s="104"/>
    </row>
    <row r="1416" spans="4:4" x14ac:dyDescent="0.3">
      <c r="D1416" s="104"/>
    </row>
    <row r="1417" spans="4:4" x14ac:dyDescent="0.3">
      <c r="D1417" s="104"/>
    </row>
    <row r="1418" spans="4:4" x14ac:dyDescent="0.3">
      <c r="D1418" s="104"/>
    </row>
    <row r="1419" spans="4:4" x14ac:dyDescent="0.3">
      <c r="D1419" s="104"/>
    </row>
    <row r="1420" spans="4:4" x14ac:dyDescent="0.3">
      <c r="D1420" s="104"/>
    </row>
    <row r="1421" spans="4:4" x14ac:dyDescent="0.3">
      <c r="D1421" s="104"/>
    </row>
    <row r="1422" spans="4:4" x14ac:dyDescent="0.3">
      <c r="D1422" s="104"/>
    </row>
    <row r="1423" spans="4:4" x14ac:dyDescent="0.3">
      <c r="D1423" s="104"/>
    </row>
    <row r="1424" spans="4:4" x14ac:dyDescent="0.3">
      <c r="D1424" s="104"/>
    </row>
    <row r="1425" spans="4:4" x14ac:dyDescent="0.3">
      <c r="D1425" s="104"/>
    </row>
    <row r="1426" spans="4:4" x14ac:dyDescent="0.3">
      <c r="D1426" s="104"/>
    </row>
    <row r="1427" spans="4:4" x14ac:dyDescent="0.3">
      <c r="D1427" s="104"/>
    </row>
    <row r="1428" spans="4:4" x14ac:dyDescent="0.3">
      <c r="D1428" s="104"/>
    </row>
    <row r="1429" spans="4:4" x14ac:dyDescent="0.3">
      <c r="D1429" s="104"/>
    </row>
    <row r="1430" spans="4:4" x14ac:dyDescent="0.3">
      <c r="D1430" s="104"/>
    </row>
    <row r="1431" spans="4:4" x14ac:dyDescent="0.3">
      <c r="D1431" s="104"/>
    </row>
    <row r="1432" spans="4:4" x14ac:dyDescent="0.3">
      <c r="D1432" s="104"/>
    </row>
    <row r="1433" spans="4:4" x14ac:dyDescent="0.3">
      <c r="D1433" s="104"/>
    </row>
    <row r="1434" spans="4:4" x14ac:dyDescent="0.3">
      <c r="D1434" s="104"/>
    </row>
    <row r="1435" spans="4:4" x14ac:dyDescent="0.3">
      <c r="D1435" s="104"/>
    </row>
    <row r="1436" spans="4:4" x14ac:dyDescent="0.3">
      <c r="D1436" s="104"/>
    </row>
    <row r="1437" spans="4:4" x14ac:dyDescent="0.3">
      <c r="D1437" s="104"/>
    </row>
    <row r="1438" spans="4:4" x14ac:dyDescent="0.3">
      <c r="D1438" s="104"/>
    </row>
    <row r="1439" spans="4:4" x14ac:dyDescent="0.3">
      <c r="D1439" s="104"/>
    </row>
    <row r="1440" spans="4:4" x14ac:dyDescent="0.3">
      <c r="D1440" s="104"/>
    </row>
    <row r="1441" spans="4:4" x14ac:dyDescent="0.3">
      <c r="D1441" s="104"/>
    </row>
    <row r="1442" spans="4:4" x14ac:dyDescent="0.3">
      <c r="D1442" s="104"/>
    </row>
    <row r="1443" spans="4:4" x14ac:dyDescent="0.3">
      <c r="D1443" s="104"/>
    </row>
    <row r="1444" spans="4:4" x14ac:dyDescent="0.3">
      <c r="D1444" s="104"/>
    </row>
    <row r="1445" spans="4:4" x14ac:dyDescent="0.3">
      <c r="D1445" s="104"/>
    </row>
    <row r="1446" spans="4:4" x14ac:dyDescent="0.3">
      <c r="D1446" s="104"/>
    </row>
    <row r="1447" spans="4:4" x14ac:dyDescent="0.3">
      <c r="D1447" s="104"/>
    </row>
    <row r="1448" spans="4:4" x14ac:dyDescent="0.3">
      <c r="D1448" s="104"/>
    </row>
    <row r="1449" spans="4:4" x14ac:dyDescent="0.3">
      <c r="D1449" s="104"/>
    </row>
    <row r="1450" spans="4:4" x14ac:dyDescent="0.3">
      <c r="D1450" s="104"/>
    </row>
    <row r="1451" spans="4:4" x14ac:dyDescent="0.3">
      <c r="D1451" s="104"/>
    </row>
    <row r="1452" spans="4:4" x14ac:dyDescent="0.3">
      <c r="D1452" s="104"/>
    </row>
    <row r="1453" spans="4:4" x14ac:dyDescent="0.3">
      <c r="D1453" s="104"/>
    </row>
    <row r="1454" spans="4:4" x14ac:dyDescent="0.3">
      <c r="D1454" s="104"/>
    </row>
    <row r="1455" spans="4:4" x14ac:dyDescent="0.3">
      <c r="D1455" s="104"/>
    </row>
    <row r="1456" spans="4:4" x14ac:dyDescent="0.3">
      <c r="D1456" s="104"/>
    </row>
    <row r="1457" spans="4:4" x14ac:dyDescent="0.3">
      <c r="D1457" s="104"/>
    </row>
    <row r="1458" spans="4:4" x14ac:dyDescent="0.3">
      <c r="D1458" s="104"/>
    </row>
    <row r="1459" spans="4:4" x14ac:dyDescent="0.3">
      <c r="D1459" s="104"/>
    </row>
    <row r="1460" spans="4:4" x14ac:dyDescent="0.3">
      <c r="D1460" s="104"/>
    </row>
    <row r="1461" spans="4:4" x14ac:dyDescent="0.3">
      <c r="D1461" s="104"/>
    </row>
    <row r="1462" spans="4:4" x14ac:dyDescent="0.3">
      <c r="D1462" s="104"/>
    </row>
    <row r="1463" spans="4:4" x14ac:dyDescent="0.3">
      <c r="D1463" s="104"/>
    </row>
    <row r="1464" spans="4:4" x14ac:dyDescent="0.3">
      <c r="D1464" s="104"/>
    </row>
    <row r="1465" spans="4:4" x14ac:dyDescent="0.3">
      <c r="D1465" s="104"/>
    </row>
    <row r="1466" spans="4:4" x14ac:dyDescent="0.3">
      <c r="D1466" s="104"/>
    </row>
    <row r="1467" spans="4:4" x14ac:dyDescent="0.3">
      <c r="D1467" s="104"/>
    </row>
    <row r="1468" spans="4:4" x14ac:dyDescent="0.3">
      <c r="D1468" s="104"/>
    </row>
    <row r="1469" spans="4:4" x14ac:dyDescent="0.3">
      <c r="D1469" s="104"/>
    </row>
    <row r="1470" spans="4:4" x14ac:dyDescent="0.3">
      <c r="D1470" s="104"/>
    </row>
    <row r="1471" spans="4:4" x14ac:dyDescent="0.3">
      <c r="D1471" s="104"/>
    </row>
    <row r="1472" spans="4:4" x14ac:dyDescent="0.3">
      <c r="D1472" s="104"/>
    </row>
    <row r="1473" spans="4:4" x14ac:dyDescent="0.3">
      <c r="D1473" s="104"/>
    </row>
    <row r="1474" spans="4:4" x14ac:dyDescent="0.3">
      <c r="D1474" s="104"/>
    </row>
    <row r="1475" spans="4:4" x14ac:dyDescent="0.3">
      <c r="D1475" s="104"/>
    </row>
    <row r="1476" spans="4:4" x14ac:dyDescent="0.3">
      <c r="D1476" s="104"/>
    </row>
    <row r="1477" spans="4:4" x14ac:dyDescent="0.3">
      <c r="D1477" s="104"/>
    </row>
    <row r="1478" spans="4:4" x14ac:dyDescent="0.3">
      <c r="D1478" s="104"/>
    </row>
    <row r="1479" spans="4:4" x14ac:dyDescent="0.3">
      <c r="D1479" s="104"/>
    </row>
    <row r="1480" spans="4:4" x14ac:dyDescent="0.3">
      <c r="D1480" s="104"/>
    </row>
    <row r="1481" spans="4:4" x14ac:dyDescent="0.3">
      <c r="D1481" s="104"/>
    </row>
    <row r="1482" spans="4:4" x14ac:dyDescent="0.3">
      <c r="D1482" s="104"/>
    </row>
    <row r="1483" spans="4:4" x14ac:dyDescent="0.3">
      <c r="D1483" s="104"/>
    </row>
    <row r="1484" spans="4:4" x14ac:dyDescent="0.3">
      <c r="D1484" s="104"/>
    </row>
    <row r="1485" spans="4:4" x14ac:dyDescent="0.3">
      <c r="D1485" s="104"/>
    </row>
    <row r="1486" spans="4:4" x14ac:dyDescent="0.3">
      <c r="D1486" s="104"/>
    </row>
    <row r="1487" spans="4:4" x14ac:dyDescent="0.3">
      <c r="D1487" s="104"/>
    </row>
    <row r="1488" spans="4:4" x14ac:dyDescent="0.3">
      <c r="D1488" s="104"/>
    </row>
    <row r="1489" spans="4:4" x14ac:dyDescent="0.3">
      <c r="D1489" s="104"/>
    </row>
    <row r="1490" spans="4:4" x14ac:dyDescent="0.3">
      <c r="D1490" s="104"/>
    </row>
    <row r="1491" spans="4:4" x14ac:dyDescent="0.3">
      <c r="D1491" s="104"/>
    </row>
    <row r="1492" spans="4:4" x14ac:dyDescent="0.3">
      <c r="D1492" s="104"/>
    </row>
    <row r="1493" spans="4:4" x14ac:dyDescent="0.3">
      <c r="D1493" s="104"/>
    </row>
    <row r="1494" spans="4:4" x14ac:dyDescent="0.3">
      <c r="D1494" s="104"/>
    </row>
    <row r="1495" spans="4:4" x14ac:dyDescent="0.3">
      <c r="D1495" s="104"/>
    </row>
    <row r="1496" spans="4:4" x14ac:dyDescent="0.3">
      <c r="D1496" s="104"/>
    </row>
    <row r="1497" spans="4:4" x14ac:dyDescent="0.3">
      <c r="D1497" s="104"/>
    </row>
    <row r="1498" spans="4:4" x14ac:dyDescent="0.3">
      <c r="D1498" s="104"/>
    </row>
    <row r="1499" spans="4:4" x14ac:dyDescent="0.3">
      <c r="D1499" s="104"/>
    </row>
    <row r="1500" spans="4:4" x14ac:dyDescent="0.3">
      <c r="D1500" s="104"/>
    </row>
    <row r="1501" spans="4:4" x14ac:dyDescent="0.3">
      <c r="D1501" s="104"/>
    </row>
    <row r="1502" spans="4:4" x14ac:dyDescent="0.3">
      <c r="D1502" s="104"/>
    </row>
    <row r="1503" spans="4:4" x14ac:dyDescent="0.3">
      <c r="D1503" s="104"/>
    </row>
    <row r="1504" spans="4:4" x14ac:dyDescent="0.3">
      <c r="D1504" s="104"/>
    </row>
    <row r="1505" spans="4:4" x14ac:dyDescent="0.3">
      <c r="D1505" s="104"/>
    </row>
    <row r="1506" spans="4:4" x14ac:dyDescent="0.3">
      <c r="D1506" s="104"/>
    </row>
    <row r="1507" spans="4:4" x14ac:dyDescent="0.3">
      <c r="D1507" s="104"/>
    </row>
    <row r="1508" spans="4:4" x14ac:dyDescent="0.3">
      <c r="D1508" s="104"/>
    </row>
    <row r="1509" spans="4:4" x14ac:dyDescent="0.3">
      <c r="D1509" s="104"/>
    </row>
    <row r="1510" spans="4:4" x14ac:dyDescent="0.3">
      <c r="D1510" s="104"/>
    </row>
    <row r="1511" spans="4:4" x14ac:dyDescent="0.3">
      <c r="D1511" s="104"/>
    </row>
    <row r="1512" spans="4:4" x14ac:dyDescent="0.3">
      <c r="D1512" s="104"/>
    </row>
    <row r="1513" spans="4:4" x14ac:dyDescent="0.3">
      <c r="D1513" s="104"/>
    </row>
    <row r="1514" spans="4:4" x14ac:dyDescent="0.3">
      <c r="D1514" s="104"/>
    </row>
    <row r="1515" spans="4:4" x14ac:dyDescent="0.3">
      <c r="D1515" s="104"/>
    </row>
    <row r="1516" spans="4:4" x14ac:dyDescent="0.3">
      <c r="D1516" s="104"/>
    </row>
    <row r="1517" spans="4:4" x14ac:dyDescent="0.3">
      <c r="D1517" s="104"/>
    </row>
    <row r="1518" spans="4:4" x14ac:dyDescent="0.3">
      <c r="D1518" s="104"/>
    </row>
    <row r="1519" spans="4:4" x14ac:dyDescent="0.3">
      <c r="D1519" s="104"/>
    </row>
    <row r="1520" spans="4:4" x14ac:dyDescent="0.3">
      <c r="D1520" s="104"/>
    </row>
    <row r="1521" spans="4:4" x14ac:dyDescent="0.3">
      <c r="D1521" s="104"/>
    </row>
    <row r="1522" spans="4:4" x14ac:dyDescent="0.3">
      <c r="D1522" s="104"/>
    </row>
    <row r="1523" spans="4:4" x14ac:dyDescent="0.3">
      <c r="D1523" s="104"/>
    </row>
    <row r="1524" spans="4:4" x14ac:dyDescent="0.3">
      <c r="D1524" s="104"/>
    </row>
    <row r="1525" spans="4:4" x14ac:dyDescent="0.3">
      <c r="D1525" s="104"/>
    </row>
    <row r="1526" spans="4:4" x14ac:dyDescent="0.3">
      <c r="D1526" s="104"/>
    </row>
    <row r="1527" spans="4:4" x14ac:dyDescent="0.3">
      <c r="D1527" s="104"/>
    </row>
    <row r="1528" spans="4:4" x14ac:dyDescent="0.3">
      <c r="D1528" s="104"/>
    </row>
    <row r="1529" spans="4:4" x14ac:dyDescent="0.3">
      <c r="D1529" s="104"/>
    </row>
    <row r="1530" spans="4:4" x14ac:dyDescent="0.3">
      <c r="D1530" s="104"/>
    </row>
    <row r="1531" spans="4:4" x14ac:dyDescent="0.3">
      <c r="D1531" s="104"/>
    </row>
    <row r="1532" spans="4:4" x14ac:dyDescent="0.3">
      <c r="D1532" s="104"/>
    </row>
    <row r="1533" spans="4:4" x14ac:dyDescent="0.3">
      <c r="D1533" s="104"/>
    </row>
    <row r="1534" spans="4:4" x14ac:dyDescent="0.3">
      <c r="D1534" s="104"/>
    </row>
    <row r="1535" spans="4:4" x14ac:dyDescent="0.3">
      <c r="D1535" s="104"/>
    </row>
    <row r="1536" spans="4:4" x14ac:dyDescent="0.3">
      <c r="D1536" s="104"/>
    </row>
    <row r="1537" spans="4:4" x14ac:dyDescent="0.3">
      <c r="D1537" s="104"/>
    </row>
    <row r="1538" spans="4:4" x14ac:dyDescent="0.3">
      <c r="D1538" s="104"/>
    </row>
    <row r="1539" spans="4:4" x14ac:dyDescent="0.3">
      <c r="D1539" s="104"/>
    </row>
    <row r="1540" spans="4:4" x14ac:dyDescent="0.3">
      <c r="D1540" s="104"/>
    </row>
    <row r="1541" spans="4:4" x14ac:dyDescent="0.3">
      <c r="D1541" s="104"/>
    </row>
    <row r="1542" spans="4:4" x14ac:dyDescent="0.3">
      <c r="D1542" s="104"/>
    </row>
    <row r="1543" spans="4:4" x14ac:dyDescent="0.3">
      <c r="D1543" s="104"/>
    </row>
    <row r="1544" spans="4:4" x14ac:dyDescent="0.3">
      <c r="D1544" s="104"/>
    </row>
    <row r="1545" spans="4:4" x14ac:dyDescent="0.3">
      <c r="D1545" s="104"/>
    </row>
    <row r="1546" spans="4:4" x14ac:dyDescent="0.3">
      <c r="D1546" s="104"/>
    </row>
    <row r="1547" spans="4:4" x14ac:dyDescent="0.3">
      <c r="D1547" s="104"/>
    </row>
    <row r="1548" spans="4:4" x14ac:dyDescent="0.3">
      <c r="D1548" s="104"/>
    </row>
    <row r="1549" spans="4:4" x14ac:dyDescent="0.3">
      <c r="D1549" s="104"/>
    </row>
    <row r="1550" spans="4:4" x14ac:dyDescent="0.3">
      <c r="D1550" s="104"/>
    </row>
    <row r="1551" spans="4:4" x14ac:dyDescent="0.3">
      <c r="D1551" s="104"/>
    </row>
    <row r="1552" spans="4:4" x14ac:dyDescent="0.3">
      <c r="D1552" s="104"/>
    </row>
    <row r="1553" spans="4:4" x14ac:dyDescent="0.3">
      <c r="D1553" s="104"/>
    </row>
    <row r="1554" spans="4:4" x14ac:dyDescent="0.3">
      <c r="D1554" s="104"/>
    </row>
    <row r="1555" spans="4:4" x14ac:dyDescent="0.3">
      <c r="D1555" s="104"/>
    </row>
    <row r="1556" spans="4:4" x14ac:dyDescent="0.3">
      <c r="D1556" s="104"/>
    </row>
    <row r="1557" spans="4:4" x14ac:dyDescent="0.3">
      <c r="D1557" s="104"/>
    </row>
    <row r="1558" spans="4:4" x14ac:dyDescent="0.3">
      <c r="D1558" s="104"/>
    </row>
    <row r="1559" spans="4:4" x14ac:dyDescent="0.3">
      <c r="D1559" s="104"/>
    </row>
    <row r="1560" spans="4:4" x14ac:dyDescent="0.3">
      <c r="D1560" s="104"/>
    </row>
    <row r="1561" spans="4:4" x14ac:dyDescent="0.3">
      <c r="D1561" s="104"/>
    </row>
    <row r="1562" spans="4:4" x14ac:dyDescent="0.3">
      <c r="D1562" s="104"/>
    </row>
    <row r="1563" spans="4:4" x14ac:dyDescent="0.3">
      <c r="D1563" s="104"/>
    </row>
    <row r="1564" spans="4:4" x14ac:dyDescent="0.3">
      <c r="D1564" s="104"/>
    </row>
    <row r="1565" spans="4:4" x14ac:dyDescent="0.3">
      <c r="D1565" s="104"/>
    </row>
    <row r="1566" spans="4:4" x14ac:dyDescent="0.3">
      <c r="D1566" s="104"/>
    </row>
    <row r="1567" spans="4:4" x14ac:dyDescent="0.3">
      <c r="D1567" s="104"/>
    </row>
    <row r="1568" spans="4:4" x14ac:dyDescent="0.3">
      <c r="D1568" s="104"/>
    </row>
    <row r="1569" spans="4:4" x14ac:dyDescent="0.3">
      <c r="D1569" s="104"/>
    </row>
    <row r="1570" spans="4:4" x14ac:dyDescent="0.3">
      <c r="D1570" s="104"/>
    </row>
    <row r="1571" spans="4:4" x14ac:dyDescent="0.3">
      <c r="D1571" s="104"/>
    </row>
    <row r="1572" spans="4:4" x14ac:dyDescent="0.3">
      <c r="D1572" s="104"/>
    </row>
    <row r="1573" spans="4:4" x14ac:dyDescent="0.3">
      <c r="D1573" s="104"/>
    </row>
    <row r="1574" spans="4:4" x14ac:dyDescent="0.3">
      <c r="D1574" s="104"/>
    </row>
    <row r="1575" spans="4:4" x14ac:dyDescent="0.3">
      <c r="D1575" s="104"/>
    </row>
    <row r="1576" spans="4:4" x14ac:dyDescent="0.3">
      <c r="D1576" s="104"/>
    </row>
    <row r="1577" spans="4:4" x14ac:dyDescent="0.3">
      <c r="D1577" s="104"/>
    </row>
    <row r="1578" spans="4:4" x14ac:dyDescent="0.3">
      <c r="D1578" s="104"/>
    </row>
    <row r="1579" spans="4:4" x14ac:dyDescent="0.3">
      <c r="D1579" s="104"/>
    </row>
    <row r="1580" spans="4:4" x14ac:dyDescent="0.3">
      <c r="D1580" s="104"/>
    </row>
    <row r="1581" spans="4:4" x14ac:dyDescent="0.3">
      <c r="D1581" s="104"/>
    </row>
    <row r="1582" spans="4:4" x14ac:dyDescent="0.3">
      <c r="D1582" s="104"/>
    </row>
    <row r="1583" spans="4:4" x14ac:dyDescent="0.3">
      <c r="D1583" s="104"/>
    </row>
    <row r="1584" spans="4:4" x14ac:dyDescent="0.3">
      <c r="D1584" s="104"/>
    </row>
    <row r="1585" spans="4:4" x14ac:dyDescent="0.3">
      <c r="D1585" s="104"/>
    </row>
    <row r="1586" spans="4:4" x14ac:dyDescent="0.3">
      <c r="D1586" s="104"/>
    </row>
    <row r="1587" spans="4:4" x14ac:dyDescent="0.3">
      <c r="D1587" s="104"/>
    </row>
    <row r="1588" spans="4:4" x14ac:dyDescent="0.3">
      <c r="D1588" s="104"/>
    </row>
    <row r="1589" spans="4:4" x14ac:dyDescent="0.3">
      <c r="D1589" s="104"/>
    </row>
    <row r="1590" spans="4:4" x14ac:dyDescent="0.3">
      <c r="D1590" s="104"/>
    </row>
    <row r="1591" spans="4:4" x14ac:dyDescent="0.3">
      <c r="D1591" s="104"/>
    </row>
    <row r="1592" spans="4:4" x14ac:dyDescent="0.3">
      <c r="D1592" s="104"/>
    </row>
    <row r="1593" spans="4:4" x14ac:dyDescent="0.3">
      <c r="D1593" s="104"/>
    </row>
    <row r="1594" spans="4:4" x14ac:dyDescent="0.3">
      <c r="D1594" s="104"/>
    </row>
    <row r="1595" spans="4:4" x14ac:dyDescent="0.3">
      <c r="D1595" s="104"/>
    </row>
    <row r="1596" spans="4:4" x14ac:dyDescent="0.3">
      <c r="D1596" s="104"/>
    </row>
    <row r="1597" spans="4:4" x14ac:dyDescent="0.3">
      <c r="D1597" s="104"/>
    </row>
    <row r="1598" spans="4:4" x14ac:dyDescent="0.3">
      <c r="D1598" s="104"/>
    </row>
    <row r="1599" spans="4:4" x14ac:dyDescent="0.3">
      <c r="D1599" s="104"/>
    </row>
    <row r="1600" spans="4:4" x14ac:dyDescent="0.3">
      <c r="D1600" s="104"/>
    </row>
    <row r="1601" spans="4:4" x14ac:dyDescent="0.3">
      <c r="D1601" s="104"/>
    </row>
    <row r="1602" spans="4:4" x14ac:dyDescent="0.3">
      <c r="D1602" s="104"/>
    </row>
    <row r="1603" spans="4:4" x14ac:dyDescent="0.3">
      <c r="D1603" s="104"/>
    </row>
    <row r="1604" spans="4:4" x14ac:dyDescent="0.3">
      <c r="D1604" s="104"/>
    </row>
    <row r="1605" spans="4:4" x14ac:dyDescent="0.3">
      <c r="D1605" s="104"/>
    </row>
    <row r="1606" spans="4:4" x14ac:dyDescent="0.3">
      <c r="D1606" s="104"/>
    </row>
    <row r="1607" spans="4:4" x14ac:dyDescent="0.3">
      <c r="D1607" s="104"/>
    </row>
    <row r="1608" spans="4:4" x14ac:dyDescent="0.3">
      <c r="D1608" s="104"/>
    </row>
    <row r="1609" spans="4:4" x14ac:dyDescent="0.3">
      <c r="D1609" s="104"/>
    </row>
    <row r="1610" spans="4:4" x14ac:dyDescent="0.3">
      <c r="D1610" s="104"/>
    </row>
    <row r="1611" spans="4:4" x14ac:dyDescent="0.3">
      <c r="D1611" s="104"/>
    </row>
    <row r="1612" spans="4:4" x14ac:dyDescent="0.3">
      <c r="D1612" s="104"/>
    </row>
    <row r="1613" spans="4:4" x14ac:dyDescent="0.3">
      <c r="D1613" s="104"/>
    </row>
    <row r="1614" spans="4:4" x14ac:dyDescent="0.3">
      <c r="D1614" s="104"/>
    </row>
    <row r="1615" spans="4:4" x14ac:dyDescent="0.3">
      <c r="D1615" s="104"/>
    </row>
    <row r="1616" spans="4:4" x14ac:dyDescent="0.3">
      <c r="D1616" s="104"/>
    </row>
    <row r="1617" spans="4:4" x14ac:dyDescent="0.3">
      <c r="D1617" s="104"/>
    </row>
    <row r="1618" spans="4:4" x14ac:dyDescent="0.3">
      <c r="D1618" s="104"/>
    </row>
    <row r="1619" spans="4:4" x14ac:dyDescent="0.3">
      <c r="D1619" s="104"/>
    </row>
    <row r="1620" spans="4:4" x14ac:dyDescent="0.3">
      <c r="D1620" s="104"/>
    </row>
    <row r="1621" spans="4:4" x14ac:dyDescent="0.3">
      <c r="D1621" s="104"/>
    </row>
    <row r="1622" spans="4:4" x14ac:dyDescent="0.3">
      <c r="D1622" s="104"/>
    </row>
    <row r="1623" spans="4:4" x14ac:dyDescent="0.3">
      <c r="D1623" s="104"/>
    </row>
    <row r="1624" spans="4:4" x14ac:dyDescent="0.3">
      <c r="D1624" s="104"/>
    </row>
    <row r="1625" spans="4:4" x14ac:dyDescent="0.3">
      <c r="D1625" s="104"/>
    </row>
    <row r="1626" spans="4:4" x14ac:dyDescent="0.3">
      <c r="D1626" s="104"/>
    </row>
    <row r="1627" spans="4:4" x14ac:dyDescent="0.3">
      <c r="D1627" s="104"/>
    </row>
    <row r="1628" spans="4:4" x14ac:dyDescent="0.3">
      <c r="D1628" s="104"/>
    </row>
    <row r="1629" spans="4:4" x14ac:dyDescent="0.3">
      <c r="D1629" s="104"/>
    </row>
    <row r="1630" spans="4:4" x14ac:dyDescent="0.3">
      <c r="D1630" s="104"/>
    </row>
    <row r="1631" spans="4:4" x14ac:dyDescent="0.3">
      <c r="D1631" s="104"/>
    </row>
    <row r="1632" spans="4:4" x14ac:dyDescent="0.3">
      <c r="D1632" s="104"/>
    </row>
    <row r="1633" spans="4:4" x14ac:dyDescent="0.3">
      <c r="D1633" s="104"/>
    </row>
    <row r="1634" spans="4:4" x14ac:dyDescent="0.3">
      <c r="D1634" s="104"/>
    </row>
    <row r="1635" spans="4:4" x14ac:dyDescent="0.3">
      <c r="D1635" s="104"/>
    </row>
    <row r="1636" spans="4:4" x14ac:dyDescent="0.3">
      <c r="D1636" s="104"/>
    </row>
    <row r="1637" spans="4:4" x14ac:dyDescent="0.3">
      <c r="D1637" s="104"/>
    </row>
    <row r="1638" spans="4:4" x14ac:dyDescent="0.3">
      <c r="D1638" s="104"/>
    </row>
    <row r="1639" spans="4:4" x14ac:dyDescent="0.3">
      <c r="D1639" s="104"/>
    </row>
    <row r="1640" spans="4:4" x14ac:dyDescent="0.3">
      <c r="D1640" s="104"/>
    </row>
    <row r="1641" spans="4:4" x14ac:dyDescent="0.3">
      <c r="D1641" s="104"/>
    </row>
    <row r="1642" spans="4:4" x14ac:dyDescent="0.3">
      <c r="D1642" s="104"/>
    </row>
    <row r="1643" spans="4:4" x14ac:dyDescent="0.3">
      <c r="D1643" s="104"/>
    </row>
    <row r="1644" spans="4:4" x14ac:dyDescent="0.3">
      <c r="D1644" s="104"/>
    </row>
    <row r="1645" spans="4:4" x14ac:dyDescent="0.3">
      <c r="D1645" s="104"/>
    </row>
    <row r="1646" spans="4:4" x14ac:dyDescent="0.3">
      <c r="D1646" s="104"/>
    </row>
    <row r="1647" spans="4:4" x14ac:dyDescent="0.3">
      <c r="D1647" s="104"/>
    </row>
    <row r="1648" spans="4:4" x14ac:dyDescent="0.3">
      <c r="D1648" s="104"/>
    </row>
    <row r="1649" spans="4:4" x14ac:dyDescent="0.3">
      <c r="D1649" s="104"/>
    </row>
    <row r="1650" spans="4:4" x14ac:dyDescent="0.3">
      <c r="D1650" s="104"/>
    </row>
    <row r="1651" spans="4:4" x14ac:dyDescent="0.3">
      <c r="D1651" s="104"/>
    </row>
    <row r="1652" spans="4:4" x14ac:dyDescent="0.3">
      <c r="D1652" s="104"/>
    </row>
    <row r="1653" spans="4:4" x14ac:dyDescent="0.3">
      <c r="D1653" s="104"/>
    </row>
    <row r="1654" spans="4:4" x14ac:dyDescent="0.3">
      <c r="D1654" s="104"/>
    </row>
    <row r="1655" spans="4:4" x14ac:dyDescent="0.3">
      <c r="D1655" s="104"/>
    </row>
    <row r="1656" spans="4:4" x14ac:dyDescent="0.3">
      <c r="D1656" s="104"/>
    </row>
    <row r="1657" spans="4:4" x14ac:dyDescent="0.3">
      <c r="D1657" s="104"/>
    </row>
    <row r="1658" spans="4:4" x14ac:dyDescent="0.3">
      <c r="D1658" s="104"/>
    </row>
    <row r="1659" spans="4:4" x14ac:dyDescent="0.3">
      <c r="D1659" s="104"/>
    </row>
    <row r="1660" spans="4:4" x14ac:dyDescent="0.3">
      <c r="D1660" s="104"/>
    </row>
    <row r="1661" spans="4:4" x14ac:dyDescent="0.3">
      <c r="D1661" s="104"/>
    </row>
    <row r="1662" spans="4:4" x14ac:dyDescent="0.3">
      <c r="D1662" s="104"/>
    </row>
    <row r="1663" spans="4:4" x14ac:dyDescent="0.3">
      <c r="D1663" s="104"/>
    </row>
    <row r="1664" spans="4:4" x14ac:dyDescent="0.3">
      <c r="D1664" s="104"/>
    </row>
    <row r="1665" spans="4:4" x14ac:dyDescent="0.3">
      <c r="D1665" s="104"/>
    </row>
    <row r="1666" spans="4:4" x14ac:dyDescent="0.3">
      <c r="D1666" s="104"/>
    </row>
    <row r="1667" spans="4:4" x14ac:dyDescent="0.3">
      <c r="D1667" s="104"/>
    </row>
    <row r="1668" spans="4:4" x14ac:dyDescent="0.3">
      <c r="D1668" s="104"/>
    </row>
    <row r="1669" spans="4:4" x14ac:dyDescent="0.3">
      <c r="D1669" s="104"/>
    </row>
    <row r="1670" spans="4:4" x14ac:dyDescent="0.3">
      <c r="D1670" s="104"/>
    </row>
    <row r="1671" spans="4:4" x14ac:dyDescent="0.3">
      <c r="D1671" s="104"/>
    </row>
    <row r="1672" spans="4:4" x14ac:dyDescent="0.3">
      <c r="D1672" s="104"/>
    </row>
    <row r="1673" spans="4:4" x14ac:dyDescent="0.3">
      <c r="D1673" s="104"/>
    </row>
    <row r="1674" spans="4:4" x14ac:dyDescent="0.3">
      <c r="D1674" s="104"/>
    </row>
    <row r="1675" spans="4:4" x14ac:dyDescent="0.3">
      <c r="D1675" s="104"/>
    </row>
    <row r="1676" spans="4:4" x14ac:dyDescent="0.3">
      <c r="D1676" s="104"/>
    </row>
    <row r="1677" spans="4:4" x14ac:dyDescent="0.3">
      <c r="D1677" s="104"/>
    </row>
    <row r="1678" spans="4:4" x14ac:dyDescent="0.3">
      <c r="D1678" s="104"/>
    </row>
    <row r="1679" spans="4:4" x14ac:dyDescent="0.3">
      <c r="D1679" s="104"/>
    </row>
    <row r="1680" spans="4:4" x14ac:dyDescent="0.3">
      <c r="D1680" s="104"/>
    </row>
    <row r="1681" spans="4:4" x14ac:dyDescent="0.3">
      <c r="D1681" s="104"/>
    </row>
    <row r="1682" spans="4:4" x14ac:dyDescent="0.3">
      <c r="D1682" s="104"/>
    </row>
    <row r="1683" spans="4:4" x14ac:dyDescent="0.3">
      <c r="D1683" s="104"/>
    </row>
    <row r="1684" spans="4:4" x14ac:dyDescent="0.3">
      <c r="D1684" s="104"/>
    </row>
    <row r="1685" spans="4:4" x14ac:dyDescent="0.3">
      <c r="D1685" s="104"/>
    </row>
    <row r="1686" spans="4:4" x14ac:dyDescent="0.3">
      <c r="D1686" s="104"/>
    </row>
    <row r="1687" spans="4:4" x14ac:dyDescent="0.3">
      <c r="D1687" s="104"/>
    </row>
    <row r="1688" spans="4:4" x14ac:dyDescent="0.3">
      <c r="D1688" s="104"/>
    </row>
    <row r="1689" spans="4:4" x14ac:dyDescent="0.3">
      <c r="D1689" s="104"/>
    </row>
    <row r="1690" spans="4:4" x14ac:dyDescent="0.3">
      <c r="D1690" s="104"/>
    </row>
    <row r="1691" spans="4:4" x14ac:dyDescent="0.3">
      <c r="D1691" s="104"/>
    </row>
    <row r="1692" spans="4:4" x14ac:dyDescent="0.3">
      <c r="D1692" s="104"/>
    </row>
    <row r="1693" spans="4:4" x14ac:dyDescent="0.3">
      <c r="D1693" s="104"/>
    </row>
    <row r="1694" spans="4:4" x14ac:dyDescent="0.3">
      <c r="D1694" s="104"/>
    </row>
    <row r="1695" spans="4:4" x14ac:dyDescent="0.3">
      <c r="D1695" s="104"/>
    </row>
    <row r="1696" spans="4:4" x14ac:dyDescent="0.3">
      <c r="D1696" s="104"/>
    </row>
    <row r="1697" spans="4:4" x14ac:dyDescent="0.3">
      <c r="D1697" s="104"/>
    </row>
    <row r="1698" spans="4:4" x14ac:dyDescent="0.3">
      <c r="D1698" s="104"/>
    </row>
    <row r="1699" spans="4:4" x14ac:dyDescent="0.3">
      <c r="D1699" s="104"/>
    </row>
    <row r="1700" spans="4:4" x14ac:dyDescent="0.3">
      <c r="D1700" s="104"/>
    </row>
    <row r="1701" spans="4:4" x14ac:dyDescent="0.3">
      <c r="D1701" s="104"/>
    </row>
    <row r="1702" spans="4:4" x14ac:dyDescent="0.3">
      <c r="D1702" s="104"/>
    </row>
    <row r="1703" spans="4:4" x14ac:dyDescent="0.3">
      <c r="D1703" s="104"/>
    </row>
    <row r="1704" spans="4:4" x14ac:dyDescent="0.3">
      <c r="D1704" s="104"/>
    </row>
    <row r="1705" spans="4:4" x14ac:dyDescent="0.3">
      <c r="D1705" s="104"/>
    </row>
    <row r="1706" spans="4:4" x14ac:dyDescent="0.3">
      <c r="D1706" s="104"/>
    </row>
    <row r="1707" spans="4:4" x14ac:dyDescent="0.3">
      <c r="D1707" s="104"/>
    </row>
    <row r="1708" spans="4:4" x14ac:dyDescent="0.3">
      <c r="D1708" s="104"/>
    </row>
    <row r="1709" spans="4:4" x14ac:dyDescent="0.3">
      <c r="D1709" s="104"/>
    </row>
    <row r="1710" spans="4:4" x14ac:dyDescent="0.3">
      <c r="D1710" s="104"/>
    </row>
    <row r="1711" spans="4:4" x14ac:dyDescent="0.3">
      <c r="D1711" s="104"/>
    </row>
    <row r="1712" spans="4:4" x14ac:dyDescent="0.3">
      <c r="D1712" s="104"/>
    </row>
    <row r="1713" spans="4:4" x14ac:dyDescent="0.3">
      <c r="D1713" s="104"/>
    </row>
    <row r="1714" spans="4:4" x14ac:dyDescent="0.3">
      <c r="D1714" s="104"/>
    </row>
    <row r="1715" spans="4:4" x14ac:dyDescent="0.3">
      <c r="D1715" s="104"/>
    </row>
    <row r="1716" spans="4:4" x14ac:dyDescent="0.3">
      <c r="D1716" s="104"/>
    </row>
    <row r="1717" spans="4:4" x14ac:dyDescent="0.3">
      <c r="D1717" s="104"/>
    </row>
    <row r="1718" spans="4:4" x14ac:dyDescent="0.3">
      <c r="D1718" s="104"/>
    </row>
    <row r="1719" spans="4:4" x14ac:dyDescent="0.3">
      <c r="D1719" s="104"/>
    </row>
    <row r="1720" spans="4:4" x14ac:dyDescent="0.3">
      <c r="D1720" s="104"/>
    </row>
    <row r="1721" spans="4:4" x14ac:dyDescent="0.3">
      <c r="D1721" s="104"/>
    </row>
    <row r="1722" spans="4:4" x14ac:dyDescent="0.3">
      <c r="D1722" s="104"/>
    </row>
    <row r="1723" spans="4:4" x14ac:dyDescent="0.3">
      <c r="D1723" s="104"/>
    </row>
    <row r="1724" spans="4:4" x14ac:dyDescent="0.3">
      <c r="D1724" s="104"/>
    </row>
    <row r="1725" spans="4:4" x14ac:dyDescent="0.3">
      <c r="D1725" s="104"/>
    </row>
    <row r="1726" spans="4:4" x14ac:dyDescent="0.3">
      <c r="D1726" s="104"/>
    </row>
    <row r="1727" spans="4:4" x14ac:dyDescent="0.3">
      <c r="D1727" s="104"/>
    </row>
    <row r="1728" spans="4:4" x14ac:dyDescent="0.3">
      <c r="D1728" s="104"/>
    </row>
    <row r="1729" spans="4:4" x14ac:dyDescent="0.3">
      <c r="D1729" s="104"/>
    </row>
    <row r="1730" spans="4:4" x14ac:dyDescent="0.3">
      <c r="D1730" s="104"/>
    </row>
    <row r="1731" spans="4:4" x14ac:dyDescent="0.3">
      <c r="D1731" s="104"/>
    </row>
    <row r="1732" spans="4:4" x14ac:dyDescent="0.3">
      <c r="D1732" s="104"/>
    </row>
    <row r="1733" spans="4:4" x14ac:dyDescent="0.3">
      <c r="D1733" s="104"/>
    </row>
    <row r="1734" spans="4:4" x14ac:dyDescent="0.3">
      <c r="D1734" s="104"/>
    </row>
    <row r="1735" spans="4:4" x14ac:dyDescent="0.3">
      <c r="D1735" s="104"/>
    </row>
    <row r="1736" spans="4:4" x14ac:dyDescent="0.3">
      <c r="D1736" s="104"/>
    </row>
    <row r="1737" spans="4:4" x14ac:dyDescent="0.3">
      <c r="D1737" s="104"/>
    </row>
    <row r="1738" spans="4:4" x14ac:dyDescent="0.3">
      <c r="D1738" s="104"/>
    </row>
    <row r="1739" spans="4:4" x14ac:dyDescent="0.3">
      <c r="D1739" s="104"/>
    </row>
    <row r="1740" spans="4:4" x14ac:dyDescent="0.3">
      <c r="D1740" s="104"/>
    </row>
    <row r="1741" spans="4:4" x14ac:dyDescent="0.3">
      <c r="D1741" s="104"/>
    </row>
    <row r="1742" spans="4:4" x14ac:dyDescent="0.3">
      <c r="D1742" s="104"/>
    </row>
    <row r="1743" spans="4:4" x14ac:dyDescent="0.3">
      <c r="D1743" s="104"/>
    </row>
    <row r="1744" spans="4:4" x14ac:dyDescent="0.3">
      <c r="D1744" s="104"/>
    </row>
    <row r="1745" spans="4:4" x14ac:dyDescent="0.3">
      <c r="D1745" s="104"/>
    </row>
    <row r="1746" spans="4:4" x14ac:dyDescent="0.3">
      <c r="D1746" s="104"/>
    </row>
    <row r="1747" spans="4:4" x14ac:dyDescent="0.3">
      <c r="D1747" s="104"/>
    </row>
    <row r="1748" spans="4:4" x14ac:dyDescent="0.3">
      <c r="D1748" s="104"/>
    </row>
    <row r="1749" spans="4:4" x14ac:dyDescent="0.3">
      <c r="D1749" s="104"/>
    </row>
    <row r="1750" spans="4:4" x14ac:dyDescent="0.3">
      <c r="D1750" s="104"/>
    </row>
    <row r="1751" spans="4:4" x14ac:dyDescent="0.3">
      <c r="D1751" s="104"/>
    </row>
    <row r="1752" spans="4:4" x14ac:dyDescent="0.3">
      <c r="D1752" s="104"/>
    </row>
    <row r="1753" spans="4:4" x14ac:dyDescent="0.3">
      <c r="D1753" s="104"/>
    </row>
    <row r="1754" spans="4:4" x14ac:dyDescent="0.3">
      <c r="D1754" s="104"/>
    </row>
    <row r="1755" spans="4:4" x14ac:dyDescent="0.3">
      <c r="D1755" s="104"/>
    </row>
    <row r="1756" spans="4:4" x14ac:dyDescent="0.3">
      <c r="D1756" s="104"/>
    </row>
    <row r="1757" spans="4:4" x14ac:dyDescent="0.3">
      <c r="D1757" s="104"/>
    </row>
    <row r="1758" spans="4:4" x14ac:dyDescent="0.3">
      <c r="D1758" s="104"/>
    </row>
    <row r="1759" spans="4:4" x14ac:dyDescent="0.3">
      <c r="D1759" s="104"/>
    </row>
    <row r="1760" spans="4:4" x14ac:dyDescent="0.3">
      <c r="D1760" s="104"/>
    </row>
    <row r="1761" spans="4:4" x14ac:dyDescent="0.3">
      <c r="D1761" s="104"/>
    </row>
    <row r="1762" spans="4:4" x14ac:dyDescent="0.3">
      <c r="D1762" s="104"/>
    </row>
    <row r="1763" spans="4:4" x14ac:dyDescent="0.3">
      <c r="D1763" s="104"/>
    </row>
    <row r="1764" spans="4:4" x14ac:dyDescent="0.3">
      <c r="D1764" s="104"/>
    </row>
    <row r="1765" spans="4:4" x14ac:dyDescent="0.3">
      <c r="D1765" s="104"/>
    </row>
    <row r="1766" spans="4:4" x14ac:dyDescent="0.3">
      <c r="D1766" s="104"/>
    </row>
    <row r="1767" spans="4:4" x14ac:dyDescent="0.3">
      <c r="D1767" s="104"/>
    </row>
    <row r="1768" spans="4:4" x14ac:dyDescent="0.3">
      <c r="D1768" s="104"/>
    </row>
    <row r="1769" spans="4:4" x14ac:dyDescent="0.3">
      <c r="D1769" s="104"/>
    </row>
    <row r="1770" spans="4:4" x14ac:dyDescent="0.3">
      <c r="D1770" s="104"/>
    </row>
    <row r="1771" spans="4:4" x14ac:dyDescent="0.3">
      <c r="D1771" s="104"/>
    </row>
    <row r="1772" spans="4:4" x14ac:dyDescent="0.3">
      <c r="D1772" s="104"/>
    </row>
    <row r="1773" spans="4:4" x14ac:dyDescent="0.3">
      <c r="D1773" s="104"/>
    </row>
    <row r="1774" spans="4:4" x14ac:dyDescent="0.3">
      <c r="D1774" s="104"/>
    </row>
    <row r="1775" spans="4:4" x14ac:dyDescent="0.3">
      <c r="D1775" s="104"/>
    </row>
    <row r="1776" spans="4:4" x14ac:dyDescent="0.3">
      <c r="D1776" s="104"/>
    </row>
    <row r="1777" spans="4:4" x14ac:dyDescent="0.3">
      <c r="D1777" s="104"/>
    </row>
    <row r="1778" spans="4:4" x14ac:dyDescent="0.3">
      <c r="D1778" s="104"/>
    </row>
    <row r="1779" spans="4:4" x14ac:dyDescent="0.3">
      <c r="D1779" s="104"/>
    </row>
    <row r="1780" spans="4:4" x14ac:dyDescent="0.3">
      <c r="D1780" s="104"/>
    </row>
    <row r="1781" spans="4:4" x14ac:dyDescent="0.3">
      <c r="D1781" s="104"/>
    </row>
    <row r="1782" spans="4:4" x14ac:dyDescent="0.3">
      <c r="D1782" s="104"/>
    </row>
    <row r="1783" spans="4:4" x14ac:dyDescent="0.3">
      <c r="D1783" s="104"/>
    </row>
    <row r="1784" spans="4:4" x14ac:dyDescent="0.3">
      <c r="D1784" s="104"/>
    </row>
    <row r="1785" spans="4:4" x14ac:dyDescent="0.3">
      <c r="D1785" s="104"/>
    </row>
    <row r="1786" spans="4:4" x14ac:dyDescent="0.3">
      <c r="D1786" s="104"/>
    </row>
    <row r="1787" spans="4:4" x14ac:dyDescent="0.3">
      <c r="D1787" s="104"/>
    </row>
    <row r="1788" spans="4:4" x14ac:dyDescent="0.3">
      <c r="D1788" s="104"/>
    </row>
    <row r="1789" spans="4:4" x14ac:dyDescent="0.3">
      <c r="D1789" s="104"/>
    </row>
    <row r="1790" spans="4:4" x14ac:dyDescent="0.3">
      <c r="D1790" s="104"/>
    </row>
    <row r="1791" spans="4:4" x14ac:dyDescent="0.3">
      <c r="D1791" s="104"/>
    </row>
    <row r="1792" spans="4:4" x14ac:dyDescent="0.3">
      <c r="D1792" s="104"/>
    </row>
    <row r="1793" spans="4:4" x14ac:dyDescent="0.3">
      <c r="D1793" s="104"/>
    </row>
    <row r="1794" spans="4:4" x14ac:dyDescent="0.3">
      <c r="D1794" s="104"/>
    </row>
    <row r="1795" spans="4:4" x14ac:dyDescent="0.3">
      <c r="D1795" s="104"/>
    </row>
    <row r="1796" spans="4:4" x14ac:dyDescent="0.3">
      <c r="D1796" s="104"/>
    </row>
    <row r="1797" spans="4:4" x14ac:dyDescent="0.3">
      <c r="D1797" s="104"/>
    </row>
    <row r="1798" spans="4:4" x14ac:dyDescent="0.3">
      <c r="D1798" s="104"/>
    </row>
    <row r="1799" spans="4:4" x14ac:dyDescent="0.3">
      <c r="D1799" s="104"/>
    </row>
    <row r="1800" spans="4:4" x14ac:dyDescent="0.3">
      <c r="D1800" s="104"/>
    </row>
    <row r="1801" spans="4:4" x14ac:dyDescent="0.3">
      <c r="D1801" s="104"/>
    </row>
    <row r="1802" spans="4:4" x14ac:dyDescent="0.3">
      <c r="D1802" s="104"/>
    </row>
    <row r="1803" spans="4:4" x14ac:dyDescent="0.3">
      <c r="D1803" s="104"/>
    </row>
    <row r="1804" spans="4:4" x14ac:dyDescent="0.3">
      <c r="D1804" s="104"/>
    </row>
    <row r="1805" spans="4:4" x14ac:dyDescent="0.3">
      <c r="D1805" s="104"/>
    </row>
    <row r="1806" spans="4:4" x14ac:dyDescent="0.3">
      <c r="D1806" s="104"/>
    </row>
    <row r="1807" spans="4:4" x14ac:dyDescent="0.3">
      <c r="D1807" s="104"/>
    </row>
    <row r="1808" spans="4:4" x14ac:dyDescent="0.3">
      <c r="D1808" s="104"/>
    </row>
    <row r="1809" spans="4:4" x14ac:dyDescent="0.3">
      <c r="D1809" s="104"/>
    </row>
    <row r="1810" spans="4:4" x14ac:dyDescent="0.3">
      <c r="D1810" s="104"/>
    </row>
    <row r="1811" spans="4:4" x14ac:dyDescent="0.3">
      <c r="D1811" s="104"/>
    </row>
    <row r="1812" spans="4:4" x14ac:dyDescent="0.3">
      <c r="D1812" s="104"/>
    </row>
    <row r="1813" spans="4:4" x14ac:dyDescent="0.3">
      <c r="D1813" s="104"/>
    </row>
    <row r="1814" spans="4:4" x14ac:dyDescent="0.3">
      <c r="D1814" s="104"/>
    </row>
    <row r="1815" spans="4:4" x14ac:dyDescent="0.3">
      <c r="D1815" s="104"/>
    </row>
    <row r="1816" spans="4:4" x14ac:dyDescent="0.3">
      <c r="D1816" s="104"/>
    </row>
    <row r="1817" spans="4:4" x14ac:dyDescent="0.3">
      <c r="D1817" s="104"/>
    </row>
    <row r="1818" spans="4:4" x14ac:dyDescent="0.3">
      <c r="D1818" s="104"/>
    </row>
    <row r="1819" spans="4:4" x14ac:dyDescent="0.3">
      <c r="D1819" s="104"/>
    </row>
    <row r="1820" spans="4:4" x14ac:dyDescent="0.3">
      <c r="D1820" s="104"/>
    </row>
    <row r="1821" spans="4:4" x14ac:dyDescent="0.3">
      <c r="D1821" s="104"/>
    </row>
    <row r="1822" spans="4:4" x14ac:dyDescent="0.3">
      <c r="D1822" s="104"/>
    </row>
    <row r="1823" spans="4:4" x14ac:dyDescent="0.3">
      <c r="D1823" s="104"/>
    </row>
    <row r="1824" spans="4:4" x14ac:dyDescent="0.3">
      <c r="D1824" s="104"/>
    </row>
    <row r="1825" spans="4:4" x14ac:dyDescent="0.3">
      <c r="D1825" s="104"/>
    </row>
    <row r="1826" spans="4:4" x14ac:dyDescent="0.3">
      <c r="D1826" s="104"/>
    </row>
    <row r="1827" spans="4:4" x14ac:dyDescent="0.3">
      <c r="D1827" s="104"/>
    </row>
    <row r="1828" spans="4:4" x14ac:dyDescent="0.3">
      <c r="D1828" s="104"/>
    </row>
    <row r="1829" spans="4:4" x14ac:dyDescent="0.3">
      <c r="D1829" s="104"/>
    </row>
    <row r="1830" spans="4:4" x14ac:dyDescent="0.3">
      <c r="D1830" s="104"/>
    </row>
    <row r="1831" spans="4:4" x14ac:dyDescent="0.3">
      <c r="D1831" s="104"/>
    </row>
    <row r="1832" spans="4:4" x14ac:dyDescent="0.3">
      <c r="D1832" s="104"/>
    </row>
    <row r="1833" spans="4:4" x14ac:dyDescent="0.3">
      <c r="D1833" s="104"/>
    </row>
    <row r="1834" spans="4:4" x14ac:dyDescent="0.3">
      <c r="D1834" s="104"/>
    </row>
    <row r="1835" spans="4:4" x14ac:dyDescent="0.3">
      <c r="D1835" s="104"/>
    </row>
    <row r="1836" spans="4:4" x14ac:dyDescent="0.3">
      <c r="D1836" s="104"/>
    </row>
    <row r="1837" spans="4:4" x14ac:dyDescent="0.3">
      <c r="D1837" s="104"/>
    </row>
    <row r="1838" spans="4:4" x14ac:dyDescent="0.3">
      <c r="D1838" s="104"/>
    </row>
    <row r="1839" spans="4:4" x14ac:dyDescent="0.3">
      <c r="D1839" s="104"/>
    </row>
    <row r="1840" spans="4:4" x14ac:dyDescent="0.3">
      <c r="D1840" s="104"/>
    </row>
    <row r="1841" spans="4:4" x14ac:dyDescent="0.3">
      <c r="D1841" s="104"/>
    </row>
    <row r="1842" spans="4:4" x14ac:dyDescent="0.3">
      <c r="D1842" s="104"/>
    </row>
    <row r="1843" spans="4:4" x14ac:dyDescent="0.3">
      <c r="D1843" s="104"/>
    </row>
    <row r="1844" spans="4:4" x14ac:dyDescent="0.3">
      <c r="D1844" s="104"/>
    </row>
    <row r="1845" spans="4:4" x14ac:dyDescent="0.3">
      <c r="D1845" s="104"/>
    </row>
    <row r="1846" spans="4:4" x14ac:dyDescent="0.3">
      <c r="D1846" s="104"/>
    </row>
    <row r="1847" spans="4:4" x14ac:dyDescent="0.3">
      <c r="D1847" s="104"/>
    </row>
    <row r="1848" spans="4:4" x14ac:dyDescent="0.3">
      <c r="D1848" s="104"/>
    </row>
    <row r="1849" spans="4:4" x14ac:dyDescent="0.3">
      <c r="D1849" s="104"/>
    </row>
    <row r="1850" spans="4:4" x14ac:dyDescent="0.3">
      <c r="D1850" s="104"/>
    </row>
    <row r="1851" spans="4:4" x14ac:dyDescent="0.3">
      <c r="D1851" s="104"/>
    </row>
    <row r="1852" spans="4:4" x14ac:dyDescent="0.3">
      <c r="D1852" s="104"/>
    </row>
    <row r="1853" spans="4:4" x14ac:dyDescent="0.3">
      <c r="D1853" s="104"/>
    </row>
    <row r="1854" spans="4:4" x14ac:dyDescent="0.3">
      <c r="D1854" s="104"/>
    </row>
    <row r="1855" spans="4:4" x14ac:dyDescent="0.3">
      <c r="D1855" s="104"/>
    </row>
    <row r="1856" spans="4:4" x14ac:dyDescent="0.3">
      <c r="D1856" s="104"/>
    </row>
    <row r="1857" spans="4:4" x14ac:dyDescent="0.3">
      <c r="D1857" s="104"/>
    </row>
    <row r="1858" spans="4:4" x14ac:dyDescent="0.3">
      <c r="D1858" s="104"/>
    </row>
    <row r="1859" spans="4:4" x14ac:dyDescent="0.3">
      <c r="D1859" s="104"/>
    </row>
    <row r="1860" spans="4:4" x14ac:dyDescent="0.3">
      <c r="D1860" s="104"/>
    </row>
    <row r="1861" spans="4:4" x14ac:dyDescent="0.3">
      <c r="D1861" s="104"/>
    </row>
    <row r="1862" spans="4:4" x14ac:dyDescent="0.3">
      <c r="D1862" s="104"/>
    </row>
    <row r="1863" spans="4:4" x14ac:dyDescent="0.3">
      <c r="D1863" s="104"/>
    </row>
    <row r="1864" spans="4:4" x14ac:dyDescent="0.3">
      <c r="D1864" s="104"/>
    </row>
    <row r="1865" spans="4:4" x14ac:dyDescent="0.3">
      <c r="D1865" s="104"/>
    </row>
    <row r="1866" spans="4:4" x14ac:dyDescent="0.3">
      <c r="D1866" s="104"/>
    </row>
    <row r="1867" spans="4:4" x14ac:dyDescent="0.3">
      <c r="D1867" s="104"/>
    </row>
    <row r="1868" spans="4:4" x14ac:dyDescent="0.3">
      <c r="D1868" s="104"/>
    </row>
    <row r="1869" spans="4:4" x14ac:dyDescent="0.3">
      <c r="D1869" s="104"/>
    </row>
    <row r="1870" spans="4:4" x14ac:dyDescent="0.3">
      <c r="D1870" s="104"/>
    </row>
    <row r="1871" spans="4:4" x14ac:dyDescent="0.3">
      <c r="D1871" s="104"/>
    </row>
    <row r="1872" spans="4:4" x14ac:dyDescent="0.3">
      <c r="D1872" s="104"/>
    </row>
    <row r="1873" spans="4:4" x14ac:dyDescent="0.3">
      <c r="D1873" s="104"/>
    </row>
    <row r="1874" spans="4:4" x14ac:dyDescent="0.3">
      <c r="D1874" s="104"/>
    </row>
    <row r="1875" spans="4:4" x14ac:dyDescent="0.3">
      <c r="D1875" s="104"/>
    </row>
    <row r="1876" spans="4:4" x14ac:dyDescent="0.3">
      <c r="D1876" s="104"/>
    </row>
    <row r="1877" spans="4:4" x14ac:dyDescent="0.3">
      <c r="D1877" s="104"/>
    </row>
    <row r="1878" spans="4:4" x14ac:dyDescent="0.3">
      <c r="D1878" s="104"/>
    </row>
    <row r="1879" spans="4:4" x14ac:dyDescent="0.3">
      <c r="D1879" s="104"/>
    </row>
    <row r="1880" spans="4:4" x14ac:dyDescent="0.3">
      <c r="D1880" s="104"/>
    </row>
    <row r="1881" spans="4:4" x14ac:dyDescent="0.3">
      <c r="D1881" s="104"/>
    </row>
    <row r="1882" spans="4:4" x14ac:dyDescent="0.3">
      <c r="D1882" s="104"/>
    </row>
    <row r="1883" spans="4:4" x14ac:dyDescent="0.3">
      <c r="D1883" s="104"/>
    </row>
    <row r="1884" spans="4:4" x14ac:dyDescent="0.3">
      <c r="D1884" s="104"/>
    </row>
    <row r="1885" spans="4:4" x14ac:dyDescent="0.3">
      <c r="D1885" s="104"/>
    </row>
    <row r="1886" spans="4:4" x14ac:dyDescent="0.3">
      <c r="D1886" s="104"/>
    </row>
    <row r="1887" spans="4:4" x14ac:dyDescent="0.3">
      <c r="D1887" s="104"/>
    </row>
    <row r="1888" spans="4:4" x14ac:dyDescent="0.3">
      <c r="D1888" s="104"/>
    </row>
    <row r="1889" spans="4:4" x14ac:dyDescent="0.3">
      <c r="D1889" s="104"/>
    </row>
    <row r="1890" spans="4:4" x14ac:dyDescent="0.3">
      <c r="D1890" s="104"/>
    </row>
    <row r="1891" spans="4:4" x14ac:dyDescent="0.3">
      <c r="D1891" s="104"/>
    </row>
    <row r="1892" spans="4:4" x14ac:dyDescent="0.3">
      <c r="D1892" s="104"/>
    </row>
    <row r="1893" spans="4:4" x14ac:dyDescent="0.3">
      <c r="D1893" s="104"/>
    </row>
    <row r="1894" spans="4:4" x14ac:dyDescent="0.3">
      <c r="D1894" s="104"/>
    </row>
    <row r="1895" spans="4:4" x14ac:dyDescent="0.3">
      <c r="D1895" s="104"/>
    </row>
    <row r="1896" spans="4:4" x14ac:dyDescent="0.3">
      <c r="D1896" s="104"/>
    </row>
    <row r="1897" spans="4:4" x14ac:dyDescent="0.3">
      <c r="D1897" s="104"/>
    </row>
    <row r="1898" spans="4:4" x14ac:dyDescent="0.3">
      <c r="D1898" s="104"/>
    </row>
    <row r="1899" spans="4:4" x14ac:dyDescent="0.3">
      <c r="D1899" s="104"/>
    </row>
    <row r="1900" spans="4:4" x14ac:dyDescent="0.3">
      <c r="D1900" s="104"/>
    </row>
    <row r="1901" spans="4:4" x14ac:dyDescent="0.3">
      <c r="D1901" s="104"/>
    </row>
    <row r="1902" spans="4:4" x14ac:dyDescent="0.3">
      <c r="D1902" s="104"/>
    </row>
    <row r="1903" spans="4:4" x14ac:dyDescent="0.3">
      <c r="D1903" s="104"/>
    </row>
    <row r="1904" spans="4:4" x14ac:dyDescent="0.3">
      <c r="D1904" s="104"/>
    </row>
    <row r="1905" spans="4:4" x14ac:dyDescent="0.3">
      <c r="D1905" s="104"/>
    </row>
    <row r="1906" spans="4:4" x14ac:dyDescent="0.3">
      <c r="D1906" s="104"/>
    </row>
    <row r="1907" spans="4:4" x14ac:dyDescent="0.3">
      <c r="D1907" s="104"/>
    </row>
    <row r="1908" spans="4:4" x14ac:dyDescent="0.3">
      <c r="D1908" s="104"/>
    </row>
    <row r="1909" spans="4:4" x14ac:dyDescent="0.3">
      <c r="D1909" s="104"/>
    </row>
    <row r="1910" spans="4:4" x14ac:dyDescent="0.3">
      <c r="D1910" s="104"/>
    </row>
    <row r="1911" spans="4:4" x14ac:dyDescent="0.3">
      <c r="D1911" s="104"/>
    </row>
    <row r="1912" spans="4:4" x14ac:dyDescent="0.3">
      <c r="D1912" s="104"/>
    </row>
    <row r="1913" spans="4:4" x14ac:dyDescent="0.3">
      <c r="D1913" s="104"/>
    </row>
    <row r="1914" spans="4:4" x14ac:dyDescent="0.3">
      <c r="D1914" s="104"/>
    </row>
    <row r="1915" spans="4:4" x14ac:dyDescent="0.3">
      <c r="D1915" s="104"/>
    </row>
    <row r="1916" spans="4:4" x14ac:dyDescent="0.3">
      <c r="D1916" s="104"/>
    </row>
    <row r="1917" spans="4:4" x14ac:dyDescent="0.3">
      <c r="D1917" s="104"/>
    </row>
    <row r="1918" spans="4:4" x14ac:dyDescent="0.3">
      <c r="D1918" s="104"/>
    </row>
    <row r="1919" spans="4:4" x14ac:dyDescent="0.3">
      <c r="D1919" s="104"/>
    </row>
    <row r="1920" spans="4:4" x14ac:dyDescent="0.3">
      <c r="D1920" s="104"/>
    </row>
    <row r="1921" spans="4:4" x14ac:dyDescent="0.3">
      <c r="D1921" s="104"/>
    </row>
    <row r="1922" spans="4:4" x14ac:dyDescent="0.3">
      <c r="D1922" s="104"/>
    </row>
    <row r="1923" spans="4:4" x14ac:dyDescent="0.3">
      <c r="D1923" s="104"/>
    </row>
    <row r="1924" spans="4:4" x14ac:dyDescent="0.3">
      <c r="D1924" s="104"/>
    </row>
    <row r="1925" spans="4:4" x14ac:dyDescent="0.3">
      <c r="D1925" s="104"/>
    </row>
    <row r="1926" spans="4:4" x14ac:dyDescent="0.3">
      <c r="D1926" s="104"/>
    </row>
    <row r="1927" spans="4:4" x14ac:dyDescent="0.3">
      <c r="D1927" s="104"/>
    </row>
    <row r="1928" spans="4:4" x14ac:dyDescent="0.3">
      <c r="D1928" s="104"/>
    </row>
    <row r="1929" spans="4:4" x14ac:dyDescent="0.3">
      <c r="D1929" s="104"/>
    </row>
    <row r="1930" spans="4:4" x14ac:dyDescent="0.3">
      <c r="D1930" s="104"/>
    </row>
    <row r="1931" spans="4:4" x14ac:dyDescent="0.3">
      <c r="D1931" s="104"/>
    </row>
    <row r="1932" spans="4:4" x14ac:dyDescent="0.3">
      <c r="D1932" s="104"/>
    </row>
    <row r="1933" spans="4:4" x14ac:dyDescent="0.3">
      <c r="D1933" s="104"/>
    </row>
    <row r="1934" spans="4:4" x14ac:dyDescent="0.3">
      <c r="D1934" s="104"/>
    </row>
    <row r="1935" spans="4:4" x14ac:dyDescent="0.3">
      <c r="D1935" s="104"/>
    </row>
    <row r="1936" spans="4:4" x14ac:dyDescent="0.3">
      <c r="D1936" s="104"/>
    </row>
    <row r="1937" spans="4:4" x14ac:dyDescent="0.3">
      <c r="D1937" s="104"/>
    </row>
    <row r="1938" spans="4:4" x14ac:dyDescent="0.3">
      <c r="D1938" s="104"/>
    </row>
    <row r="1939" spans="4:4" x14ac:dyDescent="0.3">
      <c r="D1939" s="104"/>
    </row>
    <row r="1940" spans="4:4" x14ac:dyDescent="0.3">
      <c r="D1940" s="104"/>
    </row>
    <row r="1941" spans="4:4" x14ac:dyDescent="0.3">
      <c r="D1941" s="104"/>
    </row>
    <row r="1942" spans="4:4" x14ac:dyDescent="0.3">
      <c r="D1942" s="104"/>
    </row>
    <row r="1943" spans="4:4" x14ac:dyDescent="0.3">
      <c r="D1943" s="104"/>
    </row>
    <row r="1944" spans="4:4" x14ac:dyDescent="0.3">
      <c r="D1944" s="104"/>
    </row>
    <row r="1945" spans="4:4" x14ac:dyDescent="0.3">
      <c r="D1945" s="104"/>
    </row>
    <row r="1946" spans="4:4" x14ac:dyDescent="0.3">
      <c r="D1946" s="104"/>
    </row>
    <row r="1947" spans="4:4" x14ac:dyDescent="0.3">
      <c r="D1947" s="104"/>
    </row>
    <row r="1948" spans="4:4" x14ac:dyDescent="0.3">
      <c r="D1948" s="104"/>
    </row>
    <row r="1949" spans="4:4" x14ac:dyDescent="0.3">
      <c r="D1949" s="104"/>
    </row>
    <row r="1950" spans="4:4" x14ac:dyDescent="0.3">
      <c r="D1950" s="104"/>
    </row>
    <row r="1951" spans="4:4" x14ac:dyDescent="0.3">
      <c r="D1951" s="104"/>
    </row>
    <row r="1952" spans="4:4" x14ac:dyDescent="0.3">
      <c r="D1952" s="104"/>
    </row>
    <row r="1953" spans="4:4" x14ac:dyDescent="0.3">
      <c r="D1953" s="104"/>
    </row>
    <row r="1954" spans="4:4" x14ac:dyDescent="0.3">
      <c r="D1954" s="104"/>
    </row>
    <row r="1955" spans="4:4" x14ac:dyDescent="0.3">
      <c r="D1955" s="104"/>
    </row>
    <row r="1956" spans="4:4" x14ac:dyDescent="0.3">
      <c r="D1956" s="104"/>
    </row>
    <row r="1957" spans="4:4" x14ac:dyDescent="0.3">
      <c r="D1957" s="104"/>
    </row>
    <row r="1958" spans="4:4" x14ac:dyDescent="0.3">
      <c r="D1958" s="104"/>
    </row>
    <row r="1959" spans="4:4" x14ac:dyDescent="0.3">
      <c r="D1959" s="104"/>
    </row>
    <row r="1960" spans="4:4" x14ac:dyDescent="0.3">
      <c r="D1960" s="104"/>
    </row>
    <row r="1961" spans="4:4" x14ac:dyDescent="0.3">
      <c r="D1961" s="104"/>
    </row>
    <row r="1962" spans="4:4" x14ac:dyDescent="0.3">
      <c r="D1962" s="104"/>
    </row>
    <row r="1963" spans="4:4" x14ac:dyDescent="0.3">
      <c r="D1963" s="104"/>
    </row>
    <row r="1964" spans="4:4" x14ac:dyDescent="0.3">
      <c r="D1964" s="104"/>
    </row>
    <row r="1965" spans="4:4" x14ac:dyDescent="0.3">
      <c r="D1965" s="104"/>
    </row>
    <row r="1966" spans="4:4" x14ac:dyDescent="0.3">
      <c r="D1966" s="104"/>
    </row>
    <row r="1967" spans="4:4" x14ac:dyDescent="0.3">
      <c r="D1967" s="104"/>
    </row>
    <row r="1968" spans="4:4" x14ac:dyDescent="0.3">
      <c r="D1968" s="104"/>
    </row>
    <row r="1969" spans="4:4" x14ac:dyDescent="0.3">
      <c r="D1969" s="104"/>
    </row>
    <row r="1970" spans="4:4" x14ac:dyDescent="0.3">
      <c r="D1970" s="104"/>
    </row>
    <row r="1971" spans="4:4" x14ac:dyDescent="0.3">
      <c r="D1971" s="104"/>
    </row>
    <row r="1972" spans="4:4" x14ac:dyDescent="0.3">
      <c r="D1972" s="104"/>
    </row>
    <row r="1973" spans="4:4" x14ac:dyDescent="0.3">
      <c r="D1973" s="104"/>
    </row>
    <row r="1974" spans="4:4" x14ac:dyDescent="0.3">
      <c r="D1974" s="104"/>
    </row>
    <row r="1975" spans="4:4" x14ac:dyDescent="0.3">
      <c r="D1975" s="104"/>
    </row>
    <row r="1976" spans="4:4" x14ac:dyDescent="0.3">
      <c r="D1976" s="104"/>
    </row>
    <row r="1977" spans="4:4" x14ac:dyDescent="0.3">
      <c r="D1977" s="104"/>
    </row>
    <row r="1978" spans="4:4" x14ac:dyDescent="0.3">
      <c r="D1978" s="104"/>
    </row>
    <row r="1979" spans="4:4" x14ac:dyDescent="0.3">
      <c r="D1979" s="104"/>
    </row>
    <row r="1980" spans="4:4" x14ac:dyDescent="0.3">
      <c r="D1980" s="104"/>
    </row>
    <row r="1981" spans="4:4" x14ac:dyDescent="0.3">
      <c r="D1981" s="104"/>
    </row>
    <row r="1982" spans="4:4" x14ac:dyDescent="0.3">
      <c r="D1982" s="104"/>
    </row>
    <row r="1983" spans="4:4" x14ac:dyDescent="0.3">
      <c r="D1983" s="104"/>
    </row>
    <row r="1984" spans="4:4" x14ac:dyDescent="0.3">
      <c r="D1984" s="104"/>
    </row>
    <row r="1985" spans="4:4" x14ac:dyDescent="0.3">
      <c r="D1985" s="104"/>
    </row>
    <row r="1986" spans="4:4" x14ac:dyDescent="0.3">
      <c r="D1986" s="104"/>
    </row>
    <row r="1987" spans="4:4" x14ac:dyDescent="0.3">
      <c r="D1987" s="104"/>
    </row>
    <row r="1988" spans="4:4" x14ac:dyDescent="0.3">
      <c r="D1988" s="104"/>
    </row>
    <row r="1989" spans="4:4" x14ac:dyDescent="0.3">
      <c r="D1989" s="104"/>
    </row>
    <row r="1990" spans="4:4" x14ac:dyDescent="0.3">
      <c r="D1990" s="104"/>
    </row>
    <row r="1991" spans="4:4" x14ac:dyDescent="0.3">
      <c r="D1991" s="104"/>
    </row>
    <row r="1992" spans="4:4" x14ac:dyDescent="0.3">
      <c r="D1992" s="104"/>
    </row>
    <row r="1993" spans="4:4" x14ac:dyDescent="0.3">
      <c r="D1993" s="104"/>
    </row>
    <row r="1994" spans="4:4" x14ac:dyDescent="0.3">
      <c r="D1994" s="104"/>
    </row>
    <row r="1995" spans="4:4" x14ac:dyDescent="0.3">
      <c r="D1995" s="104"/>
    </row>
    <row r="1996" spans="4:4" x14ac:dyDescent="0.3">
      <c r="D1996" s="104"/>
    </row>
    <row r="1997" spans="4:4" x14ac:dyDescent="0.3">
      <c r="D1997" s="104"/>
    </row>
    <row r="1998" spans="4:4" x14ac:dyDescent="0.3">
      <c r="D1998" s="104"/>
    </row>
    <row r="1999" spans="4:4" x14ac:dyDescent="0.3">
      <c r="D1999" s="104"/>
    </row>
    <row r="2000" spans="4:4" x14ac:dyDescent="0.3">
      <c r="D2000" s="104"/>
    </row>
    <row r="2001" spans="4:4" x14ac:dyDescent="0.3">
      <c r="D2001" s="104"/>
    </row>
    <row r="2002" spans="4:4" x14ac:dyDescent="0.3">
      <c r="D2002" s="104"/>
    </row>
    <row r="2003" spans="4:4" x14ac:dyDescent="0.3">
      <c r="D2003" s="104"/>
    </row>
    <row r="2004" spans="4:4" x14ac:dyDescent="0.3">
      <c r="D2004" s="104"/>
    </row>
    <row r="2005" spans="4:4" x14ac:dyDescent="0.3">
      <c r="D2005" s="104"/>
    </row>
    <row r="2006" spans="4:4" x14ac:dyDescent="0.3">
      <c r="D2006" s="104"/>
    </row>
    <row r="2007" spans="4:4" x14ac:dyDescent="0.3">
      <c r="D2007" s="104"/>
    </row>
    <row r="2008" spans="4:4" x14ac:dyDescent="0.3">
      <c r="D2008" s="104"/>
    </row>
    <row r="2009" spans="4:4" x14ac:dyDescent="0.3">
      <c r="D2009" s="104"/>
    </row>
    <row r="2010" spans="4:4" x14ac:dyDescent="0.3">
      <c r="D2010" s="104"/>
    </row>
    <row r="2011" spans="4:4" x14ac:dyDescent="0.3">
      <c r="D2011" s="104"/>
    </row>
    <row r="2012" spans="4:4" x14ac:dyDescent="0.3">
      <c r="D2012" s="104"/>
    </row>
    <row r="2013" spans="4:4" x14ac:dyDescent="0.3">
      <c r="D2013" s="104"/>
    </row>
    <row r="2014" spans="4:4" x14ac:dyDescent="0.3">
      <c r="D2014" s="104"/>
    </row>
    <row r="2015" spans="4:4" x14ac:dyDescent="0.3">
      <c r="D2015" s="104"/>
    </row>
    <row r="2016" spans="4:4" x14ac:dyDescent="0.3">
      <c r="D2016" s="104"/>
    </row>
    <row r="2017" spans="4:4" x14ac:dyDescent="0.3">
      <c r="D2017" s="104"/>
    </row>
    <row r="2018" spans="4:4" x14ac:dyDescent="0.3">
      <c r="D2018" s="104"/>
    </row>
    <row r="2019" spans="4:4" x14ac:dyDescent="0.3">
      <c r="D2019" s="104"/>
    </row>
    <row r="2020" spans="4:4" x14ac:dyDescent="0.3">
      <c r="D2020" s="104"/>
    </row>
    <row r="2021" spans="4:4" x14ac:dyDescent="0.3">
      <c r="D2021" s="104"/>
    </row>
    <row r="2022" spans="4:4" x14ac:dyDescent="0.3">
      <c r="D2022" s="104"/>
    </row>
    <row r="2023" spans="4:4" x14ac:dyDescent="0.3">
      <c r="D2023" s="104"/>
    </row>
    <row r="2024" spans="4:4" x14ac:dyDescent="0.3">
      <c r="D2024" s="104"/>
    </row>
    <row r="2025" spans="4:4" x14ac:dyDescent="0.3">
      <c r="D2025" s="104"/>
    </row>
    <row r="2026" spans="4:4" x14ac:dyDescent="0.3">
      <c r="D2026" s="104"/>
    </row>
    <row r="2027" spans="4:4" x14ac:dyDescent="0.3">
      <c r="D2027" s="104"/>
    </row>
    <row r="2028" spans="4:4" x14ac:dyDescent="0.3">
      <c r="D2028" s="104"/>
    </row>
    <row r="2029" spans="4:4" x14ac:dyDescent="0.3">
      <c r="D2029" s="104"/>
    </row>
    <row r="2030" spans="4:4" x14ac:dyDescent="0.3">
      <c r="D2030" s="104"/>
    </row>
    <row r="2031" spans="4:4" x14ac:dyDescent="0.3">
      <c r="D2031" s="104"/>
    </row>
    <row r="2032" spans="4:4" x14ac:dyDescent="0.3">
      <c r="D2032" s="104"/>
    </row>
    <row r="2033" spans="4:4" x14ac:dyDescent="0.3">
      <c r="D2033" s="104"/>
    </row>
    <row r="2034" spans="4:4" x14ac:dyDescent="0.3">
      <c r="D2034" s="104"/>
    </row>
    <row r="2035" spans="4:4" x14ac:dyDescent="0.3">
      <c r="D2035" s="104"/>
    </row>
    <row r="2036" spans="4:4" x14ac:dyDescent="0.3">
      <c r="D2036" s="104"/>
    </row>
    <row r="2037" spans="4:4" x14ac:dyDescent="0.3">
      <c r="D2037" s="104"/>
    </row>
    <row r="2038" spans="4:4" x14ac:dyDescent="0.3">
      <c r="D2038" s="104"/>
    </row>
    <row r="2039" spans="4:4" x14ac:dyDescent="0.3">
      <c r="D2039" s="104"/>
    </row>
    <row r="2040" spans="4:4" x14ac:dyDescent="0.3">
      <c r="D2040" s="104"/>
    </row>
    <row r="2041" spans="4:4" x14ac:dyDescent="0.3">
      <c r="D2041" s="104"/>
    </row>
    <row r="2042" spans="4:4" x14ac:dyDescent="0.3">
      <c r="D2042" s="104"/>
    </row>
    <row r="2043" spans="4:4" x14ac:dyDescent="0.3">
      <c r="D2043" s="104"/>
    </row>
    <row r="2044" spans="4:4" x14ac:dyDescent="0.3">
      <c r="D2044" s="104"/>
    </row>
    <row r="2045" spans="4:4" x14ac:dyDescent="0.3">
      <c r="D2045" s="104"/>
    </row>
    <row r="2046" spans="4:4" x14ac:dyDescent="0.3">
      <c r="D2046" s="104"/>
    </row>
    <row r="2047" spans="4:4" x14ac:dyDescent="0.3">
      <c r="D2047" s="104"/>
    </row>
    <row r="2048" spans="4:4" x14ac:dyDescent="0.3">
      <c r="D2048" s="104"/>
    </row>
    <row r="2049" spans="4:4" x14ac:dyDescent="0.3">
      <c r="D2049" s="104"/>
    </row>
    <row r="2050" spans="4:4" x14ac:dyDescent="0.3">
      <c r="D2050" s="104"/>
    </row>
    <row r="2051" spans="4:4" x14ac:dyDescent="0.3">
      <c r="D2051" s="104"/>
    </row>
    <row r="2052" spans="4:4" x14ac:dyDescent="0.3">
      <c r="D2052" s="104"/>
    </row>
    <row r="2053" spans="4:4" x14ac:dyDescent="0.3">
      <c r="D2053" s="104"/>
    </row>
    <row r="2054" spans="4:4" x14ac:dyDescent="0.3">
      <c r="D2054" s="104"/>
    </row>
    <row r="2055" spans="4:4" x14ac:dyDescent="0.3">
      <c r="D2055" s="104"/>
    </row>
    <row r="2056" spans="4:4" x14ac:dyDescent="0.3">
      <c r="D2056" s="104"/>
    </row>
    <row r="2057" spans="4:4" x14ac:dyDescent="0.3">
      <c r="D2057" s="104"/>
    </row>
    <row r="2058" spans="4:4" x14ac:dyDescent="0.3">
      <c r="D2058" s="104"/>
    </row>
    <row r="2059" spans="4:4" x14ac:dyDescent="0.3">
      <c r="D2059" s="104"/>
    </row>
    <row r="2060" spans="4:4" x14ac:dyDescent="0.3">
      <c r="D2060" s="104"/>
    </row>
    <row r="2061" spans="4:4" x14ac:dyDescent="0.3">
      <c r="D2061" s="104"/>
    </row>
    <row r="2062" spans="4:4" x14ac:dyDescent="0.3">
      <c r="D2062" s="104"/>
    </row>
    <row r="2063" spans="4:4" x14ac:dyDescent="0.3">
      <c r="D2063" s="104"/>
    </row>
    <row r="2064" spans="4:4" x14ac:dyDescent="0.3">
      <c r="D2064" s="104"/>
    </row>
    <row r="2065" spans="4:4" x14ac:dyDescent="0.3">
      <c r="D2065" s="104"/>
    </row>
    <row r="2066" spans="4:4" x14ac:dyDescent="0.3">
      <c r="D2066" s="104"/>
    </row>
    <row r="2067" spans="4:4" x14ac:dyDescent="0.3">
      <c r="D2067" s="104"/>
    </row>
    <row r="2068" spans="4:4" x14ac:dyDescent="0.3">
      <c r="D2068" s="104"/>
    </row>
    <row r="2069" spans="4:4" x14ac:dyDescent="0.3">
      <c r="D2069" s="104"/>
    </row>
    <row r="2070" spans="4:4" x14ac:dyDescent="0.3">
      <c r="D2070" s="104"/>
    </row>
    <row r="2071" spans="4:4" x14ac:dyDescent="0.3">
      <c r="D2071" s="104"/>
    </row>
    <row r="2072" spans="4:4" x14ac:dyDescent="0.3">
      <c r="D2072" s="104"/>
    </row>
    <row r="2073" spans="4:4" x14ac:dyDescent="0.3">
      <c r="D2073" s="104"/>
    </row>
    <row r="2074" spans="4:4" x14ac:dyDescent="0.3">
      <c r="D2074" s="104"/>
    </row>
    <row r="2075" spans="4:4" x14ac:dyDescent="0.3">
      <c r="D2075" s="104"/>
    </row>
    <row r="2076" spans="4:4" x14ac:dyDescent="0.3">
      <c r="D2076" s="104"/>
    </row>
    <row r="2077" spans="4:4" x14ac:dyDescent="0.3">
      <c r="D2077" s="104"/>
    </row>
    <row r="2078" spans="4:4" x14ac:dyDescent="0.3">
      <c r="D2078" s="104"/>
    </row>
    <row r="2079" spans="4:4" x14ac:dyDescent="0.3">
      <c r="D2079" s="104"/>
    </row>
    <row r="2080" spans="4:4" x14ac:dyDescent="0.3">
      <c r="D2080" s="104"/>
    </row>
    <row r="2081" spans="4:4" x14ac:dyDescent="0.3">
      <c r="D2081" s="104"/>
    </row>
    <row r="2082" spans="4:4" x14ac:dyDescent="0.3">
      <c r="D2082" s="104"/>
    </row>
    <row r="2083" spans="4:4" x14ac:dyDescent="0.3">
      <c r="D2083" s="104"/>
    </row>
    <row r="2084" spans="4:4" x14ac:dyDescent="0.3">
      <c r="D2084" s="104"/>
    </row>
    <row r="2085" spans="4:4" x14ac:dyDescent="0.3">
      <c r="D2085" s="104"/>
    </row>
    <row r="2086" spans="4:4" x14ac:dyDescent="0.3">
      <c r="D2086" s="104"/>
    </row>
    <row r="2087" spans="4:4" x14ac:dyDescent="0.3">
      <c r="D2087" s="104"/>
    </row>
    <row r="2088" spans="4:4" x14ac:dyDescent="0.3">
      <c r="D2088" s="104"/>
    </row>
    <row r="2089" spans="4:4" x14ac:dyDescent="0.3">
      <c r="D2089" s="104"/>
    </row>
    <row r="2090" spans="4:4" x14ac:dyDescent="0.3">
      <c r="D2090" s="104"/>
    </row>
    <row r="2091" spans="4:4" x14ac:dyDescent="0.3">
      <c r="D2091" s="104"/>
    </row>
    <row r="2092" spans="4:4" x14ac:dyDescent="0.3">
      <c r="D2092" s="104"/>
    </row>
    <row r="2093" spans="4:4" x14ac:dyDescent="0.3">
      <c r="D2093" s="104"/>
    </row>
    <row r="2094" spans="4:4" x14ac:dyDescent="0.3">
      <c r="D2094" s="104"/>
    </row>
    <row r="2095" spans="4:4" x14ac:dyDescent="0.3">
      <c r="D2095" s="104"/>
    </row>
    <row r="2096" spans="4:4" x14ac:dyDescent="0.3">
      <c r="D2096" s="104"/>
    </row>
    <row r="2097" spans="4:4" x14ac:dyDescent="0.3">
      <c r="D2097" s="104"/>
    </row>
    <row r="2098" spans="4:4" x14ac:dyDescent="0.3">
      <c r="D2098" s="104"/>
    </row>
    <row r="2099" spans="4:4" x14ac:dyDescent="0.3">
      <c r="D2099" s="104"/>
    </row>
    <row r="2100" spans="4:4" x14ac:dyDescent="0.3">
      <c r="D2100" s="104"/>
    </row>
    <row r="2101" spans="4:4" x14ac:dyDescent="0.3">
      <c r="D2101" s="104"/>
    </row>
    <row r="2102" spans="4:4" x14ac:dyDescent="0.3">
      <c r="D2102" s="104"/>
    </row>
    <row r="2103" spans="4:4" x14ac:dyDescent="0.3">
      <c r="D2103" s="104"/>
    </row>
    <row r="2104" spans="4:4" x14ac:dyDescent="0.3">
      <c r="D2104" s="104"/>
    </row>
    <row r="2105" spans="4:4" x14ac:dyDescent="0.3">
      <c r="D2105" s="104"/>
    </row>
    <row r="2106" spans="4:4" x14ac:dyDescent="0.3">
      <c r="D2106" s="104"/>
    </row>
    <row r="2107" spans="4:4" x14ac:dyDescent="0.3">
      <c r="D2107" s="104"/>
    </row>
    <row r="2108" spans="4:4" x14ac:dyDescent="0.3">
      <c r="D2108" s="104"/>
    </row>
    <row r="2109" spans="4:4" x14ac:dyDescent="0.3">
      <c r="D2109" s="104"/>
    </row>
    <row r="2110" spans="4:4" x14ac:dyDescent="0.3">
      <c r="D2110" s="104"/>
    </row>
    <row r="2111" spans="4:4" x14ac:dyDescent="0.3">
      <c r="D2111" s="104"/>
    </row>
    <row r="2112" spans="4:4" x14ac:dyDescent="0.3">
      <c r="D2112" s="104"/>
    </row>
    <row r="2113" spans="4:4" x14ac:dyDescent="0.3">
      <c r="D2113" s="104"/>
    </row>
    <row r="2114" spans="4:4" x14ac:dyDescent="0.3">
      <c r="D2114" s="104"/>
    </row>
    <row r="2115" spans="4:4" x14ac:dyDescent="0.3">
      <c r="D2115" s="104"/>
    </row>
    <row r="2116" spans="4:4" x14ac:dyDescent="0.3">
      <c r="D2116" s="104"/>
    </row>
    <row r="2117" spans="4:4" x14ac:dyDescent="0.3">
      <c r="D2117" s="104"/>
    </row>
    <row r="2118" spans="4:4" x14ac:dyDescent="0.3">
      <c r="D2118" s="104"/>
    </row>
    <row r="2119" spans="4:4" x14ac:dyDescent="0.3">
      <c r="D2119" s="104"/>
    </row>
    <row r="2120" spans="4:4" x14ac:dyDescent="0.3">
      <c r="D2120" s="104"/>
    </row>
    <row r="2121" spans="4:4" x14ac:dyDescent="0.3">
      <c r="D2121" s="104"/>
    </row>
    <row r="2122" spans="4:4" x14ac:dyDescent="0.3">
      <c r="D2122" s="104"/>
    </row>
    <row r="2123" spans="4:4" x14ac:dyDescent="0.3">
      <c r="D2123" s="104"/>
    </row>
    <row r="2124" spans="4:4" x14ac:dyDescent="0.3">
      <c r="D2124" s="104"/>
    </row>
    <row r="2125" spans="4:4" x14ac:dyDescent="0.3">
      <c r="D2125" s="104"/>
    </row>
    <row r="2126" spans="4:4" x14ac:dyDescent="0.3">
      <c r="D2126" s="104"/>
    </row>
    <row r="2127" spans="4:4" x14ac:dyDescent="0.3">
      <c r="D2127" s="104"/>
    </row>
    <row r="2128" spans="4:4" x14ac:dyDescent="0.3">
      <c r="D2128" s="104"/>
    </row>
    <row r="2129" spans="4:4" x14ac:dyDescent="0.3">
      <c r="D2129" s="104"/>
    </row>
    <row r="2130" spans="4:4" x14ac:dyDescent="0.3">
      <c r="D2130" s="104"/>
    </row>
    <row r="2131" spans="4:4" x14ac:dyDescent="0.3">
      <c r="D2131" s="104"/>
    </row>
    <row r="2132" spans="4:4" x14ac:dyDescent="0.3">
      <c r="D2132" s="104"/>
    </row>
    <row r="2133" spans="4:4" x14ac:dyDescent="0.3">
      <c r="D2133" s="104"/>
    </row>
    <row r="2134" spans="4:4" x14ac:dyDescent="0.3">
      <c r="D2134" s="104"/>
    </row>
    <row r="2135" spans="4:4" x14ac:dyDescent="0.3">
      <c r="D2135" s="104"/>
    </row>
    <row r="2136" spans="4:4" x14ac:dyDescent="0.3">
      <c r="D2136" s="104"/>
    </row>
    <row r="2137" spans="4:4" x14ac:dyDescent="0.3">
      <c r="D2137" s="104"/>
    </row>
    <row r="2138" spans="4:4" x14ac:dyDescent="0.3">
      <c r="D2138" s="104"/>
    </row>
    <row r="2139" spans="4:4" x14ac:dyDescent="0.3">
      <c r="D2139" s="104"/>
    </row>
    <row r="2140" spans="4:4" x14ac:dyDescent="0.3">
      <c r="D2140" s="104"/>
    </row>
    <row r="2141" spans="4:4" x14ac:dyDescent="0.3">
      <c r="D2141" s="104"/>
    </row>
    <row r="2142" spans="4:4" x14ac:dyDescent="0.3">
      <c r="D2142" s="104"/>
    </row>
    <row r="2143" spans="4:4" x14ac:dyDescent="0.3">
      <c r="D2143" s="104"/>
    </row>
    <row r="2144" spans="4:4" x14ac:dyDescent="0.3">
      <c r="D2144" s="104"/>
    </row>
    <row r="2145" spans="4:4" x14ac:dyDescent="0.3">
      <c r="D2145" s="104"/>
    </row>
    <row r="2146" spans="4:4" x14ac:dyDescent="0.3">
      <c r="D2146" s="104"/>
    </row>
    <row r="2147" spans="4:4" x14ac:dyDescent="0.3">
      <c r="D2147" s="104"/>
    </row>
    <row r="2148" spans="4:4" x14ac:dyDescent="0.3">
      <c r="D2148" s="104"/>
    </row>
    <row r="2149" spans="4:4" x14ac:dyDescent="0.3">
      <c r="D2149" s="104"/>
    </row>
    <row r="2150" spans="4:4" x14ac:dyDescent="0.3">
      <c r="D2150" s="104"/>
    </row>
    <row r="2151" spans="4:4" x14ac:dyDescent="0.3">
      <c r="D2151" s="104"/>
    </row>
    <row r="2152" spans="4:4" x14ac:dyDescent="0.3">
      <c r="D2152" s="104"/>
    </row>
    <row r="2153" spans="4:4" x14ac:dyDescent="0.3">
      <c r="D2153" s="104"/>
    </row>
    <row r="2154" spans="4:4" x14ac:dyDescent="0.3">
      <c r="D2154" s="104"/>
    </row>
    <row r="2155" spans="4:4" x14ac:dyDescent="0.3">
      <c r="D2155" s="104"/>
    </row>
    <row r="2156" spans="4:4" x14ac:dyDescent="0.3">
      <c r="D2156" s="104"/>
    </row>
    <row r="2157" spans="4:4" x14ac:dyDescent="0.3">
      <c r="D2157" s="104"/>
    </row>
    <row r="2158" spans="4:4" x14ac:dyDescent="0.3">
      <c r="D2158" s="104"/>
    </row>
    <row r="2159" spans="4:4" x14ac:dyDescent="0.3">
      <c r="D2159" s="104"/>
    </row>
    <row r="2160" spans="4:4" x14ac:dyDescent="0.3">
      <c r="D2160" s="104"/>
    </row>
    <row r="2161" spans="4:4" x14ac:dyDescent="0.3">
      <c r="D2161" s="104"/>
    </row>
    <row r="2162" spans="4:4" x14ac:dyDescent="0.3">
      <c r="D2162" s="104"/>
    </row>
    <row r="2163" spans="4:4" x14ac:dyDescent="0.3">
      <c r="D2163" s="104"/>
    </row>
    <row r="2164" spans="4:4" x14ac:dyDescent="0.3">
      <c r="D2164" s="104"/>
    </row>
    <row r="2165" spans="4:4" x14ac:dyDescent="0.3">
      <c r="D2165" s="104"/>
    </row>
    <row r="2166" spans="4:4" x14ac:dyDescent="0.3">
      <c r="D2166" s="104"/>
    </row>
    <row r="2167" spans="4:4" x14ac:dyDescent="0.3">
      <c r="D2167" s="104"/>
    </row>
    <row r="2168" spans="4:4" x14ac:dyDescent="0.3">
      <c r="D2168" s="104"/>
    </row>
    <row r="2169" spans="4:4" x14ac:dyDescent="0.3">
      <c r="D2169" s="104"/>
    </row>
    <row r="2170" spans="4:4" x14ac:dyDescent="0.3">
      <c r="D2170" s="104"/>
    </row>
    <row r="2171" spans="4:4" x14ac:dyDescent="0.3">
      <c r="D2171" s="104"/>
    </row>
    <row r="2172" spans="4:4" x14ac:dyDescent="0.3">
      <c r="D2172" s="104"/>
    </row>
    <row r="2173" spans="4:4" x14ac:dyDescent="0.3">
      <c r="D2173" s="104"/>
    </row>
    <row r="2174" spans="4:4" x14ac:dyDescent="0.3">
      <c r="D2174" s="104"/>
    </row>
    <row r="2175" spans="4:4" x14ac:dyDescent="0.3">
      <c r="D2175" s="104"/>
    </row>
    <row r="2176" spans="4:4" x14ac:dyDescent="0.3">
      <c r="D2176" s="104"/>
    </row>
    <row r="2177" spans="4:4" x14ac:dyDescent="0.3">
      <c r="D2177" s="104"/>
    </row>
    <row r="2178" spans="4:4" x14ac:dyDescent="0.3">
      <c r="D2178" s="104"/>
    </row>
    <row r="2179" spans="4:4" x14ac:dyDescent="0.3">
      <c r="D2179" s="104"/>
    </row>
    <row r="2180" spans="4:4" x14ac:dyDescent="0.3">
      <c r="D2180" s="104"/>
    </row>
    <row r="2181" spans="4:4" x14ac:dyDescent="0.3">
      <c r="D2181" s="104"/>
    </row>
    <row r="2182" spans="4:4" x14ac:dyDescent="0.3">
      <c r="D2182" s="104"/>
    </row>
    <row r="2183" spans="4:4" x14ac:dyDescent="0.3">
      <c r="D2183" s="104"/>
    </row>
    <row r="2184" spans="4:4" x14ac:dyDescent="0.3">
      <c r="D2184" s="104"/>
    </row>
    <row r="2185" spans="4:4" x14ac:dyDescent="0.3">
      <c r="D2185" s="104"/>
    </row>
    <row r="2186" spans="4:4" x14ac:dyDescent="0.3">
      <c r="D2186" s="104"/>
    </row>
    <row r="2187" spans="4:4" x14ac:dyDescent="0.3">
      <c r="D2187" s="104"/>
    </row>
    <row r="2188" spans="4:4" x14ac:dyDescent="0.3">
      <c r="D2188" s="104"/>
    </row>
    <row r="2189" spans="4:4" x14ac:dyDescent="0.3">
      <c r="D2189" s="104"/>
    </row>
    <row r="2190" spans="4:4" x14ac:dyDescent="0.3">
      <c r="D2190" s="104"/>
    </row>
    <row r="2191" spans="4:4" x14ac:dyDescent="0.3">
      <c r="D2191" s="104"/>
    </row>
    <row r="2192" spans="4:4" x14ac:dyDescent="0.3">
      <c r="D2192" s="104"/>
    </row>
    <row r="2193" spans="4:4" x14ac:dyDescent="0.3">
      <c r="D2193" s="104"/>
    </row>
    <row r="2194" spans="4:4" x14ac:dyDescent="0.3">
      <c r="D2194" s="104"/>
    </row>
    <row r="2195" spans="4:4" x14ac:dyDescent="0.3">
      <c r="D2195" s="104"/>
    </row>
    <row r="2196" spans="4:4" x14ac:dyDescent="0.3">
      <c r="D2196" s="104"/>
    </row>
    <row r="2197" spans="4:4" x14ac:dyDescent="0.3">
      <c r="D2197" s="104"/>
    </row>
    <row r="2198" spans="4:4" x14ac:dyDescent="0.3">
      <c r="D2198" s="104"/>
    </row>
    <row r="2199" spans="4:4" x14ac:dyDescent="0.3">
      <c r="D2199" s="104"/>
    </row>
    <row r="2200" spans="4:4" x14ac:dyDescent="0.3">
      <c r="D2200" s="104"/>
    </row>
    <row r="2201" spans="4:4" x14ac:dyDescent="0.3">
      <c r="D2201" s="104"/>
    </row>
    <row r="2202" spans="4:4" x14ac:dyDescent="0.3">
      <c r="D2202" s="104"/>
    </row>
    <row r="2203" spans="4:4" x14ac:dyDescent="0.3">
      <c r="D2203" s="104"/>
    </row>
    <row r="2204" spans="4:4" x14ac:dyDescent="0.3">
      <c r="D2204" s="104"/>
    </row>
    <row r="2205" spans="4:4" x14ac:dyDescent="0.3">
      <c r="D2205" s="104"/>
    </row>
    <row r="2206" spans="4:4" x14ac:dyDescent="0.3">
      <c r="D2206" s="104"/>
    </row>
    <row r="2207" spans="4:4" x14ac:dyDescent="0.3">
      <c r="D2207" s="104"/>
    </row>
    <row r="2208" spans="4:4" x14ac:dyDescent="0.3">
      <c r="D2208" s="104"/>
    </row>
    <row r="2209" spans="4:4" x14ac:dyDescent="0.3">
      <c r="D2209" s="104"/>
    </row>
    <row r="2210" spans="4:4" x14ac:dyDescent="0.3">
      <c r="D2210" s="104"/>
    </row>
    <row r="2211" spans="4:4" x14ac:dyDescent="0.3">
      <c r="D2211" s="104"/>
    </row>
    <row r="2212" spans="4:4" x14ac:dyDescent="0.3">
      <c r="D2212" s="104"/>
    </row>
    <row r="2213" spans="4:4" x14ac:dyDescent="0.3">
      <c r="D2213" s="104"/>
    </row>
    <row r="2214" spans="4:4" x14ac:dyDescent="0.3">
      <c r="D2214" s="104"/>
    </row>
    <row r="2215" spans="4:4" x14ac:dyDescent="0.3">
      <c r="D2215" s="104"/>
    </row>
    <row r="2216" spans="4:4" x14ac:dyDescent="0.3">
      <c r="D2216" s="104"/>
    </row>
    <row r="2217" spans="4:4" x14ac:dyDescent="0.3">
      <c r="D2217" s="104"/>
    </row>
    <row r="2218" spans="4:4" x14ac:dyDescent="0.3">
      <c r="D2218" s="104"/>
    </row>
    <row r="2219" spans="4:4" x14ac:dyDescent="0.3">
      <c r="D2219" s="104"/>
    </row>
    <row r="2220" spans="4:4" x14ac:dyDescent="0.3">
      <c r="D2220" s="104"/>
    </row>
    <row r="2221" spans="4:4" x14ac:dyDescent="0.3">
      <c r="D2221" s="104"/>
    </row>
    <row r="2222" spans="4:4" x14ac:dyDescent="0.3">
      <c r="D2222" s="104"/>
    </row>
    <row r="2223" spans="4:4" x14ac:dyDescent="0.3">
      <c r="D2223" s="104"/>
    </row>
    <row r="2224" spans="4:4" x14ac:dyDescent="0.3">
      <c r="D2224" s="104"/>
    </row>
    <row r="2225" spans="4:4" x14ac:dyDescent="0.3">
      <c r="D2225" s="104"/>
    </row>
    <row r="2226" spans="4:4" x14ac:dyDescent="0.3">
      <c r="D2226" s="104"/>
    </row>
    <row r="2227" spans="4:4" x14ac:dyDescent="0.3">
      <c r="D2227" s="104"/>
    </row>
    <row r="2228" spans="4:4" x14ac:dyDescent="0.3">
      <c r="D2228" s="104"/>
    </row>
    <row r="2229" spans="4:4" x14ac:dyDescent="0.3">
      <c r="D2229" s="104"/>
    </row>
    <row r="2230" spans="4:4" x14ac:dyDescent="0.3">
      <c r="D2230" s="104"/>
    </row>
    <row r="2231" spans="4:4" x14ac:dyDescent="0.3">
      <c r="D2231" s="104"/>
    </row>
    <row r="2232" spans="4:4" x14ac:dyDescent="0.3">
      <c r="D2232" s="104"/>
    </row>
    <row r="2233" spans="4:4" x14ac:dyDescent="0.3">
      <c r="D2233" s="104"/>
    </row>
    <row r="2234" spans="4:4" x14ac:dyDescent="0.3">
      <c r="D2234" s="104"/>
    </row>
    <row r="2235" spans="4:4" x14ac:dyDescent="0.3">
      <c r="D2235" s="104"/>
    </row>
    <row r="2236" spans="4:4" x14ac:dyDescent="0.3">
      <c r="D2236" s="104"/>
    </row>
    <row r="2237" spans="4:4" x14ac:dyDescent="0.3">
      <c r="D2237" s="104"/>
    </row>
    <row r="2238" spans="4:4" x14ac:dyDescent="0.3">
      <c r="D2238" s="104"/>
    </row>
    <row r="2239" spans="4:4" x14ac:dyDescent="0.3">
      <c r="D2239" s="104"/>
    </row>
    <row r="2240" spans="4:4" x14ac:dyDescent="0.3">
      <c r="D2240" s="104"/>
    </row>
    <row r="2241" spans="4:4" x14ac:dyDescent="0.3">
      <c r="D2241" s="104"/>
    </row>
    <row r="2242" spans="4:4" x14ac:dyDescent="0.3">
      <c r="D2242" s="104"/>
    </row>
    <row r="2243" spans="4:4" x14ac:dyDescent="0.3">
      <c r="D2243" s="104"/>
    </row>
    <row r="2244" spans="4:4" x14ac:dyDescent="0.3">
      <c r="D2244" s="104"/>
    </row>
    <row r="2245" spans="4:4" x14ac:dyDescent="0.3">
      <c r="D2245" s="104"/>
    </row>
    <row r="2246" spans="4:4" x14ac:dyDescent="0.3">
      <c r="D2246" s="104"/>
    </row>
    <row r="2247" spans="4:4" x14ac:dyDescent="0.3">
      <c r="D2247" s="104"/>
    </row>
    <row r="2248" spans="4:4" x14ac:dyDescent="0.3">
      <c r="D2248" s="104"/>
    </row>
    <row r="2249" spans="4:4" x14ac:dyDescent="0.3">
      <c r="D2249" s="104"/>
    </row>
    <row r="2250" spans="4:4" x14ac:dyDescent="0.3">
      <c r="D2250" s="104"/>
    </row>
    <row r="2251" spans="4:4" x14ac:dyDescent="0.3">
      <c r="D2251" s="104"/>
    </row>
    <row r="2252" spans="4:4" x14ac:dyDescent="0.3">
      <c r="D2252" s="104"/>
    </row>
    <row r="2253" spans="4:4" x14ac:dyDescent="0.3">
      <c r="D2253" s="104"/>
    </row>
    <row r="2254" spans="4:4" x14ac:dyDescent="0.3">
      <c r="D2254" s="104"/>
    </row>
    <row r="2255" spans="4:4" x14ac:dyDescent="0.3">
      <c r="D2255" s="104"/>
    </row>
    <row r="2256" spans="4:4" x14ac:dyDescent="0.3">
      <c r="D2256" s="104"/>
    </row>
    <row r="2257" spans="4:4" x14ac:dyDescent="0.3">
      <c r="D2257" s="104"/>
    </row>
    <row r="2258" spans="4:4" x14ac:dyDescent="0.3">
      <c r="D2258" s="104"/>
    </row>
    <row r="2259" spans="4:4" x14ac:dyDescent="0.3">
      <c r="D2259" s="104"/>
    </row>
    <row r="2260" spans="4:4" x14ac:dyDescent="0.3">
      <c r="D2260" s="104"/>
    </row>
    <row r="2261" spans="4:4" x14ac:dyDescent="0.3">
      <c r="D2261" s="104"/>
    </row>
    <row r="2262" spans="4:4" x14ac:dyDescent="0.3">
      <c r="D2262" s="104"/>
    </row>
    <row r="2263" spans="4:4" x14ac:dyDescent="0.3">
      <c r="D2263" s="104"/>
    </row>
    <row r="2264" spans="4:4" x14ac:dyDescent="0.3">
      <c r="D2264" s="104"/>
    </row>
    <row r="2265" spans="4:4" x14ac:dyDescent="0.3">
      <c r="D2265" s="104"/>
    </row>
    <row r="2266" spans="4:4" x14ac:dyDescent="0.3">
      <c r="D2266" s="104"/>
    </row>
    <row r="2267" spans="4:4" x14ac:dyDescent="0.3">
      <c r="D2267" s="104"/>
    </row>
    <row r="2268" spans="4:4" x14ac:dyDescent="0.3">
      <c r="D2268" s="104"/>
    </row>
    <row r="2269" spans="4:4" x14ac:dyDescent="0.3">
      <c r="D2269" s="104"/>
    </row>
    <row r="2270" spans="4:4" x14ac:dyDescent="0.3">
      <c r="D2270" s="104"/>
    </row>
    <row r="2271" spans="4:4" x14ac:dyDescent="0.3">
      <c r="D2271" s="104"/>
    </row>
    <row r="2272" spans="4:4" x14ac:dyDescent="0.3">
      <c r="D2272" s="104"/>
    </row>
    <row r="2273" spans="4:4" x14ac:dyDescent="0.3">
      <c r="D2273" s="104"/>
    </row>
    <row r="2274" spans="4:4" x14ac:dyDescent="0.3">
      <c r="D2274" s="104"/>
    </row>
    <row r="2275" spans="4:4" x14ac:dyDescent="0.3">
      <c r="D2275" s="104"/>
    </row>
    <row r="2276" spans="4:4" x14ac:dyDescent="0.3">
      <c r="D2276" s="104"/>
    </row>
    <row r="2277" spans="4:4" x14ac:dyDescent="0.3">
      <c r="D2277" s="104"/>
    </row>
    <row r="2278" spans="4:4" x14ac:dyDescent="0.3">
      <c r="D2278" s="104"/>
    </row>
    <row r="2279" spans="4:4" x14ac:dyDescent="0.3">
      <c r="D2279" s="104"/>
    </row>
    <row r="2280" spans="4:4" x14ac:dyDescent="0.3">
      <c r="D2280" s="104"/>
    </row>
    <row r="2281" spans="4:4" x14ac:dyDescent="0.3">
      <c r="D2281" s="104"/>
    </row>
    <row r="2282" spans="4:4" x14ac:dyDescent="0.3">
      <c r="D2282" s="104"/>
    </row>
    <row r="2283" spans="4:4" x14ac:dyDescent="0.3">
      <c r="D2283" s="104"/>
    </row>
    <row r="2284" spans="4:4" x14ac:dyDescent="0.3">
      <c r="D2284" s="104"/>
    </row>
    <row r="2285" spans="4:4" x14ac:dyDescent="0.3">
      <c r="D2285" s="104"/>
    </row>
    <row r="2286" spans="4:4" x14ac:dyDescent="0.3">
      <c r="D2286" s="104"/>
    </row>
    <row r="2287" spans="4:4" x14ac:dyDescent="0.3">
      <c r="D2287" s="104"/>
    </row>
    <row r="2288" spans="4:4" x14ac:dyDescent="0.3">
      <c r="D2288" s="104"/>
    </row>
    <row r="2289" spans="4:4" x14ac:dyDescent="0.3">
      <c r="D2289" s="104"/>
    </row>
    <row r="2290" spans="4:4" x14ac:dyDescent="0.3">
      <c r="D2290" s="104"/>
    </row>
    <row r="2291" spans="4:4" x14ac:dyDescent="0.3">
      <c r="D2291" s="104"/>
    </row>
    <row r="2292" spans="4:4" x14ac:dyDescent="0.3">
      <c r="D2292" s="104"/>
    </row>
    <row r="2293" spans="4:4" x14ac:dyDescent="0.3">
      <c r="D2293" s="104"/>
    </row>
    <row r="2294" spans="4:4" x14ac:dyDescent="0.3">
      <c r="D2294" s="104"/>
    </row>
    <row r="2295" spans="4:4" x14ac:dyDescent="0.3">
      <c r="D2295" s="104"/>
    </row>
    <row r="2296" spans="4:4" x14ac:dyDescent="0.3">
      <c r="D2296" s="104"/>
    </row>
    <row r="2297" spans="4:4" x14ac:dyDescent="0.3">
      <c r="D2297" s="104"/>
    </row>
    <row r="2298" spans="4:4" x14ac:dyDescent="0.3">
      <c r="D2298" s="104"/>
    </row>
    <row r="2299" spans="4:4" x14ac:dyDescent="0.3">
      <c r="D2299" s="104"/>
    </row>
    <row r="2300" spans="4:4" x14ac:dyDescent="0.3">
      <c r="D2300" s="104"/>
    </row>
    <row r="2301" spans="4:4" x14ac:dyDescent="0.3">
      <c r="D2301" s="104"/>
    </row>
    <row r="2302" spans="4:4" x14ac:dyDescent="0.3">
      <c r="D2302" s="104"/>
    </row>
    <row r="2303" spans="4:4" x14ac:dyDescent="0.3">
      <c r="D2303" s="104"/>
    </row>
    <row r="2304" spans="4:4" x14ac:dyDescent="0.3">
      <c r="D2304" s="104"/>
    </row>
    <row r="2305" spans="4:4" x14ac:dyDescent="0.3">
      <c r="D2305" s="104"/>
    </row>
    <row r="2306" spans="4:4" x14ac:dyDescent="0.3">
      <c r="D2306" s="104"/>
    </row>
    <row r="2307" spans="4:4" x14ac:dyDescent="0.3">
      <c r="D2307" s="104"/>
    </row>
    <row r="2308" spans="4:4" x14ac:dyDescent="0.3">
      <c r="D2308" s="104"/>
    </row>
    <row r="2309" spans="4:4" x14ac:dyDescent="0.3">
      <c r="D2309" s="104"/>
    </row>
    <row r="2310" spans="4:4" x14ac:dyDescent="0.3">
      <c r="D2310" s="104"/>
    </row>
    <row r="2311" spans="4:4" x14ac:dyDescent="0.3">
      <c r="D2311" s="104"/>
    </row>
    <row r="2312" spans="4:4" x14ac:dyDescent="0.3">
      <c r="D2312" s="104"/>
    </row>
    <row r="2313" spans="4:4" x14ac:dyDescent="0.3">
      <c r="D2313" s="104"/>
    </row>
    <row r="2314" spans="4:4" x14ac:dyDescent="0.3">
      <c r="D2314" s="104"/>
    </row>
    <row r="2315" spans="4:4" x14ac:dyDescent="0.3">
      <c r="D2315" s="104"/>
    </row>
    <row r="2316" spans="4:4" x14ac:dyDescent="0.3">
      <c r="D2316" s="104"/>
    </row>
    <row r="2317" spans="4:4" x14ac:dyDescent="0.3">
      <c r="D2317" s="104"/>
    </row>
    <row r="2318" spans="4:4" x14ac:dyDescent="0.3">
      <c r="D2318" s="104"/>
    </row>
    <row r="2319" spans="4:4" x14ac:dyDescent="0.3">
      <c r="D2319" s="104"/>
    </row>
    <row r="2320" spans="4:4" x14ac:dyDescent="0.3">
      <c r="D2320" s="104"/>
    </row>
    <row r="2321" spans="4:4" x14ac:dyDescent="0.3">
      <c r="D2321" s="104"/>
    </row>
    <row r="2322" spans="4:4" x14ac:dyDescent="0.3">
      <c r="D2322" s="104"/>
    </row>
    <row r="2323" spans="4:4" x14ac:dyDescent="0.3">
      <c r="D2323" s="104"/>
    </row>
    <row r="2324" spans="4:4" x14ac:dyDescent="0.3">
      <c r="D2324" s="104"/>
    </row>
    <row r="2325" spans="4:4" x14ac:dyDescent="0.3">
      <c r="D2325" s="104"/>
    </row>
    <row r="2326" spans="4:4" x14ac:dyDescent="0.3">
      <c r="D2326" s="104"/>
    </row>
    <row r="2327" spans="4:4" x14ac:dyDescent="0.3">
      <c r="D2327" s="104"/>
    </row>
    <row r="2328" spans="4:4" x14ac:dyDescent="0.3">
      <c r="D2328" s="104"/>
    </row>
    <row r="2329" spans="4:4" x14ac:dyDescent="0.3">
      <c r="D2329" s="104"/>
    </row>
    <row r="2330" spans="4:4" x14ac:dyDescent="0.3">
      <c r="D2330" s="104"/>
    </row>
    <row r="2331" spans="4:4" x14ac:dyDescent="0.3">
      <c r="D2331" s="104"/>
    </row>
    <row r="2332" spans="4:4" x14ac:dyDescent="0.3">
      <c r="D2332" s="104"/>
    </row>
    <row r="2333" spans="4:4" x14ac:dyDescent="0.3">
      <c r="D2333" s="104"/>
    </row>
    <row r="2334" spans="4:4" x14ac:dyDescent="0.3">
      <c r="D2334" s="104"/>
    </row>
    <row r="2335" spans="4:4" x14ac:dyDescent="0.3">
      <c r="D2335" s="104"/>
    </row>
    <row r="2336" spans="4:4" x14ac:dyDescent="0.3">
      <c r="D2336" s="104"/>
    </row>
    <row r="2337" spans="4:4" x14ac:dyDescent="0.3">
      <c r="D2337" s="104"/>
    </row>
    <row r="2338" spans="4:4" x14ac:dyDescent="0.3">
      <c r="D2338" s="104"/>
    </row>
    <row r="2339" spans="4:4" x14ac:dyDescent="0.3">
      <c r="D2339" s="104"/>
    </row>
    <row r="2340" spans="4:4" x14ac:dyDescent="0.3">
      <c r="D2340" s="104"/>
    </row>
    <row r="2341" spans="4:4" x14ac:dyDescent="0.3">
      <c r="D2341" s="104"/>
    </row>
    <row r="2342" spans="4:4" x14ac:dyDescent="0.3">
      <c r="D2342" s="104"/>
    </row>
    <row r="2343" spans="4:4" x14ac:dyDescent="0.3">
      <c r="D2343" s="104"/>
    </row>
    <row r="2344" spans="4:4" x14ac:dyDescent="0.3">
      <c r="D2344" s="104"/>
    </row>
    <row r="2345" spans="4:4" x14ac:dyDescent="0.3">
      <c r="D2345" s="104"/>
    </row>
    <row r="2346" spans="4:4" x14ac:dyDescent="0.3">
      <c r="D2346" s="104"/>
    </row>
    <row r="2347" spans="4:4" x14ac:dyDescent="0.3">
      <c r="D2347" s="104"/>
    </row>
    <row r="2348" spans="4:4" x14ac:dyDescent="0.3">
      <c r="D2348" s="104"/>
    </row>
    <row r="2349" spans="4:4" x14ac:dyDescent="0.3">
      <c r="D2349" s="104"/>
    </row>
    <row r="2350" spans="4:4" x14ac:dyDescent="0.3">
      <c r="D2350" s="104"/>
    </row>
    <row r="2351" spans="4:4" x14ac:dyDescent="0.3">
      <c r="D2351" s="104"/>
    </row>
    <row r="2352" spans="4:4" x14ac:dyDescent="0.3">
      <c r="D2352" s="104"/>
    </row>
    <row r="2353" spans="4:4" x14ac:dyDescent="0.3">
      <c r="D2353" s="104"/>
    </row>
    <row r="2354" spans="4:4" x14ac:dyDescent="0.3">
      <c r="D2354" s="104"/>
    </row>
    <row r="2355" spans="4:4" x14ac:dyDescent="0.3">
      <c r="D2355" s="104"/>
    </row>
    <row r="2356" spans="4:4" x14ac:dyDescent="0.3">
      <c r="D2356" s="104"/>
    </row>
    <row r="2357" spans="4:4" x14ac:dyDescent="0.3">
      <c r="D2357" s="104"/>
    </row>
    <row r="2358" spans="4:4" x14ac:dyDescent="0.3">
      <c r="D2358" s="104"/>
    </row>
    <row r="2359" spans="4:4" x14ac:dyDescent="0.3">
      <c r="D2359" s="104"/>
    </row>
    <row r="2360" spans="4:4" x14ac:dyDescent="0.3">
      <c r="D2360" s="104"/>
    </row>
    <row r="2361" spans="4:4" x14ac:dyDescent="0.3">
      <c r="D2361" s="104"/>
    </row>
    <row r="2362" spans="4:4" x14ac:dyDescent="0.3">
      <c r="D2362" s="104"/>
    </row>
    <row r="2363" spans="4:4" x14ac:dyDescent="0.3">
      <c r="D2363" s="104"/>
    </row>
    <row r="2364" spans="4:4" x14ac:dyDescent="0.3">
      <c r="D2364" s="104"/>
    </row>
    <row r="2365" spans="4:4" x14ac:dyDescent="0.3">
      <c r="D2365" s="104"/>
    </row>
    <row r="2366" spans="4:4" x14ac:dyDescent="0.3">
      <c r="D2366" s="104"/>
    </row>
    <row r="2367" spans="4:4" x14ac:dyDescent="0.3">
      <c r="D2367" s="104"/>
    </row>
    <row r="2368" spans="4:4" x14ac:dyDescent="0.3">
      <c r="D2368" s="104"/>
    </row>
    <row r="2369" spans="4:4" x14ac:dyDescent="0.3">
      <c r="D2369" s="104"/>
    </row>
    <row r="2370" spans="4:4" x14ac:dyDescent="0.3">
      <c r="D2370" s="104"/>
    </row>
    <row r="2371" spans="4:4" x14ac:dyDescent="0.3">
      <c r="D2371" s="104"/>
    </row>
    <row r="2372" spans="4:4" x14ac:dyDescent="0.3">
      <c r="D2372" s="104"/>
    </row>
    <row r="2373" spans="4:4" x14ac:dyDescent="0.3">
      <c r="D2373" s="104"/>
    </row>
    <row r="2374" spans="4:4" x14ac:dyDescent="0.3">
      <c r="D2374" s="104"/>
    </row>
    <row r="2375" spans="4:4" x14ac:dyDescent="0.3">
      <c r="D2375" s="104"/>
    </row>
    <row r="2376" spans="4:4" x14ac:dyDescent="0.3">
      <c r="D2376" s="104"/>
    </row>
    <row r="2377" spans="4:4" x14ac:dyDescent="0.3">
      <c r="D2377" s="104"/>
    </row>
    <row r="2378" spans="4:4" x14ac:dyDescent="0.3">
      <c r="D2378" s="104"/>
    </row>
    <row r="2379" spans="4:4" x14ac:dyDescent="0.3">
      <c r="D2379" s="104"/>
    </row>
    <row r="2380" spans="4:4" x14ac:dyDescent="0.3">
      <c r="D2380" s="104"/>
    </row>
    <row r="2381" spans="4:4" x14ac:dyDescent="0.3">
      <c r="D2381" s="104"/>
    </row>
    <row r="2382" spans="4:4" x14ac:dyDescent="0.3">
      <c r="D2382" s="104"/>
    </row>
    <row r="2383" spans="4:4" x14ac:dyDescent="0.3">
      <c r="D2383" s="104"/>
    </row>
    <row r="2384" spans="4:4" x14ac:dyDescent="0.3">
      <c r="D2384" s="104"/>
    </row>
    <row r="2385" spans="4:4" x14ac:dyDescent="0.3">
      <c r="D2385" s="104"/>
    </row>
    <row r="2386" spans="4:4" x14ac:dyDescent="0.3">
      <c r="D2386" s="104"/>
    </row>
    <row r="2387" spans="4:4" x14ac:dyDescent="0.3">
      <c r="D2387" s="104"/>
    </row>
    <row r="2388" spans="4:4" x14ac:dyDescent="0.3">
      <c r="D2388" s="104"/>
    </row>
    <row r="2389" spans="4:4" x14ac:dyDescent="0.3">
      <c r="D2389" s="104"/>
    </row>
    <row r="2390" spans="4:4" x14ac:dyDescent="0.3">
      <c r="D2390" s="104"/>
    </row>
    <row r="2391" spans="4:4" x14ac:dyDescent="0.3">
      <c r="D2391" s="104"/>
    </row>
    <row r="2392" spans="4:4" x14ac:dyDescent="0.3">
      <c r="D2392" s="104"/>
    </row>
    <row r="2393" spans="4:4" x14ac:dyDescent="0.3">
      <c r="D2393" s="104"/>
    </row>
    <row r="2394" spans="4:4" x14ac:dyDescent="0.3">
      <c r="D2394" s="104"/>
    </row>
    <row r="2395" spans="4:4" x14ac:dyDescent="0.3">
      <c r="D2395" s="104"/>
    </row>
    <row r="2396" spans="4:4" x14ac:dyDescent="0.3">
      <c r="D2396" s="104"/>
    </row>
    <row r="2397" spans="4:4" x14ac:dyDescent="0.3">
      <c r="D2397" s="104"/>
    </row>
    <row r="2398" spans="4:4" x14ac:dyDescent="0.3">
      <c r="D2398" s="104"/>
    </row>
    <row r="2399" spans="4:4" x14ac:dyDescent="0.3">
      <c r="D2399" s="104"/>
    </row>
    <row r="2400" spans="4:4" x14ac:dyDescent="0.3">
      <c r="D2400" s="104"/>
    </row>
    <row r="2401" spans="4:4" x14ac:dyDescent="0.3">
      <c r="D2401" s="104"/>
    </row>
    <row r="2402" spans="4:4" x14ac:dyDescent="0.3">
      <c r="D2402" s="104"/>
    </row>
    <row r="2403" spans="4:4" x14ac:dyDescent="0.3">
      <c r="D2403" s="104"/>
    </row>
    <row r="2404" spans="4:4" x14ac:dyDescent="0.3">
      <c r="D2404" s="104"/>
    </row>
    <row r="2405" spans="4:4" x14ac:dyDescent="0.3">
      <c r="D2405" s="104"/>
    </row>
    <row r="2406" spans="4:4" x14ac:dyDescent="0.3">
      <c r="D2406" s="104"/>
    </row>
    <row r="2407" spans="4:4" x14ac:dyDescent="0.3">
      <c r="D2407" s="104"/>
    </row>
    <row r="2408" spans="4:4" x14ac:dyDescent="0.3">
      <c r="D2408" s="104"/>
    </row>
    <row r="2409" spans="4:4" x14ac:dyDescent="0.3">
      <c r="D2409" s="104"/>
    </row>
    <row r="2410" spans="4:4" x14ac:dyDescent="0.3">
      <c r="D2410" s="104"/>
    </row>
    <row r="2411" spans="4:4" x14ac:dyDescent="0.3">
      <c r="D2411" s="104"/>
    </row>
    <row r="2412" spans="4:4" x14ac:dyDescent="0.3">
      <c r="D2412" s="104"/>
    </row>
    <row r="2413" spans="4:4" x14ac:dyDescent="0.3">
      <c r="D2413" s="104"/>
    </row>
    <row r="2414" spans="4:4" x14ac:dyDescent="0.3">
      <c r="D2414" s="104"/>
    </row>
    <row r="2415" spans="4:4" x14ac:dyDescent="0.3">
      <c r="D2415" s="104"/>
    </row>
    <row r="2416" spans="4:4" x14ac:dyDescent="0.3">
      <c r="D2416" s="104"/>
    </row>
    <row r="2417" spans="4:4" x14ac:dyDescent="0.3">
      <c r="D2417" s="104"/>
    </row>
    <row r="2418" spans="4:4" x14ac:dyDescent="0.3">
      <c r="D2418" s="104"/>
    </row>
    <row r="2419" spans="4:4" x14ac:dyDescent="0.3">
      <c r="D2419" s="104"/>
    </row>
    <row r="2420" spans="4:4" x14ac:dyDescent="0.3">
      <c r="D2420" s="104"/>
    </row>
    <row r="2421" spans="4:4" x14ac:dyDescent="0.3">
      <c r="D2421" s="104"/>
    </row>
    <row r="2422" spans="4:4" x14ac:dyDescent="0.3">
      <c r="D2422" s="104"/>
    </row>
    <row r="2423" spans="4:4" x14ac:dyDescent="0.3">
      <c r="D2423" s="104"/>
    </row>
    <row r="2424" spans="4:4" x14ac:dyDescent="0.3">
      <c r="D2424" s="104"/>
    </row>
    <row r="2425" spans="4:4" x14ac:dyDescent="0.3">
      <c r="D2425" s="104"/>
    </row>
    <row r="2426" spans="4:4" x14ac:dyDescent="0.3">
      <c r="D2426" s="104"/>
    </row>
    <row r="2427" spans="4:4" x14ac:dyDescent="0.3">
      <c r="D2427" s="104"/>
    </row>
    <row r="2428" spans="4:4" x14ac:dyDescent="0.3">
      <c r="D2428" s="104"/>
    </row>
    <row r="2429" spans="4:4" x14ac:dyDescent="0.3">
      <c r="D2429" s="104"/>
    </row>
    <row r="2430" spans="4:4" x14ac:dyDescent="0.3">
      <c r="D2430" s="104"/>
    </row>
    <row r="2431" spans="4:4" x14ac:dyDescent="0.3">
      <c r="D2431" s="104"/>
    </row>
    <row r="2432" spans="4:4" x14ac:dyDescent="0.3">
      <c r="D2432" s="104"/>
    </row>
    <row r="2433" spans="4:4" x14ac:dyDescent="0.3">
      <c r="D2433" s="104"/>
    </row>
    <row r="2434" spans="4:4" x14ac:dyDescent="0.3">
      <c r="D2434" s="104"/>
    </row>
    <row r="2435" spans="4:4" x14ac:dyDescent="0.3">
      <c r="D2435" s="104"/>
    </row>
    <row r="2436" spans="4:4" x14ac:dyDescent="0.3">
      <c r="D2436" s="104"/>
    </row>
    <row r="2437" spans="4:4" x14ac:dyDescent="0.3">
      <c r="D2437" s="104"/>
    </row>
    <row r="2438" spans="4:4" x14ac:dyDescent="0.3">
      <c r="D2438" s="104"/>
    </row>
    <row r="2439" spans="4:4" x14ac:dyDescent="0.3">
      <c r="D2439" s="104"/>
    </row>
    <row r="2440" spans="4:4" x14ac:dyDescent="0.3">
      <c r="D2440" s="104"/>
    </row>
    <row r="2441" spans="4:4" x14ac:dyDescent="0.3">
      <c r="D2441" s="104"/>
    </row>
    <row r="2442" spans="4:4" x14ac:dyDescent="0.3">
      <c r="D2442" s="104"/>
    </row>
    <row r="2443" spans="4:4" x14ac:dyDescent="0.3">
      <c r="D2443" s="104"/>
    </row>
    <row r="2444" spans="4:4" x14ac:dyDescent="0.3">
      <c r="D2444" s="104"/>
    </row>
    <row r="2445" spans="4:4" x14ac:dyDescent="0.3">
      <c r="D2445" s="104"/>
    </row>
    <row r="2446" spans="4:4" x14ac:dyDescent="0.3">
      <c r="D2446" s="104"/>
    </row>
    <row r="2447" spans="4:4" x14ac:dyDescent="0.3">
      <c r="D2447" s="104"/>
    </row>
    <row r="2448" spans="4:4" x14ac:dyDescent="0.3">
      <c r="D2448" s="104"/>
    </row>
    <row r="2449" spans="4:4" x14ac:dyDescent="0.3">
      <c r="D2449" s="104"/>
    </row>
    <row r="2450" spans="4:4" x14ac:dyDescent="0.3">
      <c r="D2450" s="104"/>
    </row>
    <row r="2451" spans="4:4" x14ac:dyDescent="0.3">
      <c r="D2451" s="104"/>
    </row>
    <row r="2452" spans="4:4" x14ac:dyDescent="0.3">
      <c r="D2452" s="104"/>
    </row>
    <row r="2453" spans="4:4" x14ac:dyDescent="0.3">
      <c r="D2453" s="104"/>
    </row>
    <row r="2454" spans="4:4" x14ac:dyDescent="0.3">
      <c r="D2454" s="104"/>
    </row>
    <row r="2455" spans="4:4" x14ac:dyDescent="0.3">
      <c r="D2455" s="104"/>
    </row>
    <row r="2456" spans="4:4" x14ac:dyDescent="0.3">
      <c r="D2456" s="104"/>
    </row>
    <row r="2457" spans="4:4" x14ac:dyDescent="0.3">
      <c r="D2457" s="104"/>
    </row>
    <row r="2458" spans="4:4" x14ac:dyDescent="0.3">
      <c r="D2458" s="104"/>
    </row>
    <row r="2459" spans="4:4" x14ac:dyDescent="0.3">
      <c r="D2459" s="104"/>
    </row>
    <row r="2460" spans="4:4" x14ac:dyDescent="0.3">
      <c r="D2460" s="104"/>
    </row>
    <row r="2461" spans="4:4" x14ac:dyDescent="0.3">
      <c r="D2461" s="104"/>
    </row>
    <row r="2462" spans="4:4" x14ac:dyDescent="0.3">
      <c r="D2462" s="104"/>
    </row>
    <row r="2463" spans="4:4" x14ac:dyDescent="0.3">
      <c r="D2463" s="104"/>
    </row>
    <row r="2464" spans="4:4" x14ac:dyDescent="0.3">
      <c r="D2464" s="104"/>
    </row>
    <row r="2465" spans="4:4" x14ac:dyDescent="0.3">
      <c r="D2465" s="104"/>
    </row>
    <row r="2466" spans="4:4" x14ac:dyDescent="0.3">
      <c r="D2466" s="104"/>
    </row>
    <row r="2467" spans="4:4" x14ac:dyDescent="0.3">
      <c r="D2467" s="104"/>
    </row>
    <row r="2468" spans="4:4" x14ac:dyDescent="0.3">
      <c r="D2468" s="104"/>
    </row>
    <row r="2469" spans="4:4" x14ac:dyDescent="0.3">
      <c r="D2469" s="104"/>
    </row>
    <row r="2470" spans="4:4" x14ac:dyDescent="0.3">
      <c r="D2470" s="104"/>
    </row>
    <row r="2471" spans="4:4" x14ac:dyDescent="0.3">
      <c r="D2471" s="104"/>
    </row>
    <row r="2472" spans="4:4" x14ac:dyDescent="0.3">
      <c r="D2472" s="104"/>
    </row>
    <row r="2473" spans="4:4" x14ac:dyDescent="0.3">
      <c r="D2473" s="104"/>
    </row>
    <row r="2474" spans="4:4" x14ac:dyDescent="0.3">
      <c r="D2474" s="104"/>
    </row>
    <row r="2475" spans="4:4" x14ac:dyDescent="0.3">
      <c r="D2475" s="104"/>
    </row>
    <row r="2476" spans="4:4" x14ac:dyDescent="0.3">
      <c r="D2476" s="104"/>
    </row>
    <row r="2477" spans="4:4" x14ac:dyDescent="0.3">
      <c r="D2477" s="104"/>
    </row>
    <row r="2478" spans="4:4" x14ac:dyDescent="0.3">
      <c r="D2478" s="104"/>
    </row>
    <row r="2479" spans="4:4" x14ac:dyDescent="0.3">
      <c r="D2479" s="104"/>
    </row>
    <row r="2480" spans="4:4" x14ac:dyDescent="0.3">
      <c r="D2480" s="104"/>
    </row>
    <row r="2481" spans="4:4" x14ac:dyDescent="0.3">
      <c r="D2481" s="104"/>
    </row>
    <row r="2482" spans="4:4" x14ac:dyDescent="0.3">
      <c r="D2482" s="104"/>
    </row>
    <row r="2483" spans="4:4" x14ac:dyDescent="0.3">
      <c r="D2483" s="104"/>
    </row>
    <row r="2484" spans="4:4" x14ac:dyDescent="0.3">
      <c r="D2484" s="104"/>
    </row>
    <row r="2485" spans="4:4" x14ac:dyDescent="0.3">
      <c r="D2485" s="104"/>
    </row>
    <row r="2486" spans="4:4" x14ac:dyDescent="0.3">
      <c r="D2486" s="104"/>
    </row>
    <row r="2487" spans="4:4" x14ac:dyDescent="0.3">
      <c r="D2487" s="104"/>
    </row>
    <row r="2488" spans="4:4" x14ac:dyDescent="0.3">
      <c r="D2488" s="104"/>
    </row>
    <row r="2489" spans="4:4" x14ac:dyDescent="0.3">
      <c r="D2489" s="104"/>
    </row>
    <row r="2490" spans="4:4" x14ac:dyDescent="0.3">
      <c r="D2490" s="104"/>
    </row>
    <row r="2491" spans="4:4" x14ac:dyDescent="0.3">
      <c r="D2491" s="104"/>
    </row>
    <row r="2492" spans="4:4" x14ac:dyDescent="0.3">
      <c r="D2492" s="104"/>
    </row>
    <row r="2493" spans="4:4" x14ac:dyDescent="0.3">
      <c r="D2493" s="104"/>
    </row>
    <row r="2494" spans="4:4" x14ac:dyDescent="0.3">
      <c r="D2494" s="104"/>
    </row>
    <row r="2495" spans="4:4" x14ac:dyDescent="0.3">
      <c r="D2495" s="104"/>
    </row>
    <row r="2496" spans="4:4" x14ac:dyDescent="0.3">
      <c r="D2496" s="104"/>
    </row>
    <row r="2497" spans="4:4" x14ac:dyDescent="0.3">
      <c r="D2497" s="104"/>
    </row>
    <row r="2498" spans="4:4" x14ac:dyDescent="0.3">
      <c r="D2498" s="104"/>
    </row>
    <row r="2499" spans="4:4" x14ac:dyDescent="0.3">
      <c r="D2499" s="104"/>
    </row>
    <row r="2500" spans="4:4" x14ac:dyDescent="0.3">
      <c r="D2500" s="104"/>
    </row>
    <row r="2501" spans="4:4" x14ac:dyDescent="0.3">
      <c r="D2501" s="104"/>
    </row>
    <row r="2502" spans="4:4" x14ac:dyDescent="0.3">
      <c r="D2502" s="104"/>
    </row>
    <row r="2503" spans="4:4" x14ac:dyDescent="0.3">
      <c r="D2503" s="104"/>
    </row>
    <row r="2504" spans="4:4" x14ac:dyDescent="0.3">
      <c r="D2504" s="104"/>
    </row>
    <row r="2505" spans="4:4" x14ac:dyDescent="0.3">
      <c r="D2505" s="104"/>
    </row>
    <row r="2506" spans="4:4" x14ac:dyDescent="0.3">
      <c r="D2506" s="104"/>
    </row>
    <row r="2507" spans="4:4" x14ac:dyDescent="0.3">
      <c r="D2507" s="104"/>
    </row>
    <row r="2508" spans="4:4" x14ac:dyDescent="0.3">
      <c r="D2508" s="104"/>
    </row>
    <row r="2509" spans="4:4" x14ac:dyDescent="0.3">
      <c r="D2509" s="104"/>
    </row>
    <row r="2510" spans="4:4" x14ac:dyDescent="0.3">
      <c r="D2510" s="104"/>
    </row>
    <row r="2511" spans="4:4" x14ac:dyDescent="0.3">
      <c r="D2511" s="104"/>
    </row>
    <row r="2512" spans="4:4" x14ac:dyDescent="0.3">
      <c r="D2512" s="104"/>
    </row>
    <row r="2513" spans="4:4" x14ac:dyDescent="0.3">
      <c r="D2513" s="104"/>
    </row>
    <row r="2514" spans="4:4" x14ac:dyDescent="0.3">
      <c r="D2514" s="104"/>
    </row>
    <row r="2515" spans="4:4" x14ac:dyDescent="0.3">
      <c r="D2515" s="104"/>
    </row>
    <row r="2516" spans="4:4" x14ac:dyDescent="0.3">
      <c r="D2516" s="104"/>
    </row>
    <row r="2517" spans="4:4" x14ac:dyDescent="0.3">
      <c r="D2517" s="104"/>
    </row>
    <row r="2518" spans="4:4" x14ac:dyDescent="0.3">
      <c r="D2518" s="104"/>
    </row>
    <row r="2519" spans="4:4" x14ac:dyDescent="0.3">
      <c r="D2519" s="104"/>
    </row>
    <row r="2520" spans="4:4" x14ac:dyDescent="0.3">
      <c r="D2520" s="104"/>
    </row>
    <row r="2521" spans="4:4" x14ac:dyDescent="0.3">
      <c r="D2521" s="104"/>
    </row>
    <row r="2522" spans="4:4" x14ac:dyDescent="0.3">
      <c r="D2522" s="104"/>
    </row>
    <row r="2523" spans="4:4" x14ac:dyDescent="0.3">
      <c r="D2523" s="104"/>
    </row>
    <row r="2524" spans="4:4" x14ac:dyDescent="0.3">
      <c r="D2524" s="104"/>
    </row>
    <row r="2525" spans="4:4" x14ac:dyDescent="0.3">
      <c r="D2525" s="104"/>
    </row>
    <row r="2526" spans="4:4" x14ac:dyDescent="0.3">
      <c r="D2526" s="104"/>
    </row>
    <row r="2527" spans="4:4" x14ac:dyDescent="0.3">
      <c r="D2527" s="104"/>
    </row>
    <row r="2528" spans="4:4" x14ac:dyDescent="0.3">
      <c r="D2528" s="104"/>
    </row>
    <row r="2529" spans="4:4" x14ac:dyDescent="0.3">
      <c r="D2529" s="104"/>
    </row>
    <row r="2530" spans="4:4" x14ac:dyDescent="0.3">
      <c r="D2530" s="104"/>
    </row>
    <row r="2531" spans="4:4" x14ac:dyDescent="0.3">
      <c r="D2531" s="104"/>
    </row>
    <row r="2532" spans="4:4" x14ac:dyDescent="0.3">
      <c r="D2532" s="104"/>
    </row>
    <row r="2533" spans="4:4" x14ac:dyDescent="0.3">
      <c r="D2533" s="104"/>
    </row>
    <row r="2534" spans="4:4" x14ac:dyDescent="0.3">
      <c r="D2534" s="104"/>
    </row>
    <row r="2535" spans="4:4" x14ac:dyDescent="0.3">
      <c r="D2535" s="104"/>
    </row>
    <row r="2536" spans="4:4" x14ac:dyDescent="0.3">
      <c r="D2536" s="104"/>
    </row>
    <row r="2537" spans="4:4" x14ac:dyDescent="0.3">
      <c r="D2537" s="104"/>
    </row>
    <row r="2538" spans="4:4" x14ac:dyDescent="0.3">
      <c r="D2538" s="104"/>
    </row>
    <row r="2539" spans="4:4" x14ac:dyDescent="0.3">
      <c r="D2539" s="104"/>
    </row>
    <row r="2540" spans="4:4" x14ac:dyDescent="0.3">
      <c r="D2540" s="104"/>
    </row>
    <row r="2541" spans="4:4" x14ac:dyDescent="0.3">
      <c r="D2541" s="104"/>
    </row>
    <row r="2542" spans="4:4" x14ac:dyDescent="0.3">
      <c r="D2542" s="104"/>
    </row>
    <row r="2543" spans="4:4" x14ac:dyDescent="0.3">
      <c r="D2543" s="104"/>
    </row>
    <row r="2544" spans="4:4" x14ac:dyDescent="0.3">
      <c r="D2544" s="104"/>
    </row>
    <row r="2545" spans="4:4" x14ac:dyDescent="0.3">
      <c r="D2545" s="104"/>
    </row>
    <row r="2546" spans="4:4" x14ac:dyDescent="0.3">
      <c r="D2546" s="104"/>
    </row>
    <row r="2547" spans="4:4" x14ac:dyDescent="0.3">
      <c r="D2547" s="104"/>
    </row>
    <row r="2548" spans="4:4" x14ac:dyDescent="0.3">
      <c r="D2548" s="104"/>
    </row>
    <row r="2549" spans="4:4" x14ac:dyDescent="0.3">
      <c r="D2549" s="104"/>
    </row>
    <row r="2550" spans="4:4" x14ac:dyDescent="0.3">
      <c r="D2550" s="104"/>
    </row>
    <row r="2551" spans="4:4" x14ac:dyDescent="0.3">
      <c r="D2551" s="104"/>
    </row>
    <row r="2552" spans="4:4" x14ac:dyDescent="0.3">
      <c r="D2552" s="104"/>
    </row>
    <row r="2553" spans="4:4" x14ac:dyDescent="0.3">
      <c r="D2553" s="104"/>
    </row>
    <row r="2554" spans="4:4" x14ac:dyDescent="0.3">
      <c r="D2554" s="104"/>
    </row>
    <row r="2555" spans="4:4" x14ac:dyDescent="0.3">
      <c r="D2555" s="104"/>
    </row>
    <row r="2556" spans="4:4" x14ac:dyDescent="0.3">
      <c r="D2556" s="104"/>
    </row>
    <row r="2557" spans="4:4" x14ac:dyDescent="0.3">
      <c r="D2557" s="104"/>
    </row>
    <row r="2558" spans="4:4" x14ac:dyDescent="0.3">
      <c r="D2558" s="104"/>
    </row>
    <row r="2559" spans="4:4" x14ac:dyDescent="0.3">
      <c r="D2559" s="104"/>
    </row>
    <row r="2560" spans="4:4" x14ac:dyDescent="0.3">
      <c r="D2560" s="104"/>
    </row>
    <row r="2561" spans="4:4" x14ac:dyDescent="0.3">
      <c r="D2561" s="104"/>
    </row>
    <row r="2562" spans="4:4" x14ac:dyDescent="0.3">
      <c r="D2562" s="104"/>
    </row>
    <row r="2563" spans="4:4" x14ac:dyDescent="0.3">
      <c r="D2563" s="104"/>
    </row>
    <row r="2564" spans="4:4" x14ac:dyDescent="0.3">
      <c r="D2564" s="104"/>
    </row>
    <row r="2565" spans="4:4" x14ac:dyDescent="0.3">
      <c r="D2565" s="104"/>
    </row>
    <row r="2566" spans="4:4" x14ac:dyDescent="0.3">
      <c r="D2566" s="104"/>
    </row>
    <row r="2567" spans="4:4" x14ac:dyDescent="0.3">
      <c r="D2567" s="104"/>
    </row>
    <row r="2568" spans="4:4" x14ac:dyDescent="0.3">
      <c r="D2568" s="104"/>
    </row>
    <row r="2569" spans="4:4" x14ac:dyDescent="0.3">
      <c r="D2569" s="104"/>
    </row>
    <row r="2570" spans="4:4" x14ac:dyDescent="0.3">
      <c r="D2570" s="104"/>
    </row>
    <row r="2571" spans="4:4" x14ac:dyDescent="0.3">
      <c r="D2571" s="104"/>
    </row>
    <row r="2572" spans="4:4" x14ac:dyDescent="0.3">
      <c r="D2572" s="104"/>
    </row>
    <row r="2573" spans="4:4" x14ac:dyDescent="0.3">
      <c r="D2573" s="104"/>
    </row>
    <row r="2574" spans="4:4" x14ac:dyDescent="0.3">
      <c r="D2574" s="104"/>
    </row>
    <row r="2575" spans="4:4" x14ac:dyDescent="0.3">
      <c r="D2575" s="104"/>
    </row>
    <row r="2576" spans="4:4" x14ac:dyDescent="0.3">
      <c r="D2576" s="104"/>
    </row>
    <row r="2577" spans="4:4" x14ac:dyDescent="0.3">
      <c r="D2577" s="104"/>
    </row>
    <row r="2578" spans="4:4" x14ac:dyDescent="0.3">
      <c r="D2578" s="104"/>
    </row>
    <row r="2579" spans="4:4" x14ac:dyDescent="0.3">
      <c r="D2579" s="104"/>
    </row>
    <row r="2580" spans="4:4" x14ac:dyDescent="0.3">
      <c r="D2580" s="104"/>
    </row>
    <row r="2581" spans="4:4" x14ac:dyDescent="0.3">
      <c r="D2581" s="104"/>
    </row>
    <row r="2582" spans="4:4" x14ac:dyDescent="0.3">
      <c r="D2582" s="104"/>
    </row>
    <row r="2583" spans="4:4" x14ac:dyDescent="0.3">
      <c r="D2583" s="104"/>
    </row>
    <row r="2584" spans="4:4" x14ac:dyDescent="0.3">
      <c r="D2584" s="104"/>
    </row>
    <row r="2585" spans="4:4" x14ac:dyDescent="0.3">
      <c r="D2585" s="104"/>
    </row>
    <row r="2586" spans="4:4" x14ac:dyDescent="0.3">
      <c r="D2586" s="104"/>
    </row>
    <row r="2587" spans="4:4" x14ac:dyDescent="0.3">
      <c r="D2587" s="104"/>
    </row>
    <row r="2588" spans="4:4" x14ac:dyDescent="0.3">
      <c r="D2588" s="104"/>
    </row>
    <row r="2589" spans="4:4" x14ac:dyDescent="0.3">
      <c r="D2589" s="104"/>
    </row>
    <row r="2590" spans="4:4" x14ac:dyDescent="0.3">
      <c r="D2590" s="104"/>
    </row>
    <row r="2591" spans="4:4" x14ac:dyDescent="0.3">
      <c r="D2591" s="104"/>
    </row>
    <row r="2592" spans="4:4" x14ac:dyDescent="0.3">
      <c r="D2592" s="104"/>
    </row>
    <row r="2593" spans="4:4" x14ac:dyDescent="0.3">
      <c r="D2593" s="104"/>
    </row>
    <row r="2594" spans="4:4" x14ac:dyDescent="0.3">
      <c r="D2594" s="104"/>
    </row>
    <row r="2595" spans="4:4" x14ac:dyDescent="0.3">
      <c r="D2595" s="104"/>
    </row>
    <row r="2596" spans="4:4" x14ac:dyDescent="0.3">
      <c r="D2596" s="104"/>
    </row>
    <row r="2597" spans="4:4" x14ac:dyDescent="0.3">
      <c r="D2597" s="104"/>
    </row>
    <row r="2598" spans="4:4" x14ac:dyDescent="0.3">
      <c r="D2598" s="104"/>
    </row>
    <row r="2599" spans="4:4" x14ac:dyDescent="0.3">
      <c r="D2599" s="104"/>
    </row>
    <row r="2600" spans="4:4" x14ac:dyDescent="0.3">
      <c r="D2600" s="104"/>
    </row>
    <row r="2601" spans="4:4" x14ac:dyDescent="0.3">
      <c r="D2601" s="104"/>
    </row>
    <row r="2602" spans="4:4" x14ac:dyDescent="0.3">
      <c r="D2602" s="104"/>
    </row>
    <row r="2603" spans="4:4" x14ac:dyDescent="0.3">
      <c r="D2603" s="104"/>
    </row>
    <row r="2604" spans="4:4" x14ac:dyDescent="0.3">
      <c r="D2604" s="104"/>
    </row>
    <row r="2605" spans="4:4" x14ac:dyDescent="0.3">
      <c r="D2605" s="104"/>
    </row>
    <row r="2606" spans="4:4" x14ac:dyDescent="0.3">
      <c r="D2606" s="104"/>
    </row>
    <row r="2607" spans="4:4" x14ac:dyDescent="0.3">
      <c r="D2607" s="104"/>
    </row>
    <row r="2608" spans="4:4" x14ac:dyDescent="0.3">
      <c r="D2608" s="104"/>
    </row>
    <row r="2609" spans="4:4" x14ac:dyDescent="0.3">
      <c r="D2609" s="104"/>
    </row>
    <row r="2610" spans="4:4" x14ac:dyDescent="0.3">
      <c r="D2610" s="104"/>
    </row>
    <row r="2611" spans="4:4" x14ac:dyDescent="0.3">
      <c r="D2611" s="104"/>
    </row>
    <row r="2612" spans="4:4" x14ac:dyDescent="0.3">
      <c r="D2612" s="104"/>
    </row>
    <row r="2613" spans="4:4" x14ac:dyDescent="0.3">
      <c r="D2613" s="104"/>
    </row>
    <row r="2614" spans="4:4" x14ac:dyDescent="0.3">
      <c r="D2614" s="104"/>
    </row>
    <row r="2615" spans="4:4" x14ac:dyDescent="0.3">
      <c r="D2615" s="104"/>
    </row>
    <row r="2616" spans="4:4" x14ac:dyDescent="0.3">
      <c r="D2616" s="104"/>
    </row>
    <row r="2617" spans="4:4" x14ac:dyDescent="0.3">
      <c r="D2617" s="104"/>
    </row>
    <row r="2618" spans="4:4" x14ac:dyDescent="0.3">
      <c r="D2618" s="104"/>
    </row>
    <row r="2619" spans="4:4" x14ac:dyDescent="0.3">
      <c r="D2619" s="104"/>
    </row>
    <row r="2620" spans="4:4" x14ac:dyDescent="0.3">
      <c r="D2620" s="104"/>
    </row>
    <row r="2621" spans="4:4" x14ac:dyDescent="0.3">
      <c r="D2621" s="104"/>
    </row>
    <row r="2622" spans="4:4" x14ac:dyDescent="0.3">
      <c r="D2622" s="104"/>
    </row>
    <row r="2623" spans="4:4" x14ac:dyDescent="0.3">
      <c r="D2623" s="104"/>
    </row>
    <row r="2624" spans="4:4" x14ac:dyDescent="0.3">
      <c r="D2624" s="104"/>
    </row>
    <row r="2625" spans="4:4" x14ac:dyDescent="0.3">
      <c r="D2625" s="104"/>
    </row>
    <row r="2626" spans="4:4" x14ac:dyDescent="0.3">
      <c r="D2626" s="104"/>
    </row>
    <row r="2627" spans="4:4" x14ac:dyDescent="0.3">
      <c r="D2627" s="104"/>
    </row>
    <row r="2628" spans="4:4" x14ac:dyDescent="0.3">
      <c r="D2628" s="104"/>
    </row>
    <row r="2629" spans="4:4" x14ac:dyDescent="0.3">
      <c r="D2629" s="104"/>
    </row>
    <row r="2630" spans="4:4" x14ac:dyDescent="0.3">
      <c r="D2630" s="104"/>
    </row>
    <row r="2631" spans="4:4" x14ac:dyDescent="0.3">
      <c r="D2631" s="104"/>
    </row>
    <row r="2632" spans="4:4" x14ac:dyDescent="0.3">
      <c r="D2632" s="104"/>
    </row>
    <row r="2633" spans="4:4" x14ac:dyDescent="0.3">
      <c r="D2633" s="104"/>
    </row>
    <row r="2634" spans="4:4" x14ac:dyDescent="0.3">
      <c r="D2634" s="104"/>
    </row>
    <row r="2635" spans="4:4" x14ac:dyDescent="0.3">
      <c r="D2635" s="104"/>
    </row>
    <row r="2636" spans="4:4" x14ac:dyDescent="0.3">
      <c r="D2636" s="104"/>
    </row>
    <row r="2637" spans="4:4" x14ac:dyDescent="0.3">
      <c r="D2637" s="104"/>
    </row>
    <row r="2638" spans="4:4" x14ac:dyDescent="0.3">
      <c r="D2638" s="104"/>
    </row>
    <row r="2639" spans="4:4" x14ac:dyDescent="0.3">
      <c r="D2639" s="104"/>
    </row>
    <row r="2640" spans="4:4" x14ac:dyDescent="0.3">
      <c r="D2640" s="104"/>
    </row>
    <row r="2641" spans="4:4" x14ac:dyDescent="0.3">
      <c r="D2641" s="104"/>
    </row>
    <row r="2642" spans="4:4" x14ac:dyDescent="0.3">
      <c r="D2642" s="104"/>
    </row>
    <row r="2643" spans="4:4" x14ac:dyDescent="0.3">
      <c r="D2643" s="104"/>
    </row>
    <row r="2644" spans="4:4" x14ac:dyDescent="0.3">
      <c r="D2644" s="104"/>
    </row>
    <row r="2645" spans="4:4" x14ac:dyDescent="0.3">
      <c r="D2645" s="104"/>
    </row>
    <row r="2646" spans="4:4" x14ac:dyDescent="0.3">
      <c r="D2646" s="104"/>
    </row>
    <row r="2647" spans="4:4" x14ac:dyDescent="0.3">
      <c r="D2647" s="104"/>
    </row>
    <row r="2648" spans="4:4" x14ac:dyDescent="0.3">
      <c r="D2648" s="104"/>
    </row>
    <row r="2649" spans="4:4" x14ac:dyDescent="0.3">
      <c r="D2649" s="104"/>
    </row>
    <row r="2650" spans="4:4" x14ac:dyDescent="0.3">
      <c r="D2650" s="104"/>
    </row>
    <row r="2651" spans="4:4" x14ac:dyDescent="0.3">
      <c r="D2651" s="104"/>
    </row>
    <row r="2652" spans="4:4" x14ac:dyDescent="0.3">
      <c r="D2652" s="104"/>
    </row>
    <row r="2653" spans="4:4" x14ac:dyDescent="0.3">
      <c r="D2653" s="104"/>
    </row>
    <row r="2654" spans="4:4" x14ac:dyDescent="0.3">
      <c r="D2654" s="104"/>
    </row>
    <row r="2655" spans="4:4" x14ac:dyDescent="0.3">
      <c r="D2655" s="104"/>
    </row>
    <row r="2656" spans="4:4" x14ac:dyDescent="0.3">
      <c r="D2656" s="104"/>
    </row>
    <row r="2657" spans="4:4" x14ac:dyDescent="0.3">
      <c r="D2657" s="104"/>
    </row>
    <row r="2658" spans="4:4" x14ac:dyDescent="0.3">
      <c r="D2658" s="104"/>
    </row>
    <row r="2659" spans="4:4" x14ac:dyDescent="0.3">
      <c r="D2659" s="104"/>
    </row>
    <row r="2660" spans="4:4" x14ac:dyDescent="0.3">
      <c r="D2660" s="104"/>
    </row>
    <row r="2661" spans="4:4" x14ac:dyDescent="0.3">
      <c r="D2661" s="104"/>
    </row>
    <row r="2662" spans="4:4" x14ac:dyDescent="0.3">
      <c r="D2662" s="104"/>
    </row>
    <row r="2663" spans="4:4" x14ac:dyDescent="0.3">
      <c r="D2663" s="104"/>
    </row>
    <row r="2664" spans="4:4" x14ac:dyDescent="0.3">
      <c r="D2664" s="104"/>
    </row>
    <row r="2665" spans="4:4" x14ac:dyDescent="0.3">
      <c r="D2665" s="104"/>
    </row>
    <row r="2666" spans="4:4" x14ac:dyDescent="0.3">
      <c r="D2666" s="104"/>
    </row>
    <row r="2667" spans="4:4" x14ac:dyDescent="0.3">
      <c r="D2667" s="104"/>
    </row>
    <row r="2668" spans="4:4" x14ac:dyDescent="0.3">
      <c r="D2668" s="104"/>
    </row>
    <row r="2669" spans="4:4" x14ac:dyDescent="0.3">
      <c r="D2669" s="104"/>
    </row>
    <row r="2670" spans="4:4" x14ac:dyDescent="0.3">
      <c r="D2670" s="104"/>
    </row>
    <row r="2671" spans="4:4" x14ac:dyDescent="0.3">
      <c r="D2671" s="104"/>
    </row>
    <row r="2672" spans="4:4" x14ac:dyDescent="0.3">
      <c r="D2672" s="104"/>
    </row>
    <row r="2673" spans="4:4" x14ac:dyDescent="0.3">
      <c r="D2673" s="104"/>
    </row>
    <row r="2674" spans="4:4" x14ac:dyDescent="0.3">
      <c r="D2674" s="104"/>
    </row>
    <row r="2675" spans="4:4" x14ac:dyDescent="0.3">
      <c r="D2675" s="104"/>
    </row>
    <row r="2676" spans="4:4" x14ac:dyDescent="0.3">
      <c r="D2676" s="104"/>
    </row>
    <row r="2677" spans="4:4" x14ac:dyDescent="0.3">
      <c r="D2677" s="104"/>
    </row>
    <row r="2678" spans="4:4" x14ac:dyDescent="0.3">
      <c r="D2678" s="104"/>
    </row>
  </sheetData>
  <mergeCells count="1">
    <mergeCell ref="B3:D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C525-7773-4A07-8C20-E31390D9B68E}">
  <sheetPr codeName="Hoja2"/>
  <dimension ref="B2:K2676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I22" sqref="I22"/>
    </sheetView>
  </sheetViews>
  <sheetFormatPr baseColWidth="10" defaultColWidth="11.5546875" defaultRowHeight="14.4" x14ac:dyDescent="0.3"/>
  <cols>
    <col min="1" max="1" width="6.33203125" style="105" customWidth="1"/>
    <col min="2" max="2" width="16.6640625" style="103" customWidth="1"/>
    <col min="3" max="3" width="46.6640625" style="139" customWidth="1"/>
    <col min="4" max="4" width="15.33203125" style="103" customWidth="1"/>
    <col min="5" max="5" width="21.44140625" style="103" customWidth="1"/>
    <col min="6" max="6" width="6.33203125" style="110" customWidth="1"/>
    <col min="7" max="8" width="11.5546875" style="105"/>
    <col min="9" max="9" width="18.109375" style="105" bestFit="1" customWidth="1"/>
    <col min="10" max="10" width="10.5546875" style="105" bestFit="1" customWidth="1"/>
    <col min="11" max="11" width="13.6640625" style="105" bestFit="1" customWidth="1"/>
    <col min="12" max="16384" width="11.5546875" style="105"/>
  </cols>
  <sheetData>
    <row r="2" spans="2:11" ht="22.95" customHeight="1" x14ac:dyDescent="0.45">
      <c r="B2" s="164" t="s">
        <v>35</v>
      </c>
      <c r="C2" s="164"/>
      <c r="D2" s="164"/>
      <c r="E2" s="164"/>
    </row>
    <row r="4" spans="2:11" s="116" customFormat="1" ht="28.95" customHeight="1" x14ac:dyDescent="0.3">
      <c r="B4" s="147" t="s">
        <v>1</v>
      </c>
      <c r="C4" s="147" t="s">
        <v>0</v>
      </c>
      <c r="D4" s="147" t="s">
        <v>14</v>
      </c>
      <c r="E4" s="147" t="s">
        <v>11</v>
      </c>
      <c r="F4" s="134"/>
      <c r="I4" s="148" t="s">
        <v>7</v>
      </c>
      <c r="J4" s="148" t="s">
        <v>8</v>
      </c>
      <c r="K4" s="148" t="s">
        <v>9</v>
      </c>
    </row>
    <row r="5" spans="2:11" x14ac:dyDescent="0.3">
      <c r="B5" s="135" t="str">
        <f>+'PT1'!B241</f>
        <v>104-005-028</v>
      </c>
      <c r="C5" s="135" t="str">
        <f>+'PT1'!C241</f>
        <v>C2-1410 SARITA AGAMI M</v>
      </c>
      <c r="D5" s="136">
        <f>+'PT1'!D241</f>
        <v>0</v>
      </c>
      <c r="E5" s="135" t="str">
        <f t="shared" ref="E5:E68" si="0">IF(D5&lt;0,"ANTICIPOS",IF(D5=$J$8,"SIN ADEUDO",IF(D5&lt;=$K$7,"DEUDA CORRIENTE",IF(D5&lt;=$K$6,"MOROSOS",IF(D5&gt;$J$5,"COBRANZA JUDICIAL")))))</f>
        <v>SIN ADEUDO</v>
      </c>
      <c r="I5" s="137" t="s">
        <v>3</v>
      </c>
      <c r="J5" s="138">
        <v>60000</v>
      </c>
      <c r="K5" s="138" t="s">
        <v>10</v>
      </c>
    </row>
    <row r="6" spans="2:11" x14ac:dyDescent="0.3">
      <c r="B6" s="135" t="str">
        <f>+'PT1'!B132</f>
        <v>104-003-023</v>
      </c>
      <c r="C6" s="135" t="str">
        <f>+'PT1'!C132</f>
        <v>O2-1205 ABRAHAM ROFFE</v>
      </c>
      <c r="D6" s="136">
        <f>+'PT1'!D132</f>
        <v>39841</v>
      </c>
      <c r="E6" s="135" t="str">
        <f t="shared" si="0"/>
        <v>MOROSOS</v>
      </c>
      <c r="I6" s="137" t="s">
        <v>32</v>
      </c>
      <c r="J6" s="138">
        <v>20000</v>
      </c>
      <c r="K6" s="138">
        <v>59999.99</v>
      </c>
    </row>
    <row r="7" spans="2:11" x14ac:dyDescent="0.3">
      <c r="B7" s="135" t="str">
        <f>+'PT1'!B289</f>
        <v>104-006-024</v>
      </c>
      <c r="C7" s="135" t="str">
        <f>+'PT1'!C289</f>
        <v>C3-1212 FORTUNA CASSAB</v>
      </c>
      <c r="D7" s="136">
        <f>+'PT1'!D289</f>
        <v>0</v>
      </c>
      <c r="E7" s="135" t="str">
        <f t="shared" si="0"/>
        <v>SIN ADEUDO</v>
      </c>
      <c r="I7" s="137" t="s">
        <v>4</v>
      </c>
      <c r="J7" s="138">
        <v>0.01</v>
      </c>
      <c r="K7" s="138">
        <v>19999.990000000002</v>
      </c>
    </row>
    <row r="8" spans="2:11" x14ac:dyDescent="0.3">
      <c r="B8" s="135" t="str">
        <f>+'PT1'!B65</f>
        <v>104-002-008</v>
      </c>
      <c r="C8" s="135" t="str">
        <f>+'PT1'!C65</f>
        <v>O1-404 IVAN ROJAS</v>
      </c>
      <c r="D8" s="136">
        <f>+'PT1'!D65</f>
        <v>0</v>
      </c>
      <c r="E8" s="135" t="str">
        <f t="shared" si="0"/>
        <v>SIN ADEUDO</v>
      </c>
      <c r="I8" s="137" t="s">
        <v>5</v>
      </c>
      <c r="J8" s="138">
        <v>0</v>
      </c>
      <c r="K8" s="138">
        <v>0</v>
      </c>
    </row>
    <row r="9" spans="2:11" x14ac:dyDescent="0.3">
      <c r="B9" s="135" t="str">
        <f>+'PT1'!B151</f>
        <v>104-003-042</v>
      </c>
      <c r="C9" s="135" t="str">
        <f>+'PT1'!C151</f>
        <v>O2-2106 JACOBO MIZRAHI</v>
      </c>
      <c r="D9" s="136">
        <f>+'PT1'!D151</f>
        <v>-2.9103830456733704E-11</v>
      </c>
      <c r="E9" s="135" t="str">
        <f t="shared" si="0"/>
        <v>ANTICIPOS</v>
      </c>
      <c r="I9" s="137" t="s">
        <v>6</v>
      </c>
      <c r="J9" s="138">
        <v>-0.01</v>
      </c>
      <c r="K9" s="138" t="s">
        <v>10</v>
      </c>
    </row>
    <row r="10" spans="2:11" x14ac:dyDescent="0.3">
      <c r="B10" s="135" t="str">
        <f>+'PT1'!B77</f>
        <v>104-002-020</v>
      </c>
      <c r="C10" s="135" t="str">
        <f>+'PT1'!C77</f>
        <v>O1-1004 NISSIM MANN</v>
      </c>
      <c r="D10" s="136">
        <f>+'PT1'!D77</f>
        <v>-2.9103830456733704E-11</v>
      </c>
      <c r="E10" s="135" t="str">
        <f t="shared" si="0"/>
        <v>ANTICIPOS</v>
      </c>
    </row>
    <row r="11" spans="2:11" x14ac:dyDescent="0.3">
      <c r="B11" s="135" t="str">
        <f>+'PT1'!B102</f>
        <v>104-002-045</v>
      </c>
      <c r="C11" s="135" t="str">
        <f>+'PT1'!C102</f>
        <v>O1-2303 ISAAC HOP</v>
      </c>
      <c r="D11" s="136">
        <f>+'PT1'!D102</f>
        <v>13694</v>
      </c>
      <c r="E11" s="135" t="str">
        <f t="shared" si="0"/>
        <v>DEUDA CORRIENTE</v>
      </c>
    </row>
    <row r="12" spans="2:11" ht="14.4" customHeight="1" x14ac:dyDescent="0.3">
      <c r="B12" s="135" t="str">
        <f>+'PT1'!B174</f>
        <v>104-004-013</v>
      </c>
      <c r="C12" s="135" t="str">
        <f>+'PT1'!C174</f>
        <v>C1-707 CLAUDIA CAMUS</v>
      </c>
      <c r="D12" s="136">
        <f>+'PT1'!D174</f>
        <v>13694</v>
      </c>
      <c r="E12" s="135" t="str">
        <f t="shared" si="0"/>
        <v>DEUDA CORRIENTE</v>
      </c>
    </row>
    <row r="13" spans="2:11" ht="14.4" customHeight="1" x14ac:dyDescent="0.3">
      <c r="B13" s="135" t="str">
        <f>+'PT1'!B268</f>
        <v>104-006-003</v>
      </c>
      <c r="C13" s="135" t="str">
        <f>+'PT1'!C268</f>
        <v>C3-211 ISAAC ZAYATH</v>
      </c>
      <c r="D13" s="136">
        <f>+'PT1'!D268</f>
        <v>112266</v>
      </c>
      <c r="E13" s="135" t="str">
        <f t="shared" si="0"/>
        <v>COBRANZA JUDICIAL</v>
      </c>
    </row>
    <row r="14" spans="2:11" ht="14.4" customHeight="1" x14ac:dyDescent="0.3">
      <c r="B14" s="135" t="str">
        <f>+'PT1'!B41</f>
        <v>104-001-036</v>
      </c>
      <c r="C14" s="135" t="str">
        <f>+'PT1'!C41</f>
        <v>A-1802 ABDO ROFFE</v>
      </c>
      <c r="D14" s="136">
        <f>+'PT1'!D41</f>
        <v>0</v>
      </c>
      <c r="E14" s="135" t="str">
        <f t="shared" si="0"/>
        <v>SIN ADEUDO</v>
      </c>
    </row>
    <row r="15" spans="2:11" ht="14.4" customHeight="1" x14ac:dyDescent="0.3">
      <c r="B15" s="135" t="str">
        <f>+'PT1'!B153</f>
        <v>104-003-044</v>
      </c>
      <c r="C15" s="135" t="str">
        <f>+'PT1'!C153</f>
        <v>O2-2206 MOISES ZAGA</v>
      </c>
      <c r="D15" s="136">
        <f>+'PT1'!D153</f>
        <v>27288</v>
      </c>
      <c r="E15" s="135" t="str">
        <f t="shared" si="0"/>
        <v>MOROSOS</v>
      </c>
    </row>
    <row r="16" spans="2:11" ht="14.4" customHeight="1" x14ac:dyDescent="0.3">
      <c r="B16" s="135" t="str">
        <f>+'PT1'!B53</f>
        <v>104-001-048</v>
      </c>
      <c r="C16" s="135" t="str">
        <f>+'PT1'!C53</f>
        <v>A-2402 SANDRA BASSINI</v>
      </c>
      <c r="D16" s="136">
        <f>+'PT1'!D53</f>
        <v>0</v>
      </c>
      <c r="E16" s="135" t="str">
        <f t="shared" si="0"/>
        <v>SIN ADEUDO</v>
      </c>
    </row>
    <row r="17" spans="2:5" ht="14.4" customHeight="1" x14ac:dyDescent="0.3">
      <c r="B17" s="135" t="str">
        <f>+'PT1'!B142</f>
        <v>104-003-033</v>
      </c>
      <c r="C17" s="135" t="str">
        <f>+'PT1'!C142</f>
        <v>O2-1705 DAVID SAADIA</v>
      </c>
      <c r="D17" s="136">
        <f>+'PT1'!D142</f>
        <v>0</v>
      </c>
      <c r="E17" s="135" t="str">
        <f t="shared" si="0"/>
        <v>SIN ADEUDO</v>
      </c>
    </row>
    <row r="18" spans="2:5" ht="14.4" customHeight="1" x14ac:dyDescent="0.3">
      <c r="B18" s="135" t="str">
        <f>+'PT1'!B160</f>
        <v>104-003-051</v>
      </c>
      <c r="C18" s="135" t="str">
        <f>+'PT1'!C160</f>
        <v>O2-PH05 ABRAHAM CHEREM C</v>
      </c>
      <c r="D18" s="136">
        <f>+'PT1'!D160</f>
        <v>300</v>
      </c>
      <c r="E18" s="135" t="str">
        <f t="shared" si="0"/>
        <v>DEUDA CORRIENTE</v>
      </c>
    </row>
    <row r="19" spans="2:5" ht="14.4" customHeight="1" x14ac:dyDescent="0.3">
      <c r="B19" s="135" t="str">
        <f>+'PT1'!B164</f>
        <v>104-004-003</v>
      </c>
      <c r="C19" s="135" t="str">
        <f>+'PT1'!C164</f>
        <v>C1-207 ABRAHAM CHEREM C</v>
      </c>
      <c r="D19" s="136">
        <f>+'PT1'!D164</f>
        <v>0</v>
      </c>
      <c r="E19" s="135" t="str">
        <f t="shared" si="0"/>
        <v>SIN ADEUDO</v>
      </c>
    </row>
    <row r="20" spans="2:5" ht="14.4" customHeight="1" x14ac:dyDescent="0.3">
      <c r="B20" s="135" t="str">
        <f>+'PT1'!B189</f>
        <v>104-004-028</v>
      </c>
      <c r="C20" s="135" t="str">
        <f>+'PT1'!C189</f>
        <v xml:space="preserve">C1-1408 ABRAHAM CHEREM C </v>
      </c>
      <c r="D20" s="136">
        <f>+'PT1'!D189</f>
        <v>0</v>
      </c>
      <c r="E20" s="135" t="str">
        <f t="shared" si="0"/>
        <v>SIN ADEUDO</v>
      </c>
    </row>
    <row r="21" spans="2:5" ht="14.4" customHeight="1" x14ac:dyDescent="0.3">
      <c r="B21" s="135" t="str">
        <f>+'PT1'!B194</f>
        <v>104-004-033</v>
      </c>
      <c r="C21" s="135" t="str">
        <f>+'PT1'!C194</f>
        <v>C1-1707 ABRAHAM CHEREM C</v>
      </c>
      <c r="D21" s="136">
        <f>+'PT1'!D194</f>
        <v>0</v>
      </c>
      <c r="E21" s="135" t="str">
        <f t="shared" si="0"/>
        <v>SIN ADEUDO</v>
      </c>
    </row>
    <row r="22" spans="2:5" ht="14.4" customHeight="1" x14ac:dyDescent="0.3">
      <c r="B22" s="135" t="str">
        <f>+'PT1'!B116</f>
        <v>104-003-007</v>
      </c>
      <c r="C22" s="135" t="str">
        <f>+'PT1'!C116</f>
        <v>O2-405 MONICA COLOMER</v>
      </c>
      <c r="D22" s="136">
        <f>+'PT1'!D116</f>
        <v>0</v>
      </c>
      <c r="E22" s="135" t="str">
        <f t="shared" si="0"/>
        <v>SIN ADEUDO</v>
      </c>
    </row>
    <row r="23" spans="2:5" ht="14.4" customHeight="1" x14ac:dyDescent="0.3">
      <c r="B23" s="135" t="str">
        <f>+'PT1'!B180</f>
        <v>104-004-019</v>
      </c>
      <c r="C23" s="135" t="str">
        <f>+'PT1'!C180</f>
        <v>C1-1007 AGGI FLEGMAN L</v>
      </c>
      <c r="D23" s="136">
        <f>+'PT1'!D180</f>
        <v>0</v>
      </c>
      <c r="E23" s="135" t="str">
        <f t="shared" si="0"/>
        <v>SIN ADEUDO</v>
      </c>
    </row>
    <row r="24" spans="2:5" ht="14.4" customHeight="1" x14ac:dyDescent="0.3">
      <c r="B24" s="135" t="str">
        <f>+'PT1'!B211</f>
        <v>104-004-050</v>
      </c>
      <c r="C24" s="135" t="str">
        <f>+'PT1'!C211</f>
        <v>C1-2508 SALOMON AMBE</v>
      </c>
      <c r="D24" s="136">
        <f>+'PT1'!D211</f>
        <v>13694</v>
      </c>
      <c r="E24" s="135" t="str">
        <f t="shared" si="0"/>
        <v>DEUDA CORRIENTE</v>
      </c>
    </row>
    <row r="25" spans="2:5" x14ac:dyDescent="0.3">
      <c r="B25" s="135" t="str">
        <f>+'PT1'!B297</f>
        <v>104-006-032</v>
      </c>
      <c r="C25" s="135" t="str">
        <f>+'PT1'!C297</f>
        <v>C3-1612 RAQUEL SHABOT</v>
      </c>
      <c r="D25" s="136">
        <f>+'PT1'!D297</f>
        <v>-98504</v>
      </c>
      <c r="E25" s="135" t="str">
        <f t="shared" si="0"/>
        <v>ANTICIPOS</v>
      </c>
    </row>
    <row r="26" spans="2:5" x14ac:dyDescent="0.3">
      <c r="B26" s="135" t="str">
        <f>+'PT1'!B193</f>
        <v>104-004-032</v>
      </c>
      <c r="C26" s="135" t="str">
        <f>+'PT1'!C193</f>
        <v>C1-1608 HUGO I. PEREZ</v>
      </c>
      <c r="D26" s="136">
        <f>+'PT1'!D193</f>
        <v>0</v>
      </c>
      <c r="E26" s="135" t="str">
        <f t="shared" si="0"/>
        <v>SIN ADEUDO</v>
      </c>
    </row>
    <row r="27" spans="2:5" x14ac:dyDescent="0.3">
      <c r="B27" s="135" t="str">
        <f>+'PT1'!B218</f>
        <v>104-005-005</v>
      </c>
      <c r="C27" s="135" t="str">
        <f>+'PT1'!C218</f>
        <v>C2-309 DAVID SAAD</v>
      </c>
      <c r="D27" s="136">
        <f>+'PT1'!D218</f>
        <v>0</v>
      </c>
      <c r="E27" s="135" t="str">
        <f t="shared" si="0"/>
        <v>SIN ADEUDO</v>
      </c>
    </row>
    <row r="28" spans="2:5" x14ac:dyDescent="0.3">
      <c r="B28" s="135" t="str">
        <f>+'PT1'!B279</f>
        <v>104-006-014</v>
      </c>
      <c r="C28" s="135" t="str">
        <f>+'PT1'!C279</f>
        <v>C3-712 ALICIA ORTEGA</v>
      </c>
      <c r="D28" s="136">
        <f>+'PT1'!D279</f>
        <v>0</v>
      </c>
      <c r="E28" s="135" t="str">
        <f t="shared" si="0"/>
        <v>SIN ADEUDO</v>
      </c>
    </row>
    <row r="29" spans="2:5" x14ac:dyDescent="0.3">
      <c r="B29" s="135" t="str">
        <f>+'PT1'!B152</f>
        <v>104-003-043</v>
      </c>
      <c r="C29" s="135" t="str">
        <f>+'PT1'!C152</f>
        <v>O2-2205 JORGE WATTY</v>
      </c>
      <c r="D29" s="136">
        <f>+'PT1'!D152</f>
        <v>500.00000000001455</v>
      </c>
      <c r="E29" s="135" t="str">
        <f t="shared" si="0"/>
        <v>DEUDA CORRIENTE</v>
      </c>
    </row>
    <row r="30" spans="2:5" x14ac:dyDescent="0.3">
      <c r="B30" s="135" t="str">
        <f>+'PT1'!B32</f>
        <v>104-001-027</v>
      </c>
      <c r="C30" s="135" t="str">
        <f>+'PT1'!C32</f>
        <v>A-1401 JESSICA SIDAUY</v>
      </c>
      <c r="D30" s="136">
        <f>+'PT1'!D32</f>
        <v>0</v>
      </c>
      <c r="E30" s="135" t="str">
        <f t="shared" si="0"/>
        <v>SIN ADEUDO</v>
      </c>
    </row>
    <row r="31" spans="2:5" x14ac:dyDescent="0.3">
      <c r="B31" s="135" t="str">
        <f>+'PT1'!B50</f>
        <v>104-001-045</v>
      </c>
      <c r="C31" s="135" t="str">
        <f>+'PT1'!C50</f>
        <v>A-2301 DANIEL BETECH</v>
      </c>
      <c r="D31" s="136">
        <f>+'PT1'!D50</f>
        <v>-2.9103830456733704E-11</v>
      </c>
      <c r="E31" s="135" t="str">
        <f t="shared" si="0"/>
        <v>ANTICIPOS</v>
      </c>
    </row>
    <row r="32" spans="2:5" x14ac:dyDescent="0.3">
      <c r="B32" s="135" t="str">
        <f>+'PT1'!B81</f>
        <v>104-002-024</v>
      </c>
      <c r="C32" s="135" t="str">
        <f>+'PT1'!C81</f>
        <v>O1-1204 CARLOS KIBRIT</v>
      </c>
      <c r="D32" s="136">
        <f>+'PT1'!D81</f>
        <v>0</v>
      </c>
      <c r="E32" s="135" t="str">
        <f t="shared" si="0"/>
        <v>SIN ADEUDO</v>
      </c>
    </row>
    <row r="33" spans="2:5" x14ac:dyDescent="0.3">
      <c r="B33" s="135" t="str">
        <f>+'PT1'!B108</f>
        <v>104-002-051</v>
      </c>
      <c r="C33" s="135" t="str">
        <f>+'PT1'!C108</f>
        <v>O1-PH03 SERGIO FASCOVICH</v>
      </c>
      <c r="D33" s="136">
        <f>+'PT1'!D108</f>
        <v>0</v>
      </c>
      <c r="E33" s="135" t="str">
        <f t="shared" si="0"/>
        <v>SIN ADEUDO</v>
      </c>
    </row>
    <row r="34" spans="2:5" x14ac:dyDescent="0.3">
      <c r="B34" s="135" t="str">
        <f>+'PT1'!B191</f>
        <v>104-004-030</v>
      </c>
      <c r="C34" s="135" t="str">
        <f>+'PT1'!C191</f>
        <v>C1-1508 ALBERTO NEHMAD</v>
      </c>
      <c r="D34" s="136">
        <f>+'PT1'!D191</f>
        <v>13694.000000000007</v>
      </c>
      <c r="E34" s="135" t="str">
        <f t="shared" si="0"/>
        <v>DEUDA CORRIENTE</v>
      </c>
    </row>
    <row r="35" spans="2:5" x14ac:dyDescent="0.3">
      <c r="B35" s="135" t="str">
        <f>+'PT1'!B275</f>
        <v>104-006-010</v>
      </c>
      <c r="C35" s="135" t="str">
        <f>+'PT1'!C275</f>
        <v>C3-512 ALEJANDRO RABINOVITZ</v>
      </c>
      <c r="D35" s="136">
        <f>+'PT1'!D275</f>
        <v>300</v>
      </c>
      <c r="E35" s="135" t="str">
        <f t="shared" si="0"/>
        <v>DEUDA CORRIENTE</v>
      </c>
    </row>
    <row r="36" spans="2:5" x14ac:dyDescent="0.3">
      <c r="B36" s="135" t="str">
        <f>+'PT1'!B277</f>
        <v>104-006-012</v>
      </c>
      <c r="C36" s="135" t="str">
        <f>+'PT1'!C277</f>
        <v>C3-612 LORENA CARREÑO</v>
      </c>
      <c r="D36" s="136">
        <f>+'PT1'!D277</f>
        <v>0</v>
      </c>
      <c r="E36" s="135" t="str">
        <f t="shared" si="0"/>
        <v>SIN ADEUDO</v>
      </c>
    </row>
    <row r="37" spans="2:5" x14ac:dyDescent="0.3">
      <c r="B37" s="135" t="str">
        <f>+'PT1'!B24</f>
        <v>104-001-019</v>
      </c>
      <c r="C37" s="135" t="str">
        <f>+'PT1'!C24</f>
        <v>A-1001 MONICA SABA</v>
      </c>
      <c r="D37" s="136">
        <f>+'PT1'!D24</f>
        <v>0</v>
      </c>
      <c r="E37" s="135" t="str">
        <f t="shared" si="0"/>
        <v>SIN ADEUDO</v>
      </c>
    </row>
    <row r="38" spans="2:5" x14ac:dyDescent="0.3">
      <c r="B38" s="135" t="str">
        <f>+'PT1'!B14</f>
        <v>104-001-009</v>
      </c>
      <c r="C38" s="135" t="str">
        <f>+'PT1'!C14</f>
        <v>A-501 ALEJANDRO GOLDEBERG</v>
      </c>
      <c r="D38" s="136">
        <f>+'PT1'!D14</f>
        <v>25000</v>
      </c>
      <c r="E38" s="135" t="str">
        <f t="shared" si="0"/>
        <v>MOROSOS</v>
      </c>
    </row>
    <row r="39" spans="2:5" x14ac:dyDescent="0.3">
      <c r="B39" s="135" t="str">
        <f>+'PT1'!B25</f>
        <v>104-001-020</v>
      </c>
      <c r="C39" s="135" t="str">
        <f>+'PT1'!C25</f>
        <v>A-1002 MIGUEL MIZRAHI</v>
      </c>
      <c r="D39" s="136">
        <f>+'PT1'!D25</f>
        <v>0</v>
      </c>
      <c r="E39" s="135" t="str">
        <f t="shared" si="0"/>
        <v>SIN ADEUDO</v>
      </c>
    </row>
    <row r="40" spans="2:5" x14ac:dyDescent="0.3">
      <c r="B40" s="135" t="str">
        <f>+'PT1'!B94</f>
        <v>104-002-037</v>
      </c>
      <c r="C40" s="135" t="str">
        <f>+'PT1'!C94</f>
        <v>O1-1903 ELIAS CHATTAJ</v>
      </c>
      <c r="D40" s="136">
        <f>+'PT1'!D94</f>
        <v>0</v>
      </c>
      <c r="E40" s="135" t="str">
        <f t="shared" si="0"/>
        <v>SIN ADEUDO</v>
      </c>
    </row>
    <row r="41" spans="2:5" x14ac:dyDescent="0.3">
      <c r="B41" s="135" t="str">
        <f>+'PT1'!B256</f>
        <v>104-005-043</v>
      </c>
      <c r="C41" s="135" t="str">
        <f>+'PT1'!C256</f>
        <v>C2-2209 SOFIA DABBAH</v>
      </c>
      <c r="D41" s="136">
        <f>+'PT1'!D256</f>
        <v>1.4551915228366852E-11</v>
      </c>
      <c r="E41" s="135" t="str">
        <f t="shared" si="0"/>
        <v>DEUDA CORRIENTE</v>
      </c>
    </row>
    <row r="42" spans="2:5" x14ac:dyDescent="0.3">
      <c r="B42" s="135" t="str">
        <f>+'PT1'!B219</f>
        <v>104-005-006</v>
      </c>
      <c r="C42" s="135" t="str">
        <f>+'PT1'!C219</f>
        <v>C2-310 JOSE AMKIE</v>
      </c>
      <c r="D42" s="136">
        <f>+'PT1'!D219</f>
        <v>0</v>
      </c>
      <c r="E42" s="135" t="str">
        <f t="shared" si="0"/>
        <v>SIN ADEUDO</v>
      </c>
    </row>
    <row r="43" spans="2:5" x14ac:dyDescent="0.3">
      <c r="B43" s="135" t="str">
        <f>+'PT1'!B6</f>
        <v>104-001-001</v>
      </c>
      <c r="C43" s="135" t="str">
        <f>+'PT1'!C6</f>
        <v>A-101 DANIEL DANA</v>
      </c>
      <c r="D43" s="136">
        <f>+'PT1'!D6</f>
        <v>0</v>
      </c>
      <c r="E43" s="135" t="str">
        <f t="shared" si="0"/>
        <v>SIN ADEUDO</v>
      </c>
    </row>
    <row r="44" spans="2:5" x14ac:dyDescent="0.3">
      <c r="B44" s="135" t="str">
        <f>+'PT1'!B7</f>
        <v>104-001-002</v>
      </c>
      <c r="C44" s="135" t="str">
        <f>+'PT1'!C7</f>
        <v>A-102 ANTONIO  BELLORIN</v>
      </c>
      <c r="D44" s="136">
        <f>+'PT1'!D7</f>
        <v>-12694</v>
      </c>
      <c r="E44" s="135" t="str">
        <f t="shared" si="0"/>
        <v>ANTICIPOS</v>
      </c>
    </row>
    <row r="45" spans="2:5" x14ac:dyDescent="0.3">
      <c r="B45" s="135" t="str">
        <f>+'PT1'!B8</f>
        <v>104-001-003</v>
      </c>
      <c r="C45" s="135" t="str">
        <f>+'PT1'!C8</f>
        <v>A-201 ALBERTO TARTAKOVSKI</v>
      </c>
      <c r="D45" s="136">
        <f>+'PT1'!D8</f>
        <v>0</v>
      </c>
      <c r="E45" s="135" t="str">
        <f t="shared" si="0"/>
        <v>SIN ADEUDO</v>
      </c>
    </row>
    <row r="46" spans="2:5" x14ac:dyDescent="0.3">
      <c r="B46" s="135" t="str">
        <f>+'PT1'!B9</f>
        <v>104-001-004</v>
      </c>
      <c r="C46" s="135" t="str">
        <f>+'PT1'!C9</f>
        <v>A-202 CAROLINA OMAÑA</v>
      </c>
      <c r="D46" s="136">
        <f>+'PT1'!D9</f>
        <v>-12694</v>
      </c>
      <c r="E46" s="135" t="str">
        <f t="shared" si="0"/>
        <v>ANTICIPOS</v>
      </c>
    </row>
    <row r="47" spans="2:5" x14ac:dyDescent="0.3">
      <c r="B47" s="135" t="str">
        <f>+'PT1'!B10</f>
        <v>104-001-005</v>
      </c>
      <c r="C47" s="135" t="str">
        <f>+'PT1'!C10</f>
        <v>A-301 KAREN VELASQUEZ</v>
      </c>
      <c r="D47" s="136">
        <f>+'PT1'!D10</f>
        <v>-38082</v>
      </c>
      <c r="E47" s="135" t="str">
        <f t="shared" si="0"/>
        <v>ANTICIPOS</v>
      </c>
    </row>
    <row r="48" spans="2:5" x14ac:dyDescent="0.3">
      <c r="B48" s="135" t="str">
        <f>+'PT1'!B11</f>
        <v>104-001-006</v>
      </c>
      <c r="C48" s="135" t="str">
        <f>+'PT1'!C11</f>
        <v xml:space="preserve">A-302 MANUEL DAVID </v>
      </c>
      <c r="D48" s="136">
        <f>+'PT1'!D11</f>
        <v>0</v>
      </c>
      <c r="E48" s="135" t="str">
        <f t="shared" si="0"/>
        <v>SIN ADEUDO</v>
      </c>
    </row>
    <row r="49" spans="2:5" x14ac:dyDescent="0.3">
      <c r="B49" s="135" t="str">
        <f>+'PT1'!B12</f>
        <v>104-001-007</v>
      </c>
      <c r="C49" s="135" t="str">
        <f>+'PT1'!C12</f>
        <v>A-401 MARIO MIZRAHI</v>
      </c>
      <c r="D49" s="136">
        <f>+'PT1'!D12</f>
        <v>0</v>
      </c>
      <c r="E49" s="135" t="str">
        <f t="shared" si="0"/>
        <v>SIN ADEUDO</v>
      </c>
    </row>
    <row r="50" spans="2:5" x14ac:dyDescent="0.3">
      <c r="B50" s="135" t="str">
        <f>+'PT1'!B13</f>
        <v>104-001-008</v>
      </c>
      <c r="C50" s="135" t="str">
        <f>+'PT1'!C13</f>
        <v>A-402 ANASTASIA BELLIS</v>
      </c>
      <c r="D50" s="136">
        <f>+'PT1'!D13</f>
        <v>-12694</v>
      </c>
      <c r="E50" s="135" t="str">
        <f t="shared" si="0"/>
        <v>ANTICIPOS</v>
      </c>
    </row>
    <row r="51" spans="2:5" x14ac:dyDescent="0.3">
      <c r="B51" s="135" t="str">
        <f>+'PT1'!B15</f>
        <v>104-001-010</v>
      </c>
      <c r="C51" s="135" t="str">
        <f>+'PT1'!C15</f>
        <v xml:space="preserve">A-502 DANIEL DAVID </v>
      </c>
      <c r="D51" s="136">
        <f>+'PT1'!D15</f>
        <v>0</v>
      </c>
      <c r="E51" s="135" t="str">
        <f t="shared" si="0"/>
        <v>SIN ADEUDO</v>
      </c>
    </row>
    <row r="52" spans="2:5" x14ac:dyDescent="0.3">
      <c r="B52" s="135" t="str">
        <f>+'PT1'!B16</f>
        <v>104-001-011</v>
      </c>
      <c r="C52" s="135" t="str">
        <f>+'PT1'!C16</f>
        <v>A-601 LUIS JIMENEZ ALFARO</v>
      </c>
      <c r="D52" s="136">
        <f>+'PT1'!D16</f>
        <v>0</v>
      </c>
      <c r="E52" s="135" t="str">
        <f t="shared" si="0"/>
        <v>SIN ADEUDO</v>
      </c>
    </row>
    <row r="53" spans="2:5" x14ac:dyDescent="0.3">
      <c r="B53" s="135" t="str">
        <f>+'PT1'!B18</f>
        <v>104-001-013</v>
      </c>
      <c r="C53" s="135" t="str">
        <f>+'PT1'!C18</f>
        <v>A-701 BELORA LEVY</v>
      </c>
      <c r="D53" s="136">
        <f>+'PT1'!D18</f>
        <v>0</v>
      </c>
      <c r="E53" s="135" t="str">
        <f t="shared" si="0"/>
        <v>SIN ADEUDO</v>
      </c>
    </row>
    <row r="54" spans="2:5" x14ac:dyDescent="0.3">
      <c r="B54" s="135" t="str">
        <f>+'PT1'!B19</f>
        <v>104-001-014</v>
      </c>
      <c r="C54" s="135" t="str">
        <f>+'PT1'!C19</f>
        <v>A-702 XIMENA DE LASCURAIN</v>
      </c>
      <c r="D54" s="136">
        <f>+'PT1'!D19</f>
        <v>-2.9103830456733704E-11</v>
      </c>
      <c r="E54" s="135" t="str">
        <f t="shared" si="0"/>
        <v>ANTICIPOS</v>
      </c>
    </row>
    <row r="55" spans="2:5" x14ac:dyDescent="0.3">
      <c r="B55" s="135" t="str">
        <f>+'PT1'!B20</f>
        <v>104-001-015</v>
      </c>
      <c r="C55" s="135" t="str">
        <f>+'PT1'!C20</f>
        <v>A-801 ALERTO BESSOUDO</v>
      </c>
      <c r="D55" s="136">
        <f>+'PT1'!D20</f>
        <v>0</v>
      </c>
      <c r="E55" s="135" t="str">
        <f t="shared" si="0"/>
        <v>SIN ADEUDO</v>
      </c>
    </row>
    <row r="56" spans="2:5" x14ac:dyDescent="0.3">
      <c r="B56" s="135" t="str">
        <f>+'PT1'!B21</f>
        <v>104-001-016</v>
      </c>
      <c r="C56" s="135" t="str">
        <f>+'PT1'!C21</f>
        <v>A-802 MIREL MIHALIDE</v>
      </c>
      <c r="D56" s="136">
        <f>+'PT1'!D21</f>
        <v>-1000</v>
      </c>
      <c r="E56" s="135" t="str">
        <f t="shared" si="0"/>
        <v>ANTICIPOS</v>
      </c>
    </row>
    <row r="57" spans="2:5" x14ac:dyDescent="0.3">
      <c r="B57" s="135" t="str">
        <f>+'PT1'!B22</f>
        <v>104-001-017</v>
      </c>
      <c r="C57" s="135" t="str">
        <f>+'PT1'!C22</f>
        <v>A-901 EDUARDO ZONANA</v>
      </c>
      <c r="D57" s="136">
        <f>+'PT1'!D22</f>
        <v>0</v>
      </c>
      <c r="E57" s="135" t="str">
        <f t="shared" si="0"/>
        <v>SIN ADEUDO</v>
      </c>
    </row>
    <row r="58" spans="2:5" x14ac:dyDescent="0.3">
      <c r="B58" s="135" t="str">
        <f>+'PT1'!B23</f>
        <v>104-001-018</v>
      </c>
      <c r="C58" s="135" t="str">
        <f>+'PT1'!C23</f>
        <v>A-902 ALMA FONDO DE AYUDA I. A. P.</v>
      </c>
      <c r="D58" s="136">
        <f>+'PT1'!D23</f>
        <v>0</v>
      </c>
      <c r="E58" s="135" t="str">
        <f t="shared" si="0"/>
        <v>SIN ADEUDO</v>
      </c>
    </row>
    <row r="59" spans="2:5" x14ac:dyDescent="0.3">
      <c r="B59" s="135" t="str">
        <f>+'PT1'!B26</f>
        <v>104-001-021</v>
      </c>
      <c r="C59" s="135" t="str">
        <f>+'PT1'!C26</f>
        <v>A-1101 JAIME SABA</v>
      </c>
      <c r="D59" s="136">
        <f>+'PT1'!D26</f>
        <v>0</v>
      </c>
      <c r="E59" s="135" t="str">
        <f t="shared" si="0"/>
        <v>SIN ADEUDO</v>
      </c>
    </row>
    <row r="60" spans="2:5" x14ac:dyDescent="0.3">
      <c r="B60" s="135" t="str">
        <f>+'PT1'!B28</f>
        <v>104-001-023</v>
      </c>
      <c r="C60" s="135" t="str">
        <f>+'PT1'!C28</f>
        <v>A-1201 MAYER KHALIFAH</v>
      </c>
      <c r="D60" s="136">
        <f>+'PT1'!D28</f>
        <v>0</v>
      </c>
      <c r="E60" s="135" t="str">
        <f t="shared" si="0"/>
        <v>SIN ADEUDO</v>
      </c>
    </row>
    <row r="61" spans="2:5" x14ac:dyDescent="0.3">
      <c r="B61" s="135" t="str">
        <f>+'PT1'!B29</f>
        <v>104-001-024</v>
      </c>
      <c r="C61" s="135" t="str">
        <f>+'PT1'!C29</f>
        <v>A-1202 MOISES TUACHI</v>
      </c>
      <c r="D61" s="136">
        <f>+'PT1'!D29</f>
        <v>0</v>
      </c>
      <c r="E61" s="135" t="str">
        <f t="shared" si="0"/>
        <v>SIN ADEUDO</v>
      </c>
    </row>
    <row r="62" spans="2:5" x14ac:dyDescent="0.3">
      <c r="B62" s="135" t="str">
        <f>+'PT1'!B30</f>
        <v>104-001-025</v>
      </c>
      <c r="C62" s="135" t="str">
        <f>+'PT1'!C30</f>
        <v xml:space="preserve">A-1301 MAYER COHEN </v>
      </c>
      <c r="D62" s="136">
        <f>+'PT1'!D30</f>
        <v>0</v>
      </c>
      <c r="E62" s="135" t="str">
        <f t="shared" si="0"/>
        <v>SIN ADEUDO</v>
      </c>
    </row>
    <row r="63" spans="2:5" x14ac:dyDescent="0.3">
      <c r="B63" s="135" t="str">
        <f>+'PT1'!B31</f>
        <v>104-001-026</v>
      </c>
      <c r="C63" s="135" t="str">
        <f>+'PT1'!C31</f>
        <v>A-1302 BECKY EDID</v>
      </c>
      <c r="D63" s="136">
        <f>+'PT1'!D31</f>
        <v>0</v>
      </c>
      <c r="E63" s="135" t="str">
        <f t="shared" si="0"/>
        <v>SIN ADEUDO</v>
      </c>
    </row>
    <row r="64" spans="2:5" x14ac:dyDescent="0.3">
      <c r="B64" s="135" t="str">
        <f>+'PT1'!B34</f>
        <v>104-001-029</v>
      </c>
      <c r="C64" s="135" t="str">
        <f>+'PT1'!C34</f>
        <v>A-1501 NISSIM TURKIA</v>
      </c>
      <c r="D64" s="136">
        <f>+'PT1'!D34</f>
        <v>0</v>
      </c>
      <c r="E64" s="135" t="str">
        <f t="shared" si="0"/>
        <v>SIN ADEUDO</v>
      </c>
    </row>
    <row r="65" spans="2:5" x14ac:dyDescent="0.3">
      <c r="B65" s="135" t="str">
        <f>+'PT1'!B36</f>
        <v>104-001-031</v>
      </c>
      <c r="C65" s="135" t="str">
        <f>+'PT1'!C36</f>
        <v>A-1601 LEON SEVILLA</v>
      </c>
      <c r="D65" s="136">
        <f>+'PT1'!D36</f>
        <v>0</v>
      </c>
      <c r="E65" s="135" t="str">
        <f t="shared" si="0"/>
        <v>SIN ADEUDO</v>
      </c>
    </row>
    <row r="66" spans="2:5" x14ac:dyDescent="0.3">
      <c r="B66" s="135" t="str">
        <f>+'PT1'!B37</f>
        <v>104-001-032</v>
      </c>
      <c r="C66" s="135" t="str">
        <f>+'PT1'!C37</f>
        <v>A-1602 ESTRELLA BEHAR</v>
      </c>
      <c r="D66" s="136">
        <f>+'PT1'!D37</f>
        <v>-98504</v>
      </c>
      <c r="E66" s="135" t="str">
        <f t="shared" si="0"/>
        <v>ANTICIPOS</v>
      </c>
    </row>
    <row r="67" spans="2:5" x14ac:dyDescent="0.3">
      <c r="B67" s="135" t="str">
        <f>+'PT1'!B39</f>
        <v>104-001-034</v>
      </c>
      <c r="C67" s="135" t="str">
        <f>+'PT1'!C39</f>
        <v>A-1702 IGAL ROVERO</v>
      </c>
      <c r="D67" s="136">
        <f>+'PT1'!D39</f>
        <v>500</v>
      </c>
      <c r="E67" s="135" t="str">
        <f t="shared" si="0"/>
        <v>DEUDA CORRIENTE</v>
      </c>
    </row>
    <row r="68" spans="2:5" x14ac:dyDescent="0.3">
      <c r="B68" s="135" t="str">
        <f>+'PT1'!B40</f>
        <v>104-001-035</v>
      </c>
      <c r="C68" s="135" t="str">
        <f>+'PT1'!C40</f>
        <v>A-1801 FRIDA ALFIE</v>
      </c>
      <c r="D68" s="136">
        <f>+'PT1'!D40</f>
        <v>0</v>
      </c>
      <c r="E68" s="135" t="str">
        <f t="shared" si="0"/>
        <v>SIN ADEUDO</v>
      </c>
    </row>
    <row r="69" spans="2:5" x14ac:dyDescent="0.3">
      <c r="B69" s="135" t="str">
        <f>+'PT1'!B42</f>
        <v>104-001-037</v>
      </c>
      <c r="C69" s="135" t="str">
        <f>+'PT1'!C42</f>
        <v>A-1901 JONATHAN POMERANTZ</v>
      </c>
      <c r="D69" s="136">
        <f>+'PT1'!D42</f>
        <v>0</v>
      </c>
      <c r="E69" s="135" t="str">
        <f t="shared" ref="E69:E132" si="1">IF(D69&lt;0,"ANTICIPOS",IF(D69=$J$8,"SIN ADEUDO",IF(D69&lt;=$K$7,"DEUDA CORRIENTE",IF(D69&lt;=$K$6,"MOROSOS",IF(D69&gt;$J$5,"COBRANZA JUDICIAL")))))</f>
        <v>SIN ADEUDO</v>
      </c>
    </row>
    <row r="70" spans="2:5" x14ac:dyDescent="0.3">
      <c r="B70" s="135" t="str">
        <f>+'PT1'!B43</f>
        <v>104-001-038</v>
      </c>
      <c r="C70" s="135" t="str">
        <f>+'PT1'!C43</f>
        <v>A-1902 LINDA PENHOS</v>
      </c>
      <c r="D70" s="136">
        <f>+'PT1'!D43</f>
        <v>0</v>
      </c>
      <c r="E70" s="135" t="str">
        <f t="shared" si="1"/>
        <v>SIN ADEUDO</v>
      </c>
    </row>
    <row r="71" spans="2:5" x14ac:dyDescent="0.3">
      <c r="B71" s="135" t="str">
        <f>+'PT1'!B44</f>
        <v>104-001-039</v>
      </c>
      <c r="C71" s="135" t="str">
        <f>+'PT1'!C44</f>
        <v>A-2001 ALICIA SABA</v>
      </c>
      <c r="D71" s="136">
        <f>+'PT1'!D44</f>
        <v>0</v>
      </c>
      <c r="E71" s="135" t="str">
        <f t="shared" si="1"/>
        <v>SIN ADEUDO</v>
      </c>
    </row>
    <row r="72" spans="2:5" x14ac:dyDescent="0.3">
      <c r="B72" s="135" t="str">
        <f>+'PT1'!B45</f>
        <v>104-001-040</v>
      </c>
      <c r="C72" s="135" t="str">
        <f>+'PT1'!C45</f>
        <v>A-2002 RAFAEL BEHAR</v>
      </c>
      <c r="D72" s="136">
        <f>+'PT1'!D45</f>
        <v>0</v>
      </c>
      <c r="E72" s="135" t="str">
        <f t="shared" si="1"/>
        <v>SIN ADEUDO</v>
      </c>
    </row>
    <row r="73" spans="2:5" x14ac:dyDescent="0.3">
      <c r="B73" s="135" t="str">
        <f>+'PT1'!B46</f>
        <v>104-001-041</v>
      </c>
      <c r="C73" s="135" t="str">
        <f>+'PT1'!C46</f>
        <v>A-2101 MOISES PALOMBO</v>
      </c>
      <c r="D73" s="136">
        <f>+'PT1'!D46</f>
        <v>0</v>
      </c>
      <c r="E73" s="135" t="str">
        <f t="shared" si="1"/>
        <v>SIN ADEUDO</v>
      </c>
    </row>
    <row r="74" spans="2:5" x14ac:dyDescent="0.3">
      <c r="B74" s="135" t="str">
        <f>+'PT1'!B47</f>
        <v>104-001-042</v>
      </c>
      <c r="C74" s="135" t="str">
        <f>+'PT1'!C47</f>
        <v>A-2102 MAURICIO BALEY</v>
      </c>
      <c r="D74" s="136">
        <f>+'PT1'!D47</f>
        <v>0</v>
      </c>
      <c r="E74" s="135" t="str">
        <f t="shared" si="1"/>
        <v>SIN ADEUDO</v>
      </c>
    </row>
    <row r="75" spans="2:5" x14ac:dyDescent="0.3">
      <c r="B75" s="135" t="str">
        <f>+'PT1'!B48</f>
        <v>104-001-043</v>
      </c>
      <c r="C75" s="135" t="str">
        <f>+'PT1'!C48</f>
        <v>A-2201 FREDELLE MUSTRI</v>
      </c>
      <c r="D75" s="136">
        <f>+'PT1'!D48</f>
        <v>28188</v>
      </c>
      <c r="E75" s="135" t="str">
        <f t="shared" si="1"/>
        <v>MOROSOS</v>
      </c>
    </row>
    <row r="76" spans="2:5" x14ac:dyDescent="0.3">
      <c r="B76" s="135" t="str">
        <f>+'PT1'!B49</f>
        <v>104-001-044</v>
      </c>
      <c r="C76" s="135" t="str">
        <f>+'PT1'!C49</f>
        <v xml:space="preserve">A-2202 JAIME COHEN </v>
      </c>
      <c r="D76" s="136">
        <f>+'PT1'!D49</f>
        <v>0</v>
      </c>
      <c r="E76" s="135" t="str">
        <f t="shared" si="1"/>
        <v>SIN ADEUDO</v>
      </c>
    </row>
    <row r="77" spans="2:5" x14ac:dyDescent="0.3">
      <c r="B77" s="135" t="str">
        <f>+'PT1'!B51</f>
        <v>104-001-046</v>
      </c>
      <c r="C77" s="135" t="str">
        <f>+'PT1'!C51</f>
        <v xml:space="preserve">A-2302 ALBERTO MAYA </v>
      </c>
      <c r="D77" s="136">
        <f>+'PT1'!D51</f>
        <v>0</v>
      </c>
      <c r="E77" s="135" t="str">
        <f t="shared" si="1"/>
        <v>SIN ADEUDO</v>
      </c>
    </row>
    <row r="78" spans="2:5" x14ac:dyDescent="0.3">
      <c r="B78" s="135" t="str">
        <f>+'PT1'!B54</f>
        <v>104-001-049</v>
      </c>
      <c r="C78" s="135" t="str">
        <f>+'PT1'!C54</f>
        <v>A-2501 SAMY LAZAROV</v>
      </c>
      <c r="D78" s="136">
        <f>+'PT1'!D54</f>
        <v>0</v>
      </c>
      <c r="E78" s="135" t="str">
        <f t="shared" si="1"/>
        <v>SIN ADEUDO</v>
      </c>
    </row>
    <row r="79" spans="2:5" x14ac:dyDescent="0.3">
      <c r="B79" s="135" t="str">
        <f>+'PT1'!B55</f>
        <v>104-001-050</v>
      </c>
      <c r="C79" s="135" t="str">
        <f>+'PT1'!C55</f>
        <v>A-2502 MOISES GUINDI</v>
      </c>
      <c r="D79" s="136">
        <f>+'PT1'!D55</f>
        <v>0</v>
      </c>
      <c r="E79" s="135" t="str">
        <f t="shared" si="1"/>
        <v>SIN ADEUDO</v>
      </c>
    </row>
    <row r="80" spans="2:5" x14ac:dyDescent="0.3">
      <c r="B80" s="135" t="str">
        <f>+'PT1'!B56</f>
        <v>104-001-051</v>
      </c>
      <c r="C80" s="135" t="str">
        <f>+'PT1'!C56</f>
        <v>A-PH01 BUDY CHICUREL</v>
      </c>
      <c r="D80" s="136">
        <f>+'PT1'!D56</f>
        <v>0</v>
      </c>
      <c r="E80" s="135" t="str">
        <f t="shared" si="1"/>
        <v>SIN ADEUDO</v>
      </c>
    </row>
    <row r="81" spans="2:5" x14ac:dyDescent="0.3">
      <c r="B81" s="135" t="str">
        <f>+'PT1'!B58</f>
        <v>104-002-001</v>
      </c>
      <c r="C81" s="135" t="str">
        <f>+'PT1'!C58</f>
        <v>O1-103 BENJAMIN LOMBROZO</v>
      </c>
      <c r="D81" s="136">
        <f>+'PT1'!D58</f>
        <v>0</v>
      </c>
      <c r="E81" s="135" t="str">
        <f t="shared" si="1"/>
        <v>SIN ADEUDO</v>
      </c>
    </row>
    <row r="82" spans="2:5" x14ac:dyDescent="0.3">
      <c r="B82" s="135" t="str">
        <f>+'PT1'!B59</f>
        <v>104-002-002</v>
      </c>
      <c r="C82" s="135" t="str">
        <f>+'PT1'!C59</f>
        <v>O1-104 JACK SASSON</v>
      </c>
      <c r="D82" s="136">
        <f>+'PT1'!D59</f>
        <v>0</v>
      </c>
      <c r="E82" s="135" t="str">
        <f t="shared" si="1"/>
        <v>SIN ADEUDO</v>
      </c>
    </row>
    <row r="83" spans="2:5" x14ac:dyDescent="0.3">
      <c r="B83" s="135" t="str">
        <f>+'PT1'!B60</f>
        <v>104-002-003</v>
      </c>
      <c r="C83" s="135" t="str">
        <f>+'PT1'!C60</f>
        <v>O1-203 ARIELA ROSENSTEIN</v>
      </c>
      <c r="D83" s="136">
        <f>+'PT1'!D60</f>
        <v>0</v>
      </c>
      <c r="E83" s="135" t="str">
        <f t="shared" si="1"/>
        <v>SIN ADEUDO</v>
      </c>
    </row>
    <row r="84" spans="2:5" x14ac:dyDescent="0.3">
      <c r="B84" s="135" t="str">
        <f>+'PT1'!B61</f>
        <v>104-002-004</v>
      </c>
      <c r="C84" s="135" t="str">
        <f>+'PT1'!C61</f>
        <v>O1-204 SELENE CAPDEVILA</v>
      </c>
      <c r="D84" s="136">
        <f>+'PT1'!D61</f>
        <v>0</v>
      </c>
      <c r="E84" s="135" t="str">
        <f t="shared" si="1"/>
        <v>SIN ADEUDO</v>
      </c>
    </row>
    <row r="85" spans="2:5" x14ac:dyDescent="0.3">
      <c r="B85" s="135" t="str">
        <f>+'PT1'!B62</f>
        <v>104-002-005</v>
      </c>
      <c r="C85" s="135" t="str">
        <f>+'PT1'!C62</f>
        <v>O1-303 RAFAEL ZAGA</v>
      </c>
      <c r="D85" s="136">
        <f>+'PT1'!D62</f>
        <v>0</v>
      </c>
      <c r="E85" s="135" t="str">
        <f t="shared" si="1"/>
        <v>SIN ADEUDO</v>
      </c>
    </row>
    <row r="86" spans="2:5" x14ac:dyDescent="0.3">
      <c r="B86" s="135" t="str">
        <f>+'PT1'!B63</f>
        <v>104-002-006</v>
      </c>
      <c r="C86" s="135" t="str">
        <f>+'PT1'!C63</f>
        <v>O1-304 JOSEF HABER</v>
      </c>
      <c r="D86" s="136">
        <f>+'PT1'!D63</f>
        <v>0</v>
      </c>
      <c r="E86" s="135" t="str">
        <f t="shared" si="1"/>
        <v>SIN ADEUDO</v>
      </c>
    </row>
    <row r="87" spans="2:5" x14ac:dyDescent="0.3">
      <c r="B87" s="135" t="str">
        <f>+'PT1'!B64</f>
        <v>104-002-007</v>
      </c>
      <c r="C87" s="135" t="str">
        <f>+'PT1'!C64</f>
        <v>O1-403 JOSE MIZRAHI</v>
      </c>
      <c r="D87" s="136">
        <f>+'PT1'!D64</f>
        <v>-12694</v>
      </c>
      <c r="E87" s="135" t="str">
        <f t="shared" si="1"/>
        <v>ANTICIPOS</v>
      </c>
    </row>
    <row r="88" spans="2:5" x14ac:dyDescent="0.3">
      <c r="B88" s="135" t="str">
        <f>+'PT1'!B66</f>
        <v>104-002-009</v>
      </c>
      <c r="C88" s="135" t="str">
        <f>+'PT1'!C66</f>
        <v>O1-503 DAVIDE TOMASSONI</v>
      </c>
      <c r="D88" s="136">
        <f>+'PT1'!D66</f>
        <v>7.9580786405131221E-13</v>
      </c>
      <c r="E88" s="135" t="str">
        <f t="shared" si="1"/>
        <v>DEUDA CORRIENTE</v>
      </c>
    </row>
    <row r="89" spans="2:5" x14ac:dyDescent="0.3">
      <c r="B89" s="135" t="str">
        <f>+'PT1'!B67</f>
        <v>104-002-010</v>
      </c>
      <c r="C89" s="135" t="str">
        <f>+'PT1'!C67</f>
        <v>O1-504 REBECA CASTRO</v>
      </c>
      <c r="D89" s="136">
        <f>+'PT1'!D67</f>
        <v>0</v>
      </c>
      <c r="E89" s="135" t="str">
        <f t="shared" si="1"/>
        <v>SIN ADEUDO</v>
      </c>
    </row>
    <row r="90" spans="2:5" x14ac:dyDescent="0.3">
      <c r="B90" s="135" t="str">
        <f>+'PT1'!B68</f>
        <v>104-002-011</v>
      </c>
      <c r="C90" s="135" t="str">
        <f>+'PT1'!C68</f>
        <v>O1-603 JACOBO CHEREM A</v>
      </c>
      <c r="D90" s="136">
        <f>+'PT1'!D68</f>
        <v>0</v>
      </c>
      <c r="E90" s="135" t="str">
        <f t="shared" si="1"/>
        <v>SIN ADEUDO</v>
      </c>
    </row>
    <row r="91" spans="2:5" x14ac:dyDescent="0.3">
      <c r="B91" s="135" t="str">
        <f>+'PT1'!B69</f>
        <v>104-002-012</v>
      </c>
      <c r="C91" s="135" t="str">
        <f>+'PT1'!C69</f>
        <v>O1-604 ALBERTO SAAD</v>
      </c>
      <c r="D91" s="136">
        <f>+'PT1'!D69</f>
        <v>-12694</v>
      </c>
      <c r="E91" s="135" t="str">
        <f t="shared" si="1"/>
        <v>ANTICIPOS</v>
      </c>
    </row>
    <row r="92" spans="2:5" x14ac:dyDescent="0.3">
      <c r="B92" s="135" t="str">
        <f>+'PT1'!B70</f>
        <v>104-002-013</v>
      </c>
      <c r="C92" s="135" t="str">
        <f>+'PT1'!C70</f>
        <v>O1-703 ANA VAZQUEZ</v>
      </c>
      <c r="D92" s="136">
        <f>+'PT1'!D70</f>
        <v>0</v>
      </c>
      <c r="E92" s="135" t="str">
        <f t="shared" si="1"/>
        <v>SIN ADEUDO</v>
      </c>
    </row>
    <row r="93" spans="2:5" x14ac:dyDescent="0.3">
      <c r="B93" s="135" t="str">
        <f>+'PT1'!B71</f>
        <v>104-002-014</v>
      </c>
      <c r="C93" s="135" t="str">
        <f>+'PT1'!C71</f>
        <v>O1-704 SARA ACHAR</v>
      </c>
      <c r="D93" s="136">
        <f>+'PT1'!D71</f>
        <v>-9999.9999999999982</v>
      </c>
      <c r="E93" s="135" t="str">
        <f t="shared" si="1"/>
        <v>ANTICIPOS</v>
      </c>
    </row>
    <row r="94" spans="2:5" x14ac:dyDescent="0.3">
      <c r="B94" s="135" t="str">
        <f>+'PT1'!B72</f>
        <v>104-002-015</v>
      </c>
      <c r="C94" s="135" t="str">
        <f>+'PT1'!C72</f>
        <v>O1-803 ELVIRA RAHMANE</v>
      </c>
      <c r="D94" s="136">
        <f>+'PT1'!D72</f>
        <v>0</v>
      </c>
      <c r="E94" s="135" t="str">
        <f t="shared" si="1"/>
        <v>SIN ADEUDO</v>
      </c>
    </row>
    <row r="95" spans="2:5" x14ac:dyDescent="0.3">
      <c r="B95" s="135" t="str">
        <f>+'PT1'!B74</f>
        <v>104-002-017</v>
      </c>
      <c r="C95" s="135" t="str">
        <f>+'PT1'!C74</f>
        <v>O1-903 ABRAHAM CHEREM</v>
      </c>
      <c r="D95" s="136">
        <f>+'PT1'!D74</f>
        <v>0</v>
      </c>
      <c r="E95" s="135" t="str">
        <f t="shared" si="1"/>
        <v>SIN ADEUDO</v>
      </c>
    </row>
    <row r="96" spans="2:5" x14ac:dyDescent="0.3">
      <c r="B96" s="135" t="str">
        <f>+'PT1'!B75</f>
        <v>104-002-018</v>
      </c>
      <c r="C96" s="135" t="str">
        <f>+'PT1'!C75</f>
        <v>O1-904 ISAAC MAYA</v>
      </c>
      <c r="D96" s="136">
        <f>+'PT1'!D75</f>
        <v>0</v>
      </c>
      <c r="E96" s="135" t="str">
        <f t="shared" si="1"/>
        <v>SIN ADEUDO</v>
      </c>
    </row>
    <row r="97" spans="2:5" x14ac:dyDescent="0.3">
      <c r="B97" s="135" t="str">
        <f>+'PT1'!B76</f>
        <v>104-002-019</v>
      </c>
      <c r="C97" s="135" t="str">
        <f>+'PT1'!C76</f>
        <v>O1-1003 SARA MICHA</v>
      </c>
      <c r="D97" s="136">
        <f>+'PT1'!D76</f>
        <v>-12694</v>
      </c>
      <c r="E97" s="135" t="str">
        <f t="shared" si="1"/>
        <v>ANTICIPOS</v>
      </c>
    </row>
    <row r="98" spans="2:5" x14ac:dyDescent="0.3">
      <c r="B98" s="135" t="str">
        <f>+'PT1'!B78</f>
        <v>104-002-021</v>
      </c>
      <c r="C98" s="135" t="str">
        <f>+'PT1'!C78</f>
        <v>O1-1103 GUADALUPE BASTON</v>
      </c>
      <c r="D98" s="136">
        <f>+'PT1'!D78</f>
        <v>0</v>
      </c>
      <c r="E98" s="135" t="str">
        <f t="shared" si="1"/>
        <v>SIN ADEUDO</v>
      </c>
    </row>
    <row r="99" spans="2:5" x14ac:dyDescent="0.3">
      <c r="B99" s="135" t="str">
        <f>+'PT1'!B80</f>
        <v>104-002-023</v>
      </c>
      <c r="C99" s="135" t="str">
        <f>+'PT1'!C80</f>
        <v>O1-1203 MOISES CHAYO</v>
      </c>
      <c r="D99" s="136">
        <f>+'PT1'!D80</f>
        <v>-12694</v>
      </c>
      <c r="E99" s="135" t="str">
        <f t="shared" si="1"/>
        <v>ANTICIPOS</v>
      </c>
    </row>
    <row r="100" spans="2:5" x14ac:dyDescent="0.3">
      <c r="B100" s="135" t="str">
        <f>+'PT1'!B82</f>
        <v>104-002-025</v>
      </c>
      <c r="C100" s="135" t="str">
        <f>+'PT1'!C82</f>
        <v>O1-1303 CARLOS MIZRAHI</v>
      </c>
      <c r="D100" s="136">
        <f>+'PT1'!D82</f>
        <v>0</v>
      </c>
      <c r="E100" s="135" t="str">
        <f t="shared" si="1"/>
        <v>SIN ADEUDO</v>
      </c>
    </row>
    <row r="101" spans="2:5" x14ac:dyDescent="0.3">
      <c r="B101" s="135" t="str">
        <f>+'PT1'!B83</f>
        <v>104-002-026</v>
      </c>
      <c r="C101" s="135" t="str">
        <f>+'PT1'!C83</f>
        <v>O1-1304 JACOBO CHEREM A</v>
      </c>
      <c r="D101" s="136">
        <f>+'PT1'!D83</f>
        <v>0</v>
      </c>
      <c r="E101" s="135" t="str">
        <f t="shared" si="1"/>
        <v>SIN ADEUDO</v>
      </c>
    </row>
    <row r="102" spans="2:5" x14ac:dyDescent="0.3">
      <c r="B102" s="135" t="str">
        <f>+'PT1'!B84</f>
        <v>104-002-027</v>
      </c>
      <c r="C102" s="135" t="str">
        <f>+'PT1'!C84</f>
        <v>O1-1403 LEONARDO DE LOZANNE</v>
      </c>
      <c r="D102" s="136">
        <f>+'PT1'!D84</f>
        <v>0</v>
      </c>
      <c r="E102" s="135" t="str">
        <f t="shared" si="1"/>
        <v>SIN ADEUDO</v>
      </c>
    </row>
    <row r="103" spans="2:5" x14ac:dyDescent="0.3">
      <c r="B103" s="135" t="str">
        <f>+'PT1'!B85</f>
        <v>104-002-028</v>
      </c>
      <c r="C103" s="135" t="str">
        <f>+'PT1'!C85</f>
        <v>O1-1404 ALBERTO SABA</v>
      </c>
      <c r="D103" s="136">
        <f>+'PT1'!D85</f>
        <v>500</v>
      </c>
      <c r="E103" s="135" t="str">
        <f t="shared" si="1"/>
        <v>DEUDA CORRIENTE</v>
      </c>
    </row>
    <row r="104" spans="2:5" x14ac:dyDescent="0.3">
      <c r="B104" s="135" t="str">
        <f>+'PT1'!B86</f>
        <v>104-002-029</v>
      </c>
      <c r="C104" s="135" t="str">
        <f>+'PT1'!C86</f>
        <v>O1-1503 ABRAHAM BRAVERMAN</v>
      </c>
      <c r="D104" s="136">
        <f>+'PT1'!D86</f>
        <v>0</v>
      </c>
      <c r="E104" s="135" t="str">
        <f t="shared" si="1"/>
        <v>SIN ADEUDO</v>
      </c>
    </row>
    <row r="105" spans="2:5" x14ac:dyDescent="0.3">
      <c r="B105" s="135" t="str">
        <f>+'PT1'!B88</f>
        <v>104-002-031</v>
      </c>
      <c r="C105" s="135" t="str">
        <f>+'PT1'!C88</f>
        <v>O1-1603 SIMON PENHAS</v>
      </c>
      <c r="D105" s="136">
        <f>+'PT1'!D88</f>
        <v>0</v>
      </c>
      <c r="E105" s="135" t="str">
        <f t="shared" si="1"/>
        <v>SIN ADEUDO</v>
      </c>
    </row>
    <row r="106" spans="2:5" x14ac:dyDescent="0.3">
      <c r="B106" s="135" t="str">
        <f>+'PT1'!B89</f>
        <v>104-002-032</v>
      </c>
      <c r="C106" s="135" t="str">
        <f>+'PT1'!C89</f>
        <v>O1-1604 JACOBO ZAGHA</v>
      </c>
      <c r="D106" s="136">
        <f>+'PT1'!D89</f>
        <v>0</v>
      </c>
      <c r="E106" s="135" t="str">
        <f t="shared" si="1"/>
        <v>SIN ADEUDO</v>
      </c>
    </row>
    <row r="107" spans="2:5" x14ac:dyDescent="0.3">
      <c r="B107" s="135" t="str">
        <f>+'PT1'!B90</f>
        <v>104-002-033</v>
      </c>
      <c r="C107" s="135" t="str">
        <f>+'PT1'!C90</f>
        <v>O1-1703 MOISES ALBERTO ESSES</v>
      </c>
      <c r="D107" s="136">
        <f>+'PT1'!D90</f>
        <v>-98504</v>
      </c>
      <c r="E107" s="135" t="str">
        <f t="shared" si="1"/>
        <v>ANTICIPOS</v>
      </c>
    </row>
    <row r="108" spans="2:5" x14ac:dyDescent="0.3">
      <c r="B108" s="135" t="str">
        <f>+'PT1'!B91</f>
        <v>104-002-034</v>
      </c>
      <c r="C108" s="135" t="str">
        <f>+'PT1'!C91</f>
        <v>O1-1704 JACOBO CHEREM A</v>
      </c>
      <c r="D108" s="136">
        <f>+'PT1'!D91</f>
        <v>0</v>
      </c>
      <c r="E108" s="135" t="str">
        <f t="shared" si="1"/>
        <v>SIN ADEUDO</v>
      </c>
    </row>
    <row r="109" spans="2:5" x14ac:dyDescent="0.3">
      <c r="B109" s="135" t="str">
        <f>+'PT1'!B92</f>
        <v>104-002-035</v>
      </c>
      <c r="C109" s="135" t="str">
        <f>+'PT1'!C92</f>
        <v>O1-1803 ZURY ESSES</v>
      </c>
      <c r="D109" s="136">
        <f>+'PT1'!D92</f>
        <v>-98504</v>
      </c>
      <c r="E109" s="135" t="str">
        <f t="shared" si="1"/>
        <v>ANTICIPOS</v>
      </c>
    </row>
    <row r="110" spans="2:5" x14ac:dyDescent="0.3">
      <c r="B110" s="135" t="str">
        <f>+'PT1'!B93</f>
        <v>104-002-036</v>
      </c>
      <c r="C110" s="135" t="str">
        <f>+'PT1'!C93</f>
        <v>O1-1804 SALVADOR CARMONA</v>
      </c>
      <c r="D110" s="136">
        <f>+'PT1'!D93</f>
        <v>0</v>
      </c>
      <c r="E110" s="135" t="str">
        <f t="shared" si="1"/>
        <v>SIN ADEUDO</v>
      </c>
    </row>
    <row r="111" spans="2:5" x14ac:dyDescent="0.3">
      <c r="B111" s="135" t="str">
        <f>+'PT1'!B95</f>
        <v>104-002-038</v>
      </c>
      <c r="C111" s="135" t="str">
        <f>+'PT1'!C95</f>
        <v>O1-1904 JACOBO CHEREM A</v>
      </c>
      <c r="D111" s="136">
        <f>+'PT1'!D95</f>
        <v>0</v>
      </c>
      <c r="E111" s="135" t="str">
        <f t="shared" si="1"/>
        <v>SIN ADEUDO</v>
      </c>
    </row>
    <row r="112" spans="2:5" x14ac:dyDescent="0.3">
      <c r="B112" s="135" t="str">
        <f>+'PT1'!B96</f>
        <v>104-002-039</v>
      </c>
      <c r="C112" s="135" t="str">
        <f>+'PT1'!C96</f>
        <v xml:space="preserve">O1-2003 JOSE MICHAN </v>
      </c>
      <c r="D112" s="136">
        <f>+'PT1'!D96</f>
        <v>0</v>
      </c>
      <c r="E112" s="135" t="str">
        <f t="shared" si="1"/>
        <v>SIN ADEUDO</v>
      </c>
    </row>
    <row r="113" spans="2:5" x14ac:dyDescent="0.3">
      <c r="B113" s="135" t="str">
        <f>+'PT1'!B97</f>
        <v>104-002-040</v>
      </c>
      <c r="C113" s="135" t="str">
        <f>+'PT1'!C97</f>
        <v>O1-2004 ALEJANDRO BARRIOS</v>
      </c>
      <c r="D113" s="136">
        <f>+'PT1'!D97</f>
        <v>300</v>
      </c>
      <c r="E113" s="135" t="str">
        <f t="shared" si="1"/>
        <v>DEUDA CORRIENTE</v>
      </c>
    </row>
    <row r="114" spans="2:5" x14ac:dyDescent="0.3">
      <c r="B114" s="135" t="str">
        <f>+'PT1'!B98</f>
        <v>104-002-041</v>
      </c>
      <c r="C114" s="135" t="str">
        <f>+'PT1'!C98</f>
        <v>O1-2103 ROCIO CHAVEZ</v>
      </c>
      <c r="D114" s="136">
        <f>+'PT1'!D98</f>
        <v>0</v>
      </c>
      <c r="E114" s="135" t="str">
        <f t="shared" si="1"/>
        <v>SIN ADEUDO</v>
      </c>
    </row>
    <row r="115" spans="2:5" x14ac:dyDescent="0.3">
      <c r="B115" s="135" t="str">
        <f>+'PT1'!B99</f>
        <v>104-002-042</v>
      </c>
      <c r="C115" s="135" t="str">
        <f>+'PT1'!C99</f>
        <v>O1-2104 AMADA ZAGHA</v>
      </c>
      <c r="D115" s="136">
        <f>+'PT1'!D99</f>
        <v>0</v>
      </c>
      <c r="E115" s="135" t="str">
        <f t="shared" si="1"/>
        <v>SIN ADEUDO</v>
      </c>
    </row>
    <row r="116" spans="2:5" x14ac:dyDescent="0.3">
      <c r="B116" s="135" t="str">
        <f>+'PT1'!B100</f>
        <v>104-002-043</v>
      </c>
      <c r="C116" s="135" t="str">
        <f>+'PT1'!C100</f>
        <v>O1-2203 STEPHANIE MASLIAH</v>
      </c>
      <c r="D116" s="136">
        <f>+'PT1'!D100</f>
        <v>0</v>
      </c>
      <c r="E116" s="135" t="str">
        <f t="shared" si="1"/>
        <v>SIN ADEUDO</v>
      </c>
    </row>
    <row r="117" spans="2:5" x14ac:dyDescent="0.3">
      <c r="B117" s="135" t="str">
        <f>+'PT1'!B103</f>
        <v>104-002-046</v>
      </c>
      <c r="C117" s="135" t="str">
        <f>+'PT1'!C103</f>
        <v>O1-2304 ERICK VEGA</v>
      </c>
      <c r="D117" s="136">
        <f>+'PT1'!D103</f>
        <v>0</v>
      </c>
      <c r="E117" s="135" t="str">
        <f t="shared" si="1"/>
        <v>SIN ADEUDO</v>
      </c>
    </row>
    <row r="118" spans="2:5" x14ac:dyDescent="0.3">
      <c r="B118" s="135" t="str">
        <f>+'PT1'!B104</f>
        <v>104-002-047</v>
      </c>
      <c r="C118" s="135" t="str">
        <f>+'PT1'!C104</f>
        <v>O1-2403 SCOTIABANK INVERLAT S.A.</v>
      </c>
      <c r="D118" s="136">
        <f>+'PT1'!D104</f>
        <v>180472</v>
      </c>
      <c r="E118" s="135" t="str">
        <f t="shared" si="1"/>
        <v>COBRANZA JUDICIAL</v>
      </c>
    </row>
    <row r="119" spans="2:5" x14ac:dyDescent="0.3">
      <c r="B119" s="135" t="str">
        <f>+'PT1'!B105</f>
        <v>104-002-048</v>
      </c>
      <c r="C119" s="135" t="str">
        <f>+'PT1'!C105</f>
        <v>O1-2404 SIMON BASSO</v>
      </c>
      <c r="D119" s="136">
        <f>+'PT1'!D105</f>
        <v>0</v>
      </c>
      <c r="E119" s="135" t="str">
        <f t="shared" si="1"/>
        <v>SIN ADEUDO</v>
      </c>
    </row>
    <row r="120" spans="2:5" x14ac:dyDescent="0.3">
      <c r="B120" s="135" t="str">
        <f>+'PT1'!B106</f>
        <v>104-002-049</v>
      </c>
      <c r="C120" s="135" t="str">
        <f>+'PT1'!C106</f>
        <v>O1-2503 ESTHER ABADI</v>
      </c>
      <c r="D120" s="136">
        <f>+'PT1'!D106</f>
        <v>0</v>
      </c>
      <c r="E120" s="135" t="str">
        <f t="shared" si="1"/>
        <v>SIN ADEUDO</v>
      </c>
    </row>
    <row r="121" spans="2:5" x14ac:dyDescent="0.3">
      <c r="B121" s="135" t="str">
        <f>+'PT1'!B107</f>
        <v>104-002-050</v>
      </c>
      <c r="C121" s="135" t="str">
        <f>+'PT1'!C107</f>
        <v>O1-2504 SAMUEL ZETUNE</v>
      </c>
      <c r="D121" s="136">
        <f>+'PT1'!D107</f>
        <v>0</v>
      </c>
      <c r="E121" s="135" t="str">
        <f t="shared" si="1"/>
        <v>SIN ADEUDO</v>
      </c>
    </row>
    <row r="122" spans="2:5" x14ac:dyDescent="0.3">
      <c r="B122" s="135" t="str">
        <f>+'PT1'!B109</f>
        <v>104-002-052</v>
      </c>
      <c r="C122" s="135" t="str">
        <f>+'PT1'!C109</f>
        <v>O1-PH04 JACOBO CHEREM HARARI</v>
      </c>
      <c r="D122" s="136">
        <f>+'PT1'!D109</f>
        <v>0</v>
      </c>
      <c r="E122" s="135" t="str">
        <f t="shared" si="1"/>
        <v>SIN ADEUDO</v>
      </c>
    </row>
    <row r="123" spans="2:5" x14ac:dyDescent="0.3">
      <c r="B123" s="135" t="str">
        <f>+'PT1'!B110</f>
        <v>104-003-001</v>
      </c>
      <c r="C123" s="135" t="str">
        <f>+'PT1'!C110</f>
        <v>O2-105 YAMIL MAFUD</v>
      </c>
      <c r="D123" s="136">
        <f>+'PT1'!D110</f>
        <v>-98504</v>
      </c>
      <c r="E123" s="135" t="str">
        <f t="shared" si="1"/>
        <v>ANTICIPOS</v>
      </c>
    </row>
    <row r="124" spans="2:5" x14ac:dyDescent="0.3">
      <c r="B124" s="135" t="str">
        <f>+'PT1'!B112</f>
        <v>104-003-003</v>
      </c>
      <c r="C124" s="135" t="str">
        <f>+'PT1'!C112</f>
        <v>O2-205 ISAAC JAMMAL</v>
      </c>
      <c r="D124" s="136">
        <f>+'PT1'!D112</f>
        <v>0</v>
      </c>
      <c r="E124" s="135" t="str">
        <f t="shared" si="1"/>
        <v>SIN ADEUDO</v>
      </c>
    </row>
    <row r="125" spans="2:5" x14ac:dyDescent="0.3">
      <c r="B125" s="135" t="str">
        <f>+'PT1'!B113</f>
        <v>104-003-004</v>
      </c>
      <c r="C125" s="135" t="str">
        <f>+'PT1'!C113</f>
        <v>O2-206 JUAN GARCIA</v>
      </c>
      <c r="D125" s="136">
        <f>+'PT1'!D113</f>
        <v>500</v>
      </c>
      <c r="E125" s="135" t="str">
        <f t="shared" si="1"/>
        <v>DEUDA CORRIENTE</v>
      </c>
    </row>
    <row r="126" spans="2:5" x14ac:dyDescent="0.3">
      <c r="B126" s="135" t="str">
        <f>+'PT1'!B114</f>
        <v>104-003-005</v>
      </c>
      <c r="C126" s="135" t="str">
        <f>+'PT1'!C114</f>
        <v>O2-305 MOISES HOP</v>
      </c>
      <c r="D126" s="136">
        <f>+'PT1'!D114</f>
        <v>300</v>
      </c>
      <c r="E126" s="135" t="str">
        <f t="shared" si="1"/>
        <v>DEUDA CORRIENTE</v>
      </c>
    </row>
    <row r="127" spans="2:5" x14ac:dyDescent="0.3">
      <c r="B127" s="135" t="str">
        <f>+'PT1'!B115</f>
        <v>104-003-006</v>
      </c>
      <c r="C127" s="135" t="str">
        <f>+'PT1'!C115</f>
        <v>O2-306 RAQUEL SHEMARIA</v>
      </c>
      <c r="D127" s="136">
        <f>+'PT1'!D115</f>
        <v>0</v>
      </c>
      <c r="E127" s="135" t="str">
        <f t="shared" si="1"/>
        <v>SIN ADEUDO</v>
      </c>
    </row>
    <row r="128" spans="2:5" x14ac:dyDescent="0.3">
      <c r="B128" s="135" t="str">
        <f>+'PT1'!B117</f>
        <v>104-003-008</v>
      </c>
      <c r="C128" s="135" t="str">
        <f>+'PT1'!C117</f>
        <v>O2-406 JOSE CHONTKOWSKY</v>
      </c>
      <c r="D128" s="136">
        <f>+'PT1'!D117</f>
        <v>0</v>
      </c>
      <c r="E128" s="135" t="str">
        <f t="shared" si="1"/>
        <v>SIN ADEUDO</v>
      </c>
    </row>
    <row r="129" spans="2:5" x14ac:dyDescent="0.3">
      <c r="B129" s="135" t="str">
        <f>+'PT1'!B118</f>
        <v>104-003-009</v>
      </c>
      <c r="C129" s="135" t="str">
        <f>+'PT1'!C118</f>
        <v>O2-505 CINDY LEVY</v>
      </c>
      <c r="D129" s="136">
        <f>+'PT1'!D118</f>
        <v>0</v>
      </c>
      <c r="E129" s="135" t="str">
        <f t="shared" si="1"/>
        <v>SIN ADEUDO</v>
      </c>
    </row>
    <row r="130" spans="2:5" x14ac:dyDescent="0.3">
      <c r="B130" s="135" t="str">
        <f>+'PT1'!B120</f>
        <v>104-003-011</v>
      </c>
      <c r="C130" s="135" t="str">
        <f>+'PT1'!C120</f>
        <v xml:space="preserve">O2-605 ELISA SACAL </v>
      </c>
      <c r="D130" s="136">
        <f>+'PT1'!D120</f>
        <v>0</v>
      </c>
      <c r="E130" s="135" t="str">
        <f t="shared" si="1"/>
        <v>SIN ADEUDO</v>
      </c>
    </row>
    <row r="131" spans="2:5" x14ac:dyDescent="0.3">
      <c r="B131" s="135" t="str">
        <f>+'PT1'!B121</f>
        <v>104-003-012</v>
      </c>
      <c r="C131" s="135" t="str">
        <f>+'PT1'!C121</f>
        <v>O2-606 JOSE LANIADO</v>
      </c>
      <c r="D131" s="136">
        <f>+'PT1'!D121</f>
        <v>-12694</v>
      </c>
      <c r="E131" s="135" t="str">
        <f t="shared" si="1"/>
        <v>ANTICIPOS</v>
      </c>
    </row>
    <row r="132" spans="2:5" x14ac:dyDescent="0.3">
      <c r="B132" s="135" t="str">
        <f>+'PT1'!B122</f>
        <v>104-003-013</v>
      </c>
      <c r="C132" s="135" t="str">
        <f>+'PT1'!C122</f>
        <v>O2-705 JOSE SHAYO</v>
      </c>
      <c r="D132" s="136">
        <f>+'PT1'!D122</f>
        <v>0</v>
      </c>
      <c r="E132" s="135" t="str">
        <f t="shared" si="1"/>
        <v>SIN ADEUDO</v>
      </c>
    </row>
    <row r="133" spans="2:5" x14ac:dyDescent="0.3">
      <c r="B133" s="135" t="str">
        <f>+'PT1'!B123</f>
        <v>104-003-014</v>
      </c>
      <c r="C133" s="135" t="str">
        <f>+'PT1'!C123</f>
        <v>O2-706 ADELA CHEREM</v>
      </c>
      <c r="D133" s="136">
        <f>+'PT1'!D123</f>
        <v>0</v>
      </c>
      <c r="E133" s="135" t="str">
        <f t="shared" ref="E133:E196" si="2">IF(D133&lt;0,"ANTICIPOS",IF(D133=$J$8,"SIN ADEUDO",IF(D133&lt;=$K$7,"DEUDA CORRIENTE",IF(D133&lt;=$K$6,"MOROSOS",IF(D133&gt;$J$5,"COBRANZA JUDICIAL")))))</f>
        <v>SIN ADEUDO</v>
      </c>
    </row>
    <row r="134" spans="2:5" x14ac:dyDescent="0.3">
      <c r="B134" s="135" t="str">
        <f>+'PT1'!B124</f>
        <v>104-003-015</v>
      </c>
      <c r="C134" s="135" t="str">
        <f>+'PT1'!C124</f>
        <v>O2-805 MAURICIO MESCHOULAM</v>
      </c>
      <c r="D134" s="136">
        <f>+'PT1'!D124</f>
        <v>0</v>
      </c>
      <c r="E134" s="135" t="str">
        <f t="shared" si="2"/>
        <v>SIN ADEUDO</v>
      </c>
    </row>
    <row r="135" spans="2:5" x14ac:dyDescent="0.3">
      <c r="B135" s="135" t="str">
        <f>+'PT1'!B125</f>
        <v>104-003-016</v>
      </c>
      <c r="C135" s="135" t="str">
        <f>+'PT1'!C125</f>
        <v>O2-806 JUAN C REBUELTA</v>
      </c>
      <c r="D135" s="136">
        <f>+'PT1'!D125</f>
        <v>0</v>
      </c>
      <c r="E135" s="135" t="str">
        <f t="shared" si="2"/>
        <v>SIN ADEUDO</v>
      </c>
    </row>
    <row r="136" spans="2:5" x14ac:dyDescent="0.3">
      <c r="B136" s="135" t="str">
        <f>+'PT1'!B126</f>
        <v>104-003-017</v>
      </c>
      <c r="C136" s="135" t="str">
        <f>+'PT1'!C126</f>
        <v>O2-905 JOSE SASSON</v>
      </c>
      <c r="D136" s="136">
        <f>+'PT1'!D126</f>
        <v>0</v>
      </c>
      <c r="E136" s="135" t="str">
        <f t="shared" si="2"/>
        <v>SIN ADEUDO</v>
      </c>
    </row>
    <row r="137" spans="2:5" x14ac:dyDescent="0.3">
      <c r="B137" s="135" t="str">
        <f>+'PT1'!B127</f>
        <v>104-003-018</v>
      </c>
      <c r="C137" s="135" t="str">
        <f>+'PT1'!C127</f>
        <v>O2-906 MOISES TUACHI</v>
      </c>
      <c r="D137" s="136">
        <f>+'PT1'!D127</f>
        <v>0</v>
      </c>
      <c r="E137" s="135" t="str">
        <f t="shared" si="2"/>
        <v>SIN ADEUDO</v>
      </c>
    </row>
    <row r="138" spans="2:5" x14ac:dyDescent="0.3">
      <c r="B138" s="135" t="str">
        <f>+'PT1'!B128</f>
        <v>104-003-019</v>
      </c>
      <c r="C138" s="135" t="str">
        <f>+'PT1'!C128</f>
        <v>O2-1005 JOSE SACAL</v>
      </c>
      <c r="D138" s="136">
        <f>+'PT1'!D128</f>
        <v>93327.999999999971</v>
      </c>
      <c r="E138" s="135" t="str">
        <f t="shared" si="2"/>
        <v>COBRANZA JUDICIAL</v>
      </c>
    </row>
    <row r="139" spans="2:5" x14ac:dyDescent="0.3">
      <c r="B139" s="135" t="str">
        <f>+'PT1'!B129</f>
        <v>104-003-020</v>
      </c>
      <c r="C139" s="135" t="str">
        <f>+'PT1'!C129</f>
        <v>O2-1006 LUCY FARCA</v>
      </c>
      <c r="D139" s="136">
        <f>+'PT1'!D129</f>
        <v>0</v>
      </c>
      <c r="E139" s="135" t="str">
        <f t="shared" si="2"/>
        <v>SIN ADEUDO</v>
      </c>
    </row>
    <row r="140" spans="2:5" x14ac:dyDescent="0.3">
      <c r="B140" s="135" t="str">
        <f>+'PT1'!B130</f>
        <v>104-003-021</v>
      </c>
      <c r="C140" s="135" t="str">
        <f>+'PT1'!C130</f>
        <v>O2-1105 SALOMON BUZALI</v>
      </c>
      <c r="D140" s="136">
        <f>+'PT1'!D130</f>
        <v>-12694</v>
      </c>
      <c r="E140" s="135" t="str">
        <f t="shared" si="2"/>
        <v>ANTICIPOS</v>
      </c>
    </row>
    <row r="141" spans="2:5" x14ac:dyDescent="0.3">
      <c r="B141" s="135" t="str">
        <f>+'PT1'!B131</f>
        <v>104-003-022</v>
      </c>
      <c r="C141" s="135" t="str">
        <f>+'PT1'!C131</f>
        <v>O2-1106 MOISES GUINDI</v>
      </c>
      <c r="D141" s="136">
        <f>+'PT1'!D131</f>
        <v>0</v>
      </c>
      <c r="E141" s="135" t="str">
        <f t="shared" si="2"/>
        <v>SIN ADEUDO</v>
      </c>
    </row>
    <row r="142" spans="2:5" x14ac:dyDescent="0.3">
      <c r="B142" s="135" t="str">
        <f>+'PT1'!B133</f>
        <v>104-003-024</v>
      </c>
      <c r="C142" s="135" t="str">
        <f>+'PT1'!C133</f>
        <v>O2-1206 JONATHAN EZBAN</v>
      </c>
      <c r="D142" s="136">
        <f>+'PT1'!D133</f>
        <v>7039</v>
      </c>
      <c r="E142" s="135" t="str">
        <f t="shared" si="2"/>
        <v>DEUDA CORRIENTE</v>
      </c>
    </row>
    <row r="143" spans="2:5" x14ac:dyDescent="0.3">
      <c r="B143" s="135" t="str">
        <f>+'PT1'!B134</f>
        <v>104-003-025</v>
      </c>
      <c r="C143" s="135" t="str">
        <f>+'PT1'!C134</f>
        <v>O2-1305 DANIEL AZAR</v>
      </c>
      <c r="D143" s="136">
        <f>+'PT1'!D134</f>
        <v>0</v>
      </c>
      <c r="E143" s="135" t="str">
        <f t="shared" si="2"/>
        <v>SIN ADEUDO</v>
      </c>
    </row>
    <row r="144" spans="2:5" x14ac:dyDescent="0.3">
      <c r="B144" s="135" t="str">
        <f>+'PT1'!B135</f>
        <v>104-003-026</v>
      </c>
      <c r="C144" s="135" t="str">
        <f>+'PT1'!C135</f>
        <v>O2-1306 GILDA RABIOVITZ</v>
      </c>
      <c r="D144" s="136">
        <f>+'PT1'!D135</f>
        <v>0</v>
      </c>
      <c r="E144" s="135" t="str">
        <f t="shared" si="2"/>
        <v>SIN ADEUDO</v>
      </c>
    </row>
    <row r="145" spans="2:5" x14ac:dyDescent="0.3">
      <c r="B145" s="135" t="str">
        <f>+'PT1'!B139</f>
        <v>104-003-030</v>
      </c>
      <c r="C145" s="135" t="str">
        <f>+'PT1'!C139</f>
        <v>O2-1506 KAREN DAYAN</v>
      </c>
      <c r="D145" s="136">
        <f>+'PT1'!D139</f>
        <v>0</v>
      </c>
      <c r="E145" s="135" t="str">
        <f t="shared" si="2"/>
        <v>SIN ADEUDO</v>
      </c>
    </row>
    <row r="146" spans="2:5" x14ac:dyDescent="0.3">
      <c r="B146" s="135" t="str">
        <f>+'PT1'!B140</f>
        <v>104-003-031</v>
      </c>
      <c r="C146" s="135" t="str">
        <f>+'PT1'!C140</f>
        <v>O2-1605 JOSE COHEN</v>
      </c>
      <c r="D146" s="136">
        <f>+'PT1'!D140</f>
        <v>0</v>
      </c>
      <c r="E146" s="135" t="str">
        <f t="shared" si="2"/>
        <v>SIN ADEUDO</v>
      </c>
    </row>
    <row r="147" spans="2:5" x14ac:dyDescent="0.3">
      <c r="B147" s="135" t="str">
        <f>+'PT1'!B141</f>
        <v>104-003-032</v>
      </c>
      <c r="C147" s="135" t="str">
        <f>+'PT1'!C141</f>
        <v>O2-1606 SHARON STEPESKY</v>
      </c>
      <c r="D147" s="136">
        <f>+'PT1'!D141</f>
        <v>0</v>
      </c>
      <c r="E147" s="135" t="str">
        <f t="shared" si="2"/>
        <v>SIN ADEUDO</v>
      </c>
    </row>
    <row r="148" spans="2:5" x14ac:dyDescent="0.3">
      <c r="B148" s="135" t="str">
        <f>+'PT1'!B143</f>
        <v>104-003-034</v>
      </c>
      <c r="C148" s="135" t="str">
        <f>+'PT1'!C143</f>
        <v>O2-1706 DANIEL FRANKLIN</v>
      </c>
      <c r="D148" s="136">
        <f>+'PT1'!D143</f>
        <v>0</v>
      </c>
      <c r="E148" s="135" t="str">
        <f t="shared" si="2"/>
        <v>SIN ADEUDO</v>
      </c>
    </row>
    <row r="149" spans="2:5" x14ac:dyDescent="0.3">
      <c r="B149" s="135" t="str">
        <f>+'PT1'!B144</f>
        <v>104-003-035</v>
      </c>
      <c r="C149" s="135" t="str">
        <f>+'PT1'!C144</f>
        <v xml:space="preserve">O2-1805 DAVID JASQUI R </v>
      </c>
      <c r="D149" s="136">
        <f>+'PT1'!D144</f>
        <v>0</v>
      </c>
      <c r="E149" s="135" t="str">
        <f t="shared" si="2"/>
        <v>SIN ADEUDO</v>
      </c>
    </row>
    <row r="150" spans="2:5" x14ac:dyDescent="0.3">
      <c r="B150" s="135" t="str">
        <f>+'PT1'!B145</f>
        <v>104-003-036</v>
      </c>
      <c r="C150" s="135" t="str">
        <f>+'PT1'!C145</f>
        <v>O2-1806 SALOMON KABLY</v>
      </c>
      <c r="D150" s="136">
        <f>+'PT1'!D145</f>
        <v>0</v>
      </c>
      <c r="E150" s="135" t="str">
        <f t="shared" si="2"/>
        <v>SIN ADEUDO</v>
      </c>
    </row>
    <row r="151" spans="2:5" x14ac:dyDescent="0.3">
      <c r="B151" s="135" t="str">
        <f>+'PT1'!B146</f>
        <v>104-003-037</v>
      </c>
      <c r="C151" s="135" t="str">
        <f>+'PT1'!C146</f>
        <v>O2-1905 MOISES IYABLONOVICH</v>
      </c>
      <c r="D151" s="136">
        <f>+'PT1'!D146</f>
        <v>0</v>
      </c>
      <c r="E151" s="135" t="str">
        <f t="shared" si="2"/>
        <v>SIN ADEUDO</v>
      </c>
    </row>
    <row r="152" spans="2:5" x14ac:dyDescent="0.3">
      <c r="B152" s="135" t="str">
        <f>+'PT1'!B147</f>
        <v>104-003-038</v>
      </c>
      <c r="C152" s="135" t="str">
        <f>+'PT1'!C147</f>
        <v>O2-1906 JAIME SALEM</v>
      </c>
      <c r="D152" s="136">
        <f>+'PT1'!D147</f>
        <v>27153</v>
      </c>
      <c r="E152" s="135" t="str">
        <f t="shared" si="2"/>
        <v>MOROSOS</v>
      </c>
    </row>
    <row r="153" spans="2:5" x14ac:dyDescent="0.3">
      <c r="B153" s="135" t="str">
        <f>+'PT1'!B148</f>
        <v>104-003-039</v>
      </c>
      <c r="C153" s="135" t="str">
        <f>+'PT1'!C148</f>
        <v>O2-2005 RAMON ZONANA</v>
      </c>
      <c r="D153" s="136">
        <f>+'PT1'!D148</f>
        <v>0</v>
      </c>
      <c r="E153" s="135" t="str">
        <f t="shared" si="2"/>
        <v>SIN ADEUDO</v>
      </c>
    </row>
    <row r="154" spans="2:5" x14ac:dyDescent="0.3">
      <c r="B154" s="135" t="str">
        <f>+'PT1'!B149</f>
        <v>104-003-040</v>
      </c>
      <c r="C154" s="135" t="str">
        <f>+'PT1'!C149</f>
        <v>O2-2006 LIC VANESSA OROZCO</v>
      </c>
      <c r="D154" s="136">
        <f>+'PT1'!D149</f>
        <v>0</v>
      </c>
      <c r="E154" s="135" t="str">
        <f t="shared" si="2"/>
        <v>SIN ADEUDO</v>
      </c>
    </row>
    <row r="155" spans="2:5" x14ac:dyDescent="0.3">
      <c r="B155" s="135" t="str">
        <f>+'PT1'!B150</f>
        <v>104-003-041</v>
      </c>
      <c r="C155" s="135" t="str">
        <f>+'PT1'!C150</f>
        <v>O2-2105 ROBERTO VILLEGAS</v>
      </c>
      <c r="D155" s="136">
        <f>+'PT1'!D150</f>
        <v>0</v>
      </c>
      <c r="E155" s="135" t="str">
        <f t="shared" si="2"/>
        <v>SIN ADEUDO</v>
      </c>
    </row>
    <row r="156" spans="2:5" x14ac:dyDescent="0.3">
      <c r="B156" s="135" t="str">
        <f>+'PT1'!B154</f>
        <v>104-003-045</v>
      </c>
      <c r="C156" s="135" t="str">
        <f>+'PT1'!C154</f>
        <v>O2-2305 CARLOS CALTUM</v>
      </c>
      <c r="D156" s="136">
        <f>+'PT1'!D154</f>
        <v>0</v>
      </c>
      <c r="E156" s="135" t="str">
        <f t="shared" si="2"/>
        <v>SIN ADEUDO</v>
      </c>
    </row>
    <row r="157" spans="2:5" x14ac:dyDescent="0.3">
      <c r="B157" s="135" t="str">
        <f>+'PT1'!B155</f>
        <v>104-003-046</v>
      </c>
      <c r="C157" s="135" t="str">
        <f>+'PT1'!C155</f>
        <v>O2-2306 ROCIO ARREDONDO</v>
      </c>
      <c r="D157" s="136">
        <f>+'PT1'!D155</f>
        <v>0</v>
      </c>
      <c r="E157" s="135" t="str">
        <f t="shared" si="2"/>
        <v>SIN ADEUDO</v>
      </c>
    </row>
    <row r="158" spans="2:5" x14ac:dyDescent="0.3">
      <c r="B158" s="135" t="str">
        <f>+'PT1'!B156</f>
        <v>104-003-047</v>
      </c>
      <c r="C158" s="135" t="str">
        <f>+'PT1'!C156</f>
        <v>O2-2405 SALVADOR BELTRAN</v>
      </c>
      <c r="D158" s="136">
        <f>+'PT1'!D156</f>
        <v>0</v>
      </c>
      <c r="E158" s="135" t="str">
        <f t="shared" si="2"/>
        <v>SIN ADEUDO</v>
      </c>
    </row>
    <row r="159" spans="2:5" x14ac:dyDescent="0.3">
      <c r="B159" s="135" t="str">
        <f>+'PT1'!B157</f>
        <v>104-003-048</v>
      </c>
      <c r="C159" s="135" t="str">
        <f>+'PT1'!C157</f>
        <v>O2-2406 RUTH GARCIA</v>
      </c>
      <c r="D159" s="136">
        <f>+'PT1'!D157</f>
        <v>0</v>
      </c>
      <c r="E159" s="135" t="str">
        <f t="shared" si="2"/>
        <v>SIN ADEUDO</v>
      </c>
    </row>
    <row r="160" spans="2:5" x14ac:dyDescent="0.3">
      <c r="B160" s="135" t="str">
        <f>+'PT1'!B158</f>
        <v>104-003-049</v>
      </c>
      <c r="C160" s="135" t="str">
        <f>+'PT1'!C158</f>
        <v>O2-2505 BEATRIZ CHAYET</v>
      </c>
      <c r="D160" s="136">
        <f>+'PT1'!D158</f>
        <v>0</v>
      </c>
      <c r="E160" s="135" t="str">
        <f t="shared" si="2"/>
        <v>SIN ADEUDO</v>
      </c>
    </row>
    <row r="161" spans="2:5" x14ac:dyDescent="0.3">
      <c r="B161" s="135" t="str">
        <f>+'PT1'!B159</f>
        <v>104-003-050</v>
      </c>
      <c r="C161" s="135" t="str">
        <f>+'PT1'!C159</f>
        <v>O2-2506 FEDERICO ADLERCREUTZ</v>
      </c>
      <c r="D161" s="136">
        <f>+'PT1'!D159</f>
        <v>-12694</v>
      </c>
      <c r="E161" s="135" t="str">
        <f t="shared" si="2"/>
        <v>ANTICIPOS</v>
      </c>
    </row>
    <row r="162" spans="2:5" x14ac:dyDescent="0.3">
      <c r="B162" s="135" t="str">
        <f>+'PT1'!B161</f>
        <v>104-003-052</v>
      </c>
      <c r="C162" s="135" t="str">
        <f>+'PT1'!C161</f>
        <v>O2-PH06 SUSETTE HALLAK</v>
      </c>
      <c r="D162" s="136">
        <f>+'PT1'!D161</f>
        <v>7039</v>
      </c>
      <c r="E162" s="135" t="str">
        <f t="shared" si="2"/>
        <v>DEUDA CORRIENTE</v>
      </c>
    </row>
    <row r="163" spans="2:5" x14ac:dyDescent="0.3">
      <c r="B163" s="135" t="str">
        <f>+'PT1'!B162</f>
        <v>104-004-001</v>
      </c>
      <c r="C163" s="135" t="str">
        <f>+'PT1'!C162</f>
        <v>C1-107 GEMI GONZALEZ</v>
      </c>
      <c r="D163" s="136">
        <f>+'PT1'!D162</f>
        <v>-98504</v>
      </c>
      <c r="E163" s="135" t="str">
        <f t="shared" si="2"/>
        <v>ANTICIPOS</v>
      </c>
    </row>
    <row r="164" spans="2:5" x14ac:dyDescent="0.3">
      <c r="B164" s="135" t="str">
        <f>+'PT1'!B163</f>
        <v>104-004-002</v>
      </c>
      <c r="C164" s="135" t="str">
        <f>+'PT1'!C163</f>
        <v>C1-108 NICOLE OLSOFF</v>
      </c>
      <c r="D164" s="136">
        <f>+'PT1'!D163</f>
        <v>0</v>
      </c>
      <c r="E164" s="135" t="str">
        <f t="shared" si="2"/>
        <v>SIN ADEUDO</v>
      </c>
    </row>
    <row r="165" spans="2:5" x14ac:dyDescent="0.3">
      <c r="B165" s="135" t="str">
        <f>+'PT1'!B165</f>
        <v>104-004-004</v>
      </c>
      <c r="C165" s="135" t="str">
        <f>+'PT1'!C165</f>
        <v>C1-208 JACOBO CHEREM A</v>
      </c>
      <c r="D165" s="136">
        <f>+'PT1'!D165</f>
        <v>0</v>
      </c>
      <c r="E165" s="135" t="str">
        <f t="shared" si="2"/>
        <v>SIN ADEUDO</v>
      </c>
    </row>
    <row r="166" spans="2:5" x14ac:dyDescent="0.3">
      <c r="B166" s="135" t="str">
        <f>+'PT1'!B166</f>
        <v>104-004-005</v>
      </c>
      <c r="C166" s="135" t="str">
        <f>+'PT1'!C166</f>
        <v>C1-307 ABRAHAM ATTIAS</v>
      </c>
      <c r="D166" s="136">
        <f>+'PT1'!D166</f>
        <v>0</v>
      </c>
      <c r="E166" s="135" t="str">
        <f t="shared" si="2"/>
        <v>SIN ADEUDO</v>
      </c>
    </row>
    <row r="167" spans="2:5" x14ac:dyDescent="0.3">
      <c r="B167" s="135" t="str">
        <f>+'PT1'!B167</f>
        <v>104-004-006</v>
      </c>
      <c r="C167" s="135" t="str">
        <f>+'PT1'!C167</f>
        <v>C1-308 ELIZABETH ABRUCH</v>
      </c>
      <c r="D167" s="136">
        <f>+'PT1'!D167</f>
        <v>0</v>
      </c>
      <c r="E167" s="135" t="str">
        <f t="shared" si="2"/>
        <v>SIN ADEUDO</v>
      </c>
    </row>
    <row r="168" spans="2:5" x14ac:dyDescent="0.3">
      <c r="B168" s="135" t="str">
        <f>+'PT1'!B168</f>
        <v>104-004-007</v>
      </c>
      <c r="C168" s="135" t="str">
        <f>+'PT1'!C168</f>
        <v>C1-407 JACOBO CHEREM A</v>
      </c>
      <c r="D168" s="136">
        <f>+'PT1'!D168</f>
        <v>0</v>
      </c>
      <c r="E168" s="135" t="str">
        <f t="shared" si="2"/>
        <v>SIN ADEUDO</v>
      </c>
    </row>
    <row r="169" spans="2:5" x14ac:dyDescent="0.3">
      <c r="B169" s="135" t="str">
        <f>+'PT1'!B170</f>
        <v>104-004-009</v>
      </c>
      <c r="C169" s="135" t="str">
        <f>+'PT1'!C170</f>
        <v>C1-507 ROSA TURQUIE</v>
      </c>
      <c r="D169" s="136">
        <f>+'PT1'!D170</f>
        <v>27888</v>
      </c>
      <c r="E169" s="135" t="str">
        <f t="shared" si="2"/>
        <v>MOROSOS</v>
      </c>
    </row>
    <row r="170" spans="2:5" x14ac:dyDescent="0.3">
      <c r="B170" s="135" t="str">
        <f>+'PT1'!B172</f>
        <v>104-004-011</v>
      </c>
      <c r="C170" s="135" t="str">
        <f>+'PT1'!C172</f>
        <v>C1-607 JACOBO CHEREM A</v>
      </c>
      <c r="D170" s="136">
        <f>+'PT1'!D172</f>
        <v>0</v>
      </c>
      <c r="E170" s="135" t="str">
        <f t="shared" si="2"/>
        <v>SIN ADEUDO</v>
      </c>
    </row>
    <row r="171" spans="2:5" x14ac:dyDescent="0.3">
      <c r="B171" s="135" t="str">
        <f>+'PT1'!B173</f>
        <v>104-004-012</v>
      </c>
      <c r="C171" s="135" t="str">
        <f>+'PT1'!C173</f>
        <v>C1-608 FRIDA ASKENAZI</v>
      </c>
      <c r="D171" s="136">
        <f>+'PT1'!D173</f>
        <v>0</v>
      </c>
      <c r="E171" s="135" t="str">
        <f t="shared" si="2"/>
        <v>SIN ADEUDO</v>
      </c>
    </row>
    <row r="172" spans="2:5" x14ac:dyDescent="0.3">
      <c r="B172" s="135" t="str">
        <f>+'PT1'!B175</f>
        <v>104-004-014</v>
      </c>
      <c r="C172" s="135" t="str">
        <f>+'PT1'!C175</f>
        <v>C1-708 DANIEL CHICUREL</v>
      </c>
      <c r="D172" s="136">
        <f>+'PT1'!D175</f>
        <v>0</v>
      </c>
      <c r="E172" s="135" t="str">
        <f t="shared" si="2"/>
        <v>SIN ADEUDO</v>
      </c>
    </row>
    <row r="173" spans="2:5" x14ac:dyDescent="0.3">
      <c r="B173" s="135" t="str">
        <f>+'PT1'!B176</f>
        <v>104-004-015</v>
      </c>
      <c r="C173" s="135" t="str">
        <f>+'PT1'!C176</f>
        <v>C1-807 EDUARDO CHEREM</v>
      </c>
      <c r="D173" s="136">
        <f>+'PT1'!D176</f>
        <v>0</v>
      </c>
      <c r="E173" s="135" t="str">
        <f t="shared" si="2"/>
        <v>SIN ADEUDO</v>
      </c>
    </row>
    <row r="174" spans="2:5" x14ac:dyDescent="0.3">
      <c r="B174" s="135" t="str">
        <f>+'PT1'!B177</f>
        <v>104-004-016</v>
      </c>
      <c r="C174" s="135" t="str">
        <f>+'PT1'!C177</f>
        <v>C1-808 DAVID ATACH</v>
      </c>
      <c r="D174" s="136">
        <f>+'PT1'!D177</f>
        <v>0</v>
      </c>
      <c r="E174" s="135" t="str">
        <f t="shared" si="2"/>
        <v>SIN ADEUDO</v>
      </c>
    </row>
    <row r="175" spans="2:5" x14ac:dyDescent="0.3">
      <c r="B175" s="135" t="str">
        <f>+'PT1'!B179</f>
        <v>104-004-018</v>
      </c>
      <c r="C175" s="135" t="str">
        <f>+'PT1'!C179</f>
        <v>C1-908 MICHELLE CHIVER</v>
      </c>
      <c r="D175" s="136">
        <f>+'PT1'!D179</f>
        <v>0</v>
      </c>
      <c r="E175" s="135" t="str">
        <f t="shared" si="2"/>
        <v>SIN ADEUDO</v>
      </c>
    </row>
    <row r="176" spans="2:5" x14ac:dyDescent="0.3">
      <c r="B176" s="135" t="str">
        <f>+'PT1'!B181</f>
        <v>104-004-020</v>
      </c>
      <c r="C176" s="135" t="str">
        <f>+'PT1'!C181</f>
        <v>C1-1008 FERNANDA PUENTE</v>
      </c>
      <c r="D176" s="136">
        <f>+'PT1'!D181</f>
        <v>0</v>
      </c>
      <c r="E176" s="135" t="str">
        <f t="shared" si="2"/>
        <v>SIN ADEUDO</v>
      </c>
    </row>
    <row r="177" spans="2:5" x14ac:dyDescent="0.3">
      <c r="B177" s="135" t="str">
        <f>+'PT1'!B182</f>
        <v>104-004-021</v>
      </c>
      <c r="C177" s="135" t="str">
        <f>+'PT1'!C182</f>
        <v>C1-1107 ISAAC HENDY</v>
      </c>
      <c r="D177" s="136">
        <f>+'PT1'!D182</f>
        <v>0</v>
      </c>
      <c r="E177" s="135" t="str">
        <f t="shared" si="2"/>
        <v>SIN ADEUDO</v>
      </c>
    </row>
    <row r="178" spans="2:5" x14ac:dyDescent="0.3">
      <c r="B178" s="135" t="str">
        <f>+'PT1'!B185</f>
        <v>104-004-024</v>
      </c>
      <c r="C178" s="135" t="str">
        <f>+'PT1'!C185</f>
        <v>C1-1208 MOISES BEHAR</v>
      </c>
      <c r="D178" s="136">
        <f>+'PT1'!D185</f>
        <v>-306</v>
      </c>
      <c r="E178" s="135" t="str">
        <f t="shared" si="2"/>
        <v>ANTICIPOS</v>
      </c>
    </row>
    <row r="179" spans="2:5" x14ac:dyDescent="0.3">
      <c r="B179" s="135" t="str">
        <f>+'PT1'!B187</f>
        <v>104-004-026</v>
      </c>
      <c r="C179" s="135" t="str">
        <f>+'PT1'!C187</f>
        <v>C1-1308 VICTOR KALIFA</v>
      </c>
      <c r="D179" s="136">
        <f>+'PT1'!D187</f>
        <v>0</v>
      </c>
      <c r="E179" s="135" t="str">
        <f t="shared" si="2"/>
        <v>SIN ADEUDO</v>
      </c>
    </row>
    <row r="180" spans="2:5" x14ac:dyDescent="0.3">
      <c r="B180" s="135" t="str">
        <f>+'PT1'!B188</f>
        <v>104-004-027</v>
      </c>
      <c r="C180" s="135" t="str">
        <f>+'PT1'!C188</f>
        <v>C1-1407 OSCAR ROMAN</v>
      </c>
      <c r="D180" s="136">
        <f>+'PT1'!D188</f>
        <v>0</v>
      </c>
      <c r="E180" s="135" t="str">
        <f t="shared" si="2"/>
        <v>SIN ADEUDO</v>
      </c>
    </row>
    <row r="181" spans="2:5" x14ac:dyDescent="0.3">
      <c r="B181" s="135" t="str">
        <f>+'PT1'!B190</f>
        <v>104-004-029</v>
      </c>
      <c r="C181" s="135" t="str">
        <f>+'PT1'!C190</f>
        <v>C1-1507 ANDREA PERLA</v>
      </c>
      <c r="D181" s="136">
        <f>+'PT1'!D190</f>
        <v>0</v>
      </c>
      <c r="E181" s="135" t="str">
        <f t="shared" si="2"/>
        <v>SIN ADEUDO</v>
      </c>
    </row>
    <row r="182" spans="2:5" x14ac:dyDescent="0.3">
      <c r="B182" s="135" t="str">
        <f>+'PT1'!B196</f>
        <v>104-004-035</v>
      </c>
      <c r="C182" s="135" t="str">
        <f>+'PT1'!C196</f>
        <v>C1-1807 MIRIAM HALABE</v>
      </c>
      <c r="D182" s="136">
        <f>+'PT1'!D196</f>
        <v>0</v>
      </c>
      <c r="E182" s="135" t="str">
        <f t="shared" si="2"/>
        <v>SIN ADEUDO</v>
      </c>
    </row>
    <row r="183" spans="2:5" x14ac:dyDescent="0.3">
      <c r="B183" s="135" t="str">
        <f>+'PT1'!B197</f>
        <v>104-004-036</v>
      </c>
      <c r="C183" s="135" t="str">
        <f>+'PT1'!C197</f>
        <v>C1-1808 JACOBO CHEREM A</v>
      </c>
      <c r="D183" s="136">
        <f>+'PT1'!D197</f>
        <v>0</v>
      </c>
      <c r="E183" s="135" t="str">
        <f t="shared" si="2"/>
        <v>SIN ADEUDO</v>
      </c>
    </row>
    <row r="184" spans="2:5" x14ac:dyDescent="0.3">
      <c r="B184" s="135" t="str">
        <f>+'PT1'!B198</f>
        <v>104-004-037</v>
      </c>
      <c r="C184" s="135" t="str">
        <f>+'PT1'!C198</f>
        <v>C1-1907 ERIC ZUCHOVICKI</v>
      </c>
      <c r="D184" s="136">
        <f>+'PT1'!D198</f>
        <v>0</v>
      </c>
      <c r="E184" s="135" t="str">
        <f t="shared" si="2"/>
        <v>SIN ADEUDO</v>
      </c>
    </row>
    <row r="185" spans="2:5" x14ac:dyDescent="0.3">
      <c r="B185" s="135" t="str">
        <f>+'PT1'!B199</f>
        <v>104-004-038</v>
      </c>
      <c r="C185" s="135" t="str">
        <f>+'PT1'!C199</f>
        <v>C1-1908 ALBERTO CATARIVAS</v>
      </c>
      <c r="D185" s="136">
        <f>+'PT1'!D199</f>
        <v>0</v>
      </c>
      <c r="E185" s="135" t="str">
        <f t="shared" si="2"/>
        <v>SIN ADEUDO</v>
      </c>
    </row>
    <row r="186" spans="2:5" x14ac:dyDescent="0.3">
      <c r="B186" s="135" t="str">
        <f>+'PT1'!B201</f>
        <v>104-004-040</v>
      </c>
      <c r="C186" s="135" t="str">
        <f>+'PT1'!C201</f>
        <v>C1-2008 SANDRA MARAIMA</v>
      </c>
      <c r="D186" s="136">
        <f>+'PT1'!D201</f>
        <v>0</v>
      </c>
      <c r="E186" s="135" t="str">
        <f t="shared" si="2"/>
        <v>SIN ADEUDO</v>
      </c>
    </row>
    <row r="187" spans="2:5" x14ac:dyDescent="0.3">
      <c r="B187" s="135" t="str">
        <f>+'PT1'!B202</f>
        <v>104-004-041</v>
      </c>
      <c r="C187" s="135" t="str">
        <f>+'PT1'!C202</f>
        <v>C1-2107 ISIDORO CHERES</v>
      </c>
      <c r="D187" s="136">
        <f>+'PT1'!D202</f>
        <v>-98504</v>
      </c>
      <c r="E187" s="135" t="str">
        <f t="shared" si="2"/>
        <v>ANTICIPOS</v>
      </c>
    </row>
    <row r="188" spans="2:5" x14ac:dyDescent="0.3">
      <c r="B188" s="135" t="str">
        <f>+'PT1'!B203</f>
        <v>104-004-042</v>
      </c>
      <c r="C188" s="135" t="str">
        <f>+'PT1'!C203</f>
        <v>C1-2108 DANIA DJADDAH</v>
      </c>
      <c r="D188" s="136">
        <f>+'PT1'!D203</f>
        <v>0</v>
      </c>
      <c r="E188" s="135" t="str">
        <f t="shared" si="2"/>
        <v>SIN ADEUDO</v>
      </c>
    </row>
    <row r="189" spans="2:5" x14ac:dyDescent="0.3">
      <c r="B189" s="135" t="str">
        <f>+'PT1'!B204</f>
        <v>104-004-043</v>
      </c>
      <c r="C189" s="135" t="str">
        <f>+'PT1'!C204</f>
        <v>C1-2207 ALBERTO BALAS</v>
      </c>
      <c r="D189" s="136">
        <f>+'PT1'!D204</f>
        <v>0</v>
      </c>
      <c r="E189" s="135" t="str">
        <f t="shared" si="2"/>
        <v>SIN ADEUDO</v>
      </c>
    </row>
    <row r="190" spans="2:5" x14ac:dyDescent="0.3">
      <c r="B190" s="135" t="str">
        <f>+'PT1'!B206</f>
        <v>104-004-045</v>
      </c>
      <c r="C190" s="135" t="str">
        <f>+'PT1'!C206</f>
        <v>C1-2307 MARLEN KABLY</v>
      </c>
      <c r="D190" s="136">
        <f>+'PT1'!D206</f>
        <v>0</v>
      </c>
      <c r="E190" s="135" t="str">
        <f t="shared" si="2"/>
        <v>SIN ADEUDO</v>
      </c>
    </row>
    <row r="191" spans="2:5" x14ac:dyDescent="0.3">
      <c r="B191" s="135" t="str">
        <f>+'PT1'!B208</f>
        <v>104-004-047</v>
      </c>
      <c r="C191" s="135" t="str">
        <f>+'PT1'!C208</f>
        <v>C1-2407 SALOMON AMKIE</v>
      </c>
      <c r="D191" s="136">
        <f>+'PT1'!D208</f>
        <v>1000</v>
      </c>
      <c r="E191" s="135" t="str">
        <f t="shared" si="2"/>
        <v>DEUDA CORRIENTE</v>
      </c>
    </row>
    <row r="192" spans="2:5" x14ac:dyDescent="0.3">
      <c r="B192" s="135" t="str">
        <f>+'PT1'!B209</f>
        <v>104-004-048</v>
      </c>
      <c r="C192" s="135" t="str">
        <f>+'PT1'!C209</f>
        <v>C1-2408 LINDA LATI</v>
      </c>
      <c r="D192" s="136">
        <f>+'PT1'!D209</f>
        <v>3519</v>
      </c>
      <c r="E192" s="135" t="str">
        <f t="shared" si="2"/>
        <v>DEUDA CORRIENTE</v>
      </c>
    </row>
    <row r="193" spans="2:5" x14ac:dyDescent="0.3">
      <c r="B193" s="135" t="str">
        <f>+'PT1'!B210</f>
        <v>104-004-049</v>
      </c>
      <c r="C193" s="135" t="str">
        <f>+'PT1'!C210</f>
        <v>C1-2507 BERNARDO SHTEREMBERG</v>
      </c>
      <c r="D193" s="136">
        <f>+'PT1'!D210</f>
        <v>0</v>
      </c>
      <c r="E193" s="135" t="str">
        <f t="shared" si="2"/>
        <v>SIN ADEUDO</v>
      </c>
    </row>
    <row r="194" spans="2:5" x14ac:dyDescent="0.3">
      <c r="B194" s="135" t="str">
        <f>+'PT1'!B212</f>
        <v>104-004-051</v>
      </c>
      <c r="C194" s="135" t="str">
        <f>+'PT1'!C212</f>
        <v xml:space="preserve">C1-PH07 </v>
      </c>
      <c r="D194" s="136">
        <f>+'PT1'!D212</f>
        <v>0</v>
      </c>
      <c r="E194" s="135" t="str">
        <f t="shared" si="2"/>
        <v>SIN ADEUDO</v>
      </c>
    </row>
    <row r="195" spans="2:5" x14ac:dyDescent="0.3">
      <c r="B195" s="135" t="str">
        <f>+'PT1'!B213</f>
        <v>104-004-052</v>
      </c>
      <c r="C195" s="135" t="str">
        <f>+'PT1'!C213</f>
        <v>C1-PH08 SALOMON ABADI</v>
      </c>
      <c r="D195" s="136">
        <f>+'PT1'!D213</f>
        <v>0</v>
      </c>
      <c r="E195" s="135" t="str">
        <f t="shared" si="2"/>
        <v>SIN ADEUDO</v>
      </c>
    </row>
    <row r="196" spans="2:5" x14ac:dyDescent="0.3">
      <c r="B196" s="135" t="str">
        <f>+'PT1'!B214</f>
        <v>104-005-001</v>
      </c>
      <c r="C196" s="135" t="str">
        <f>+'PT1'!C214</f>
        <v>C2-109 SALOMON BALAS</v>
      </c>
      <c r="D196" s="136">
        <f>+'PT1'!D214</f>
        <v>0</v>
      </c>
      <c r="E196" s="135" t="str">
        <f t="shared" si="2"/>
        <v>SIN ADEUDO</v>
      </c>
    </row>
    <row r="197" spans="2:5" x14ac:dyDescent="0.3">
      <c r="B197" s="135" t="str">
        <f>+'PT1'!B215</f>
        <v>104-005-002</v>
      </c>
      <c r="C197" s="135" t="str">
        <f>+'PT1'!C215</f>
        <v>C2-110 MAURICIO FINKELSTEIN</v>
      </c>
      <c r="D197" s="136">
        <f>+'PT1'!D215</f>
        <v>0</v>
      </c>
      <c r="E197" s="135" t="str">
        <f t="shared" ref="E197:E260" si="3">IF(D197&lt;0,"ANTICIPOS",IF(D197=$J$8,"SIN ADEUDO",IF(D197&lt;=$K$7,"DEUDA CORRIENTE",IF(D197&lt;=$K$6,"MOROSOS",IF(D197&gt;$J$5,"COBRANZA JUDICIAL")))))</f>
        <v>SIN ADEUDO</v>
      </c>
    </row>
    <row r="198" spans="2:5" x14ac:dyDescent="0.3">
      <c r="B198" s="135" t="str">
        <f>+'PT1'!B216</f>
        <v>104-005-003</v>
      </c>
      <c r="C198" s="135" t="str">
        <f>+'PT1'!C216</f>
        <v>C2-209 MIRELE DJADDAH</v>
      </c>
      <c r="D198" s="136">
        <f>+'PT1'!D216</f>
        <v>0</v>
      </c>
      <c r="E198" s="135" t="str">
        <f t="shared" si="3"/>
        <v>SIN ADEUDO</v>
      </c>
    </row>
    <row r="199" spans="2:5" x14ac:dyDescent="0.3">
      <c r="B199" s="135" t="str">
        <f>+'PT1'!B217</f>
        <v>104-005-004</v>
      </c>
      <c r="C199" s="135" t="str">
        <f>+'PT1'!C217</f>
        <v>C2-210 JACOBO CHEJA</v>
      </c>
      <c r="D199" s="136">
        <f>+'PT1'!D217</f>
        <v>0</v>
      </c>
      <c r="E199" s="135" t="str">
        <f t="shared" si="3"/>
        <v>SIN ADEUDO</v>
      </c>
    </row>
    <row r="200" spans="2:5" x14ac:dyDescent="0.3">
      <c r="B200" s="135" t="str">
        <f>+'PT1'!B220</f>
        <v>104-005-007</v>
      </c>
      <c r="C200" s="135" t="str">
        <f>+'PT1'!C220</f>
        <v>C2-409 ASUNCION CASTELAZO</v>
      </c>
      <c r="D200" s="136">
        <f>+'PT1'!D220</f>
        <v>0</v>
      </c>
      <c r="E200" s="135" t="str">
        <f t="shared" si="3"/>
        <v>SIN ADEUDO</v>
      </c>
    </row>
    <row r="201" spans="2:5" x14ac:dyDescent="0.3">
      <c r="B201" s="135" t="str">
        <f>+'PT1'!B221</f>
        <v>104-005-008</v>
      </c>
      <c r="C201" s="135" t="str">
        <f>+'PT1'!C221</f>
        <v>C2-410 LUIS GUILHERME</v>
      </c>
      <c r="D201" s="136">
        <f>+'PT1'!D221</f>
        <v>0</v>
      </c>
      <c r="E201" s="135" t="str">
        <f t="shared" si="3"/>
        <v>SIN ADEUDO</v>
      </c>
    </row>
    <row r="202" spans="2:5" x14ac:dyDescent="0.3">
      <c r="B202" s="135" t="str">
        <f>+'PT1'!B222</f>
        <v>104-005-009</v>
      </c>
      <c r="C202" s="135" t="str">
        <f>+'PT1'!C222</f>
        <v>C2-509 MARCOS TUACHI</v>
      </c>
      <c r="D202" s="136">
        <f>+'PT1'!D222</f>
        <v>0</v>
      </c>
      <c r="E202" s="135" t="str">
        <f t="shared" si="3"/>
        <v>SIN ADEUDO</v>
      </c>
    </row>
    <row r="203" spans="2:5" x14ac:dyDescent="0.3">
      <c r="B203" s="135" t="str">
        <f>+'PT1'!B223</f>
        <v>104-005-010</v>
      </c>
      <c r="C203" s="135" t="str">
        <f>+'PT1'!C223</f>
        <v>C2-510 SARITA AGAMI</v>
      </c>
      <c r="D203" s="136">
        <f>+'PT1'!D223</f>
        <v>0</v>
      </c>
      <c r="E203" s="135" t="str">
        <f t="shared" si="3"/>
        <v>SIN ADEUDO</v>
      </c>
    </row>
    <row r="204" spans="2:5" x14ac:dyDescent="0.3">
      <c r="B204" s="135" t="str">
        <f>+'PT1'!B224</f>
        <v>104-005-011</v>
      </c>
      <c r="C204" s="135" t="str">
        <f>+'PT1'!C224</f>
        <v>C2-609 MAURICIO FINKELSTEIN</v>
      </c>
      <c r="D204" s="136">
        <f>+'PT1'!D224</f>
        <v>0</v>
      </c>
      <c r="E204" s="135" t="str">
        <f t="shared" si="3"/>
        <v>SIN ADEUDO</v>
      </c>
    </row>
    <row r="205" spans="2:5" x14ac:dyDescent="0.3">
      <c r="B205" s="135" t="str">
        <f>+'PT1'!B225</f>
        <v>104-005-012</v>
      </c>
      <c r="C205" s="135" t="str">
        <f>+'PT1'!C225</f>
        <v>C2-610 MARK JERUSALMI</v>
      </c>
      <c r="D205" s="136">
        <f>+'PT1'!D225</f>
        <v>0</v>
      </c>
      <c r="E205" s="135" t="str">
        <f t="shared" si="3"/>
        <v>SIN ADEUDO</v>
      </c>
    </row>
    <row r="206" spans="2:5" x14ac:dyDescent="0.3">
      <c r="B206" s="135" t="str">
        <f>+'PT1'!B226</f>
        <v>104-005-013</v>
      </c>
      <c r="C206" s="135" t="str">
        <f>+'PT1'!C226</f>
        <v>C2-709 JACK GOLDBERG</v>
      </c>
      <c r="D206" s="136">
        <f>+'PT1'!D226</f>
        <v>0</v>
      </c>
      <c r="E206" s="135" t="str">
        <f t="shared" si="3"/>
        <v>SIN ADEUDO</v>
      </c>
    </row>
    <row r="207" spans="2:5" x14ac:dyDescent="0.3">
      <c r="B207" s="135" t="str">
        <f>+'PT1'!B227</f>
        <v>104-005-014</v>
      </c>
      <c r="C207" s="135" t="str">
        <f>+'PT1'!C227</f>
        <v>C2-710 MAURICIO COHEN</v>
      </c>
      <c r="D207" s="136">
        <f>+'PT1'!D227</f>
        <v>0</v>
      </c>
      <c r="E207" s="135" t="str">
        <f t="shared" si="3"/>
        <v>SIN ADEUDO</v>
      </c>
    </row>
    <row r="208" spans="2:5" x14ac:dyDescent="0.3">
      <c r="B208" s="135" t="str">
        <f>+'PT1'!B228</f>
        <v>104-005-015</v>
      </c>
      <c r="C208" s="135" t="str">
        <f>+'PT1'!C228</f>
        <v>C2-809 ESTHER CALTUM</v>
      </c>
      <c r="D208" s="136">
        <f>+'PT1'!D228</f>
        <v>300</v>
      </c>
      <c r="E208" s="135" t="str">
        <f t="shared" si="3"/>
        <v>DEUDA CORRIENTE</v>
      </c>
    </row>
    <row r="209" spans="2:5" x14ac:dyDescent="0.3">
      <c r="B209" s="135" t="str">
        <f>+'PT1'!B229</f>
        <v>104-005-016</v>
      </c>
      <c r="C209" s="135" t="str">
        <f>+'PT1'!C229</f>
        <v>C2-810 SONIA FUX</v>
      </c>
      <c r="D209" s="136">
        <f>+'PT1'!D229</f>
        <v>0</v>
      </c>
      <c r="E209" s="135" t="str">
        <f t="shared" si="3"/>
        <v>SIN ADEUDO</v>
      </c>
    </row>
    <row r="210" spans="2:5" x14ac:dyDescent="0.3">
      <c r="B210" s="135" t="str">
        <f>+'PT1'!B230</f>
        <v>104-005-017</v>
      </c>
      <c r="C210" s="135" t="str">
        <f>+'PT1'!C230</f>
        <v>C2-909 ARIELA ZAIDMAN</v>
      </c>
      <c r="D210" s="136">
        <f>+'PT1'!D230</f>
        <v>-12694</v>
      </c>
      <c r="E210" s="135" t="str">
        <f t="shared" si="3"/>
        <v>ANTICIPOS</v>
      </c>
    </row>
    <row r="211" spans="2:5" x14ac:dyDescent="0.3">
      <c r="B211" s="135" t="str">
        <f>+'PT1'!B231</f>
        <v>104-005-018</v>
      </c>
      <c r="C211" s="135" t="str">
        <f>+'PT1'!C231</f>
        <v>C2-910 ALBERTO KABLY</v>
      </c>
      <c r="D211" s="136">
        <f>+'PT1'!D231</f>
        <v>0</v>
      </c>
      <c r="E211" s="135" t="str">
        <f t="shared" si="3"/>
        <v>SIN ADEUDO</v>
      </c>
    </row>
    <row r="212" spans="2:5" x14ac:dyDescent="0.3">
      <c r="B212" s="135" t="str">
        <f>+'PT1'!B232</f>
        <v>104-005-019</v>
      </c>
      <c r="C212" s="135" t="str">
        <f>+'PT1'!C232</f>
        <v>C2-1009 JONATHAN SALTIEL</v>
      </c>
      <c r="D212" s="136">
        <f>+'PT1'!D232</f>
        <v>0</v>
      </c>
      <c r="E212" s="135" t="str">
        <f t="shared" si="3"/>
        <v>SIN ADEUDO</v>
      </c>
    </row>
    <row r="213" spans="2:5" x14ac:dyDescent="0.3">
      <c r="B213" s="135" t="str">
        <f>+'PT1'!B233</f>
        <v>104-005-020</v>
      </c>
      <c r="C213" s="135" t="str">
        <f>+'PT1'!C233</f>
        <v>C2-1010 JOSE BEJAR</v>
      </c>
      <c r="D213" s="136">
        <f>+'PT1'!D233</f>
        <v>0</v>
      </c>
      <c r="E213" s="135" t="str">
        <f t="shared" si="3"/>
        <v>SIN ADEUDO</v>
      </c>
    </row>
    <row r="214" spans="2:5" x14ac:dyDescent="0.3">
      <c r="B214" s="135" t="str">
        <f>+'PT1'!B234</f>
        <v>104-005-021</v>
      </c>
      <c r="C214" s="135" t="str">
        <f>+'PT1'!C234</f>
        <v>C2-1109 RAQUELITA DUEK</v>
      </c>
      <c r="D214" s="136">
        <f>+'PT1'!D234</f>
        <v>-12694</v>
      </c>
      <c r="E214" s="135" t="str">
        <f t="shared" si="3"/>
        <v>ANTICIPOS</v>
      </c>
    </row>
    <row r="215" spans="2:5" x14ac:dyDescent="0.3">
      <c r="B215" s="135" t="str">
        <f>+'PT1'!B235</f>
        <v>104-005-022</v>
      </c>
      <c r="C215" s="135" t="str">
        <f>+'PT1'!C235</f>
        <v>C2-1110 FEDERICO PENHAS</v>
      </c>
      <c r="D215" s="136">
        <f>+'PT1'!D235</f>
        <v>500</v>
      </c>
      <c r="E215" s="135" t="str">
        <f t="shared" si="3"/>
        <v>DEUDA CORRIENTE</v>
      </c>
    </row>
    <row r="216" spans="2:5" x14ac:dyDescent="0.3">
      <c r="B216" s="135" t="str">
        <f>+'PT1'!B236</f>
        <v>104-005-023</v>
      </c>
      <c r="C216" s="135" t="str">
        <f>+'PT1'!C236</f>
        <v>C2-1209 SHELLY SEVILLA</v>
      </c>
      <c r="D216" s="136">
        <f>+'PT1'!D236</f>
        <v>0</v>
      </c>
      <c r="E216" s="135" t="str">
        <f t="shared" si="3"/>
        <v>SIN ADEUDO</v>
      </c>
    </row>
    <row r="217" spans="2:5" x14ac:dyDescent="0.3">
      <c r="B217" s="135" t="str">
        <f>+'PT1'!B237</f>
        <v>104-005-024</v>
      </c>
      <c r="C217" s="135" t="str">
        <f>+'PT1'!C237</f>
        <v>C2-1210 JOSE JAFIF</v>
      </c>
      <c r="D217" s="136">
        <f>+'PT1'!D237</f>
        <v>-38082</v>
      </c>
      <c r="E217" s="135" t="str">
        <f t="shared" si="3"/>
        <v>ANTICIPOS</v>
      </c>
    </row>
    <row r="218" spans="2:5" x14ac:dyDescent="0.3">
      <c r="B218" s="135" t="str">
        <f>+'PT1'!B239</f>
        <v>104-005-026</v>
      </c>
      <c r="C218" s="135" t="str">
        <f>+'PT1'!C239</f>
        <v>C2-1310 VICTOR COHEN</v>
      </c>
      <c r="D218" s="136">
        <f>+'PT1'!D239</f>
        <v>0</v>
      </c>
      <c r="E218" s="135" t="str">
        <f t="shared" si="3"/>
        <v>SIN ADEUDO</v>
      </c>
    </row>
    <row r="219" spans="2:5" x14ac:dyDescent="0.3">
      <c r="B219" s="135" t="str">
        <f>+'PT1'!B240</f>
        <v>104-005-027</v>
      </c>
      <c r="C219" s="135" t="str">
        <f>+'PT1'!C240</f>
        <v>C2-1409 SANTIAGO GONZALES</v>
      </c>
      <c r="D219" s="136">
        <f>+'PT1'!D240</f>
        <v>0</v>
      </c>
      <c r="E219" s="135" t="str">
        <f t="shared" si="3"/>
        <v>SIN ADEUDO</v>
      </c>
    </row>
    <row r="220" spans="2:5" x14ac:dyDescent="0.3">
      <c r="B220" s="135" t="str">
        <f>+'PT1'!B242</f>
        <v>104-005-029</v>
      </c>
      <c r="C220" s="135" t="str">
        <f>+'PT1'!C242</f>
        <v>C2-1509 MARCOS ZAGA</v>
      </c>
      <c r="D220" s="136">
        <f>+'PT1'!D242</f>
        <v>0</v>
      </c>
      <c r="E220" s="135" t="str">
        <f t="shared" si="3"/>
        <v>SIN ADEUDO</v>
      </c>
    </row>
    <row r="221" spans="2:5" x14ac:dyDescent="0.3">
      <c r="B221" s="135" t="str">
        <f>+'PT1'!B243</f>
        <v>104-005-030</v>
      </c>
      <c r="C221" s="135" t="str">
        <f>+'PT1'!C243</f>
        <v>C2-1510 ANA BARBA</v>
      </c>
      <c r="D221" s="136">
        <f>+'PT1'!D243</f>
        <v>0</v>
      </c>
      <c r="E221" s="135" t="str">
        <f t="shared" si="3"/>
        <v>SIN ADEUDO</v>
      </c>
    </row>
    <row r="222" spans="2:5" x14ac:dyDescent="0.3">
      <c r="B222" s="135" t="str">
        <f>+'PT1'!B244</f>
        <v>104-005-031</v>
      </c>
      <c r="C222" s="135" t="str">
        <f>+'PT1'!C244</f>
        <v>C2-1609 DANIA DJJADDAH</v>
      </c>
      <c r="D222" s="136">
        <f>+'PT1'!D244</f>
        <v>0</v>
      </c>
      <c r="E222" s="135" t="str">
        <f t="shared" si="3"/>
        <v>SIN ADEUDO</v>
      </c>
    </row>
    <row r="223" spans="2:5" x14ac:dyDescent="0.3">
      <c r="B223" s="135" t="str">
        <f>+'PT1'!B246</f>
        <v>104-005-033</v>
      </c>
      <c r="C223" s="135" t="str">
        <f>+'PT1'!C246</f>
        <v>C2-1709 JOSE CAIN</v>
      </c>
      <c r="D223" s="136">
        <f>+'PT1'!D246</f>
        <v>0</v>
      </c>
      <c r="E223" s="135" t="str">
        <f t="shared" si="3"/>
        <v>SIN ADEUDO</v>
      </c>
    </row>
    <row r="224" spans="2:5" x14ac:dyDescent="0.3">
      <c r="B224" s="135" t="str">
        <f>+'PT1'!B247</f>
        <v>104-005-034</v>
      </c>
      <c r="C224" s="135" t="str">
        <f>+'PT1'!C247</f>
        <v>C2-1710 JOE SITT</v>
      </c>
      <c r="D224" s="136">
        <f>+'PT1'!D247</f>
        <v>0</v>
      </c>
      <c r="E224" s="135" t="str">
        <f t="shared" si="3"/>
        <v>SIN ADEUDO</v>
      </c>
    </row>
    <row r="225" spans="2:5" x14ac:dyDescent="0.3">
      <c r="B225" s="135" t="str">
        <f>+'PT1'!B249</f>
        <v>104-005-036</v>
      </c>
      <c r="C225" s="135" t="str">
        <f>+'PT1'!C249</f>
        <v>C2-1810 JACOBO CHEREM A</v>
      </c>
      <c r="D225" s="136">
        <f>+'PT1'!D249</f>
        <v>0</v>
      </c>
      <c r="E225" s="135" t="str">
        <f t="shared" si="3"/>
        <v>SIN ADEUDO</v>
      </c>
    </row>
    <row r="226" spans="2:5" x14ac:dyDescent="0.3">
      <c r="B226" s="135" t="str">
        <f>+'PT1'!B250</f>
        <v>104-005-037</v>
      </c>
      <c r="C226" s="135" t="str">
        <f>+'PT1'!C250</f>
        <v>C2-1909 EDUARDO CHEREM</v>
      </c>
      <c r="D226" s="136">
        <f>+'PT1'!D250</f>
        <v>0</v>
      </c>
      <c r="E226" s="135" t="str">
        <f t="shared" si="3"/>
        <v>SIN ADEUDO</v>
      </c>
    </row>
    <row r="227" spans="2:5" x14ac:dyDescent="0.3">
      <c r="B227" s="135" t="str">
        <f>+'PT1'!B251</f>
        <v>104-005-038</v>
      </c>
      <c r="C227" s="135" t="str">
        <f>+'PT1'!C251</f>
        <v>C2-1910 BENJAMIN FARCA</v>
      </c>
      <c r="D227" s="136">
        <f>+'PT1'!D251</f>
        <v>0</v>
      </c>
      <c r="E227" s="135" t="str">
        <f t="shared" si="3"/>
        <v>SIN ADEUDO</v>
      </c>
    </row>
    <row r="228" spans="2:5" x14ac:dyDescent="0.3">
      <c r="B228" s="135" t="str">
        <f>+'PT1'!B252</f>
        <v>104-005-039</v>
      </c>
      <c r="C228" s="135" t="str">
        <f>+'PT1'!C252</f>
        <v>C2-2009 POLA CALTUM</v>
      </c>
      <c r="D228" s="136">
        <f>+'PT1'!D252</f>
        <v>0</v>
      </c>
      <c r="E228" s="135" t="str">
        <f t="shared" si="3"/>
        <v>SIN ADEUDO</v>
      </c>
    </row>
    <row r="229" spans="2:5" x14ac:dyDescent="0.3">
      <c r="B229" s="135" t="str">
        <f>+'PT1'!B253</f>
        <v>104-005-040</v>
      </c>
      <c r="C229" s="135" t="str">
        <f>+'PT1'!C253</f>
        <v>C2-2010 CUSPIDE INDUSTRIAL CONST</v>
      </c>
      <c r="D229" s="136">
        <f>+'PT1'!D253</f>
        <v>600</v>
      </c>
      <c r="E229" s="135" t="str">
        <f t="shared" si="3"/>
        <v>DEUDA CORRIENTE</v>
      </c>
    </row>
    <row r="230" spans="2:5" x14ac:dyDescent="0.3">
      <c r="B230" s="135" t="str">
        <f>+'PT1'!B255</f>
        <v>104-005-042</v>
      </c>
      <c r="C230" s="135" t="str">
        <f>+'PT1'!C255</f>
        <v>C2-2110 SUSANA CATARIVAS</v>
      </c>
      <c r="D230" s="136">
        <f>+'PT1'!D255</f>
        <v>0</v>
      </c>
      <c r="E230" s="135" t="str">
        <f t="shared" si="3"/>
        <v>SIN ADEUDO</v>
      </c>
    </row>
    <row r="231" spans="2:5" x14ac:dyDescent="0.3">
      <c r="B231" s="135" t="str">
        <f>+'PT1'!B257</f>
        <v>104-005-044</v>
      </c>
      <c r="C231" s="135" t="str">
        <f>+'PT1'!C257</f>
        <v>C2-2210 AARON MASRI</v>
      </c>
      <c r="D231" s="136">
        <f>+'PT1'!D257</f>
        <v>0</v>
      </c>
      <c r="E231" s="135" t="str">
        <f t="shared" si="3"/>
        <v>SIN ADEUDO</v>
      </c>
    </row>
    <row r="232" spans="2:5" x14ac:dyDescent="0.3">
      <c r="B232" s="135" t="str">
        <f>+'PT1'!B258</f>
        <v>104-005-045</v>
      </c>
      <c r="C232" s="135" t="str">
        <f>+'PT1'!C258</f>
        <v>C2-2309 ISAAC ADES</v>
      </c>
      <c r="D232" s="136">
        <f>+'PT1'!D258</f>
        <v>0</v>
      </c>
      <c r="E232" s="135" t="str">
        <f t="shared" si="3"/>
        <v>SIN ADEUDO</v>
      </c>
    </row>
    <row r="233" spans="2:5" x14ac:dyDescent="0.3">
      <c r="B233" s="135" t="str">
        <f>+'PT1'!B259</f>
        <v>104-005-046</v>
      </c>
      <c r="C233" s="135" t="str">
        <f>+'PT1'!C259</f>
        <v>C2-2310 ISAAC JAFIF</v>
      </c>
      <c r="D233" s="136">
        <f>+'PT1'!D259</f>
        <v>0</v>
      </c>
      <c r="E233" s="135" t="str">
        <f t="shared" si="3"/>
        <v>SIN ADEUDO</v>
      </c>
    </row>
    <row r="234" spans="2:5" x14ac:dyDescent="0.3">
      <c r="B234" s="135" t="str">
        <f>+'PT1'!B262</f>
        <v>104-005-049</v>
      </c>
      <c r="C234" s="135" t="str">
        <f>+'PT1'!C262</f>
        <v>C2-2509 ELIAS ZAGA</v>
      </c>
      <c r="D234" s="136">
        <f>+'PT1'!D262</f>
        <v>0</v>
      </c>
      <c r="E234" s="135" t="str">
        <f t="shared" si="3"/>
        <v>SIN ADEUDO</v>
      </c>
    </row>
    <row r="235" spans="2:5" x14ac:dyDescent="0.3">
      <c r="B235" s="135" t="str">
        <f>+'PT1'!B263</f>
        <v>104-005-050</v>
      </c>
      <c r="C235" s="135" t="str">
        <f>+'PT1'!C263</f>
        <v>C2-2510 ALLAN LEVY</v>
      </c>
      <c r="D235" s="136">
        <f>+'PT1'!D263</f>
        <v>0</v>
      </c>
      <c r="E235" s="135" t="str">
        <f t="shared" si="3"/>
        <v>SIN ADEUDO</v>
      </c>
    </row>
    <row r="236" spans="2:5" x14ac:dyDescent="0.3">
      <c r="B236" s="135" t="str">
        <f>+'PT1'!B264</f>
        <v>104-005-051</v>
      </c>
      <c r="C236" s="135" t="str">
        <f>+'PT1'!C264</f>
        <v>C2-PH09 JUAN SAN MILLAN</v>
      </c>
      <c r="D236" s="136">
        <f>+'PT1'!D264</f>
        <v>0</v>
      </c>
      <c r="E236" s="135" t="str">
        <f t="shared" si="3"/>
        <v>SIN ADEUDO</v>
      </c>
    </row>
    <row r="237" spans="2:5" x14ac:dyDescent="0.3">
      <c r="B237" s="135" t="str">
        <f>+'PT1'!B265</f>
        <v>104-005-052</v>
      </c>
      <c r="C237" s="135" t="str">
        <f>+'PT1'!C265</f>
        <v>C2-PH10 JEMILE RAYEK</v>
      </c>
      <c r="D237" s="136">
        <f>+'PT1'!D265</f>
        <v>-12694</v>
      </c>
      <c r="E237" s="135" t="str">
        <f t="shared" si="3"/>
        <v>ANTICIPOS</v>
      </c>
    </row>
    <row r="238" spans="2:5" x14ac:dyDescent="0.3">
      <c r="B238" s="135" t="str">
        <f>+'PT1'!B266</f>
        <v>104-006-001</v>
      </c>
      <c r="C238" s="135" t="str">
        <f>+'PT1'!C266</f>
        <v>C3-111 EMILIA COHEN</v>
      </c>
      <c r="D238" s="136">
        <f>+'PT1'!D266</f>
        <v>300</v>
      </c>
      <c r="E238" s="135" t="str">
        <f t="shared" si="3"/>
        <v>DEUDA CORRIENTE</v>
      </c>
    </row>
    <row r="239" spans="2:5" x14ac:dyDescent="0.3">
      <c r="B239" s="135" t="str">
        <f>+'PT1'!B267</f>
        <v>104-006-002</v>
      </c>
      <c r="C239" s="135" t="str">
        <f>+'PT1'!C267</f>
        <v>C3-112 YOLANDA PRZYSZWA</v>
      </c>
      <c r="D239" s="136">
        <f>+'PT1'!D267</f>
        <v>0</v>
      </c>
      <c r="E239" s="135" t="str">
        <f t="shared" si="3"/>
        <v>SIN ADEUDO</v>
      </c>
    </row>
    <row r="240" spans="2:5" x14ac:dyDescent="0.3">
      <c r="B240" s="135" t="str">
        <f>+'PT1'!B270</f>
        <v>104-006-005</v>
      </c>
      <c r="C240" s="135" t="str">
        <f>+'PT1'!C270</f>
        <v>C3-311 LOURDES REVILLA</v>
      </c>
      <c r="D240" s="136">
        <f>+'PT1'!D270</f>
        <v>-98503.999999999971</v>
      </c>
      <c r="E240" s="135" t="str">
        <f t="shared" si="3"/>
        <v>ANTICIPOS</v>
      </c>
    </row>
    <row r="241" spans="2:5" x14ac:dyDescent="0.3">
      <c r="B241" s="135" t="str">
        <f>+'PT1'!B271</f>
        <v>104-006-006</v>
      </c>
      <c r="C241" s="135" t="str">
        <f>+'PT1'!C271</f>
        <v>C3-312 DAVID GUAKIL</v>
      </c>
      <c r="D241" s="136">
        <f>+'PT1'!D271</f>
        <v>-12694</v>
      </c>
      <c r="E241" s="135" t="str">
        <f t="shared" si="3"/>
        <v>ANTICIPOS</v>
      </c>
    </row>
    <row r="242" spans="2:5" x14ac:dyDescent="0.3">
      <c r="B242" s="135" t="str">
        <f>+'PT1'!B272</f>
        <v>104-006-007</v>
      </c>
      <c r="C242" s="135" t="str">
        <f>+'PT1'!C272</f>
        <v>C3-411 DANIEL NACACH</v>
      </c>
      <c r="D242" s="136">
        <f>+'PT1'!D272</f>
        <v>0</v>
      </c>
      <c r="E242" s="135" t="str">
        <f t="shared" si="3"/>
        <v>SIN ADEUDO</v>
      </c>
    </row>
    <row r="243" spans="2:5" x14ac:dyDescent="0.3">
      <c r="B243" s="135" t="str">
        <f>+'PT1'!B273</f>
        <v>104-006-008</v>
      </c>
      <c r="C243" s="135" t="str">
        <f>+'PT1'!C273</f>
        <v>C3-412 ERIKA RAYNAL</v>
      </c>
      <c r="D243" s="136">
        <f>+'PT1'!D273</f>
        <v>-200</v>
      </c>
      <c r="E243" s="135" t="str">
        <f t="shared" si="3"/>
        <v>ANTICIPOS</v>
      </c>
    </row>
    <row r="244" spans="2:5" x14ac:dyDescent="0.3">
      <c r="B244" s="135" t="str">
        <f>+'PT1'!B274</f>
        <v>104-006-009</v>
      </c>
      <c r="C244" s="135" t="str">
        <f>+'PT1'!C274</f>
        <v>C3-511 BENJAMIN CHEREM T</v>
      </c>
      <c r="D244" s="136">
        <f>+'PT1'!D274</f>
        <v>-12694</v>
      </c>
      <c r="E244" s="135" t="str">
        <f t="shared" si="3"/>
        <v>ANTICIPOS</v>
      </c>
    </row>
    <row r="245" spans="2:5" x14ac:dyDescent="0.3">
      <c r="B245" s="135" t="str">
        <f>+'PT1'!B276</f>
        <v>104-006-011</v>
      </c>
      <c r="C245" s="135" t="str">
        <f>+'PT1'!C276</f>
        <v>C3-611 JOSE CAIN</v>
      </c>
      <c r="D245" s="136">
        <f>+'PT1'!D276</f>
        <v>0</v>
      </c>
      <c r="E245" s="135" t="str">
        <f t="shared" si="3"/>
        <v>SIN ADEUDO</v>
      </c>
    </row>
    <row r="246" spans="2:5" x14ac:dyDescent="0.3">
      <c r="B246" s="135" t="str">
        <f>+'PT1'!B278</f>
        <v>104-006-013</v>
      </c>
      <c r="C246" s="135" t="str">
        <f>+'PT1'!C278</f>
        <v>C3-711 RONY JERUSALMI</v>
      </c>
      <c r="D246" s="136">
        <f>+'PT1'!D278</f>
        <v>0</v>
      </c>
      <c r="E246" s="135" t="str">
        <f t="shared" si="3"/>
        <v>SIN ADEUDO</v>
      </c>
    </row>
    <row r="247" spans="2:5" x14ac:dyDescent="0.3">
      <c r="B247" s="135" t="str">
        <f>+'PT1'!B280</f>
        <v>104-006-015</v>
      </c>
      <c r="C247" s="135" t="str">
        <f>+'PT1'!C280</f>
        <v>C3-811 ELIAS TUACHI</v>
      </c>
      <c r="D247" s="136">
        <f>+'PT1'!D280</f>
        <v>0</v>
      </c>
      <c r="E247" s="135" t="str">
        <f t="shared" si="3"/>
        <v>SIN ADEUDO</v>
      </c>
    </row>
    <row r="248" spans="2:5" x14ac:dyDescent="0.3">
      <c r="B248" s="135" t="str">
        <f>+'PT1'!B281</f>
        <v>104-006-016</v>
      </c>
      <c r="C248" s="135" t="str">
        <f>+'PT1'!C281</f>
        <v>C3-812 SALOMON CASSAB</v>
      </c>
      <c r="D248" s="136">
        <f>+'PT1'!D281</f>
        <v>-98504</v>
      </c>
      <c r="E248" s="135" t="str">
        <f t="shared" si="3"/>
        <v>ANTICIPOS</v>
      </c>
    </row>
    <row r="249" spans="2:5" x14ac:dyDescent="0.3">
      <c r="B249" s="135" t="str">
        <f>+'PT1'!B282</f>
        <v>104-006-017</v>
      </c>
      <c r="C249" s="135" t="str">
        <f>+'PT1'!C282</f>
        <v>C3-911 KAREN TURQUIE</v>
      </c>
      <c r="D249" s="136">
        <f>+'PT1'!D282</f>
        <v>-12694</v>
      </c>
      <c r="E249" s="135" t="str">
        <f t="shared" si="3"/>
        <v>ANTICIPOS</v>
      </c>
    </row>
    <row r="250" spans="2:5" x14ac:dyDescent="0.3">
      <c r="B250" s="135" t="str">
        <f>+'PT1'!B283</f>
        <v>104-006-018</v>
      </c>
      <c r="C250" s="135" t="str">
        <f>+'PT1'!C283</f>
        <v>C3-912 ALBERTO ALVO</v>
      </c>
      <c r="D250" s="136">
        <f>+'PT1'!D283</f>
        <v>0</v>
      </c>
      <c r="E250" s="135" t="str">
        <f t="shared" si="3"/>
        <v>SIN ADEUDO</v>
      </c>
    </row>
    <row r="251" spans="2:5" x14ac:dyDescent="0.3">
      <c r="B251" s="135" t="str">
        <f>+'PT1'!B284</f>
        <v>104-006-019</v>
      </c>
      <c r="C251" s="135" t="str">
        <f>+'PT1'!C284</f>
        <v>C3-1011 DALIA GUTIERREZ</v>
      </c>
      <c r="D251" s="136">
        <f>+'PT1'!D284</f>
        <v>0</v>
      </c>
      <c r="E251" s="135" t="str">
        <f t="shared" si="3"/>
        <v>SIN ADEUDO</v>
      </c>
    </row>
    <row r="252" spans="2:5" x14ac:dyDescent="0.3">
      <c r="B252" s="135" t="str">
        <f>+'PT1'!B285</f>
        <v>104-006-020</v>
      </c>
      <c r="C252" s="135" t="str">
        <f>+'PT1'!C285</f>
        <v>C3-1012 DAVID COHEN</v>
      </c>
      <c r="D252" s="136">
        <f>+'PT1'!D285</f>
        <v>0</v>
      </c>
      <c r="E252" s="135" t="str">
        <f t="shared" si="3"/>
        <v>SIN ADEUDO</v>
      </c>
    </row>
    <row r="253" spans="2:5" x14ac:dyDescent="0.3">
      <c r="B253" s="135" t="str">
        <f>+'PT1'!B286</f>
        <v>104-006-021</v>
      </c>
      <c r="C253" s="135" t="str">
        <f>+'PT1'!C286</f>
        <v>C3-1111 ESTHER ROMANO</v>
      </c>
      <c r="D253" s="136">
        <f>+'PT1'!D286</f>
        <v>27956</v>
      </c>
      <c r="E253" s="135" t="str">
        <f t="shared" si="3"/>
        <v>MOROSOS</v>
      </c>
    </row>
    <row r="254" spans="2:5" x14ac:dyDescent="0.3">
      <c r="B254" s="135" t="str">
        <f>+'PT1'!B287</f>
        <v>104-006-022</v>
      </c>
      <c r="C254" s="135" t="str">
        <f>+'PT1'!C287</f>
        <v xml:space="preserve">C3-1112 JOSE METTA </v>
      </c>
      <c r="D254" s="136">
        <f>+'PT1'!D287</f>
        <v>0</v>
      </c>
      <c r="E254" s="135" t="str">
        <f t="shared" si="3"/>
        <v>SIN ADEUDO</v>
      </c>
    </row>
    <row r="255" spans="2:5" x14ac:dyDescent="0.3">
      <c r="B255" s="135" t="str">
        <f>+'PT1'!B288</f>
        <v>104-006-023</v>
      </c>
      <c r="C255" s="135" t="str">
        <f>+'PT1'!C288</f>
        <v>C3-1211 TERESA ENTEBI</v>
      </c>
      <c r="D255" s="136">
        <f>+'PT1'!D288</f>
        <v>0</v>
      </c>
      <c r="E255" s="135" t="str">
        <f t="shared" si="3"/>
        <v>SIN ADEUDO</v>
      </c>
    </row>
    <row r="256" spans="2:5" x14ac:dyDescent="0.3">
      <c r="B256" s="135" t="str">
        <f>+'PT1'!B290</f>
        <v>104-006-025</v>
      </c>
      <c r="C256" s="135" t="str">
        <f>+'PT1'!C290</f>
        <v>C3-1311 ESTHER GALANTE</v>
      </c>
      <c r="D256" s="136">
        <f>+'PT1'!D290</f>
        <v>0</v>
      </c>
      <c r="E256" s="135" t="str">
        <f t="shared" si="3"/>
        <v>SIN ADEUDO</v>
      </c>
    </row>
    <row r="257" spans="2:5" x14ac:dyDescent="0.3">
      <c r="B257" s="135" t="str">
        <f>+'PT1'!B291</f>
        <v>104-006-026</v>
      </c>
      <c r="C257" s="135" t="str">
        <f>+'PT1'!C291</f>
        <v>C3-1312 RAYMOND ZETUNE</v>
      </c>
      <c r="D257" s="136">
        <f>+'PT1'!D291</f>
        <v>0</v>
      </c>
      <c r="E257" s="135" t="str">
        <f t="shared" si="3"/>
        <v>SIN ADEUDO</v>
      </c>
    </row>
    <row r="258" spans="2:5" x14ac:dyDescent="0.3">
      <c r="B258" s="135" t="str">
        <f>+'PT1'!B292</f>
        <v>104-006-027</v>
      </c>
      <c r="C258" s="135" t="str">
        <f>+'PT1'!C292</f>
        <v>C3-1411 MARIA REYES</v>
      </c>
      <c r="D258" s="136">
        <f>+'PT1'!D292</f>
        <v>-12694</v>
      </c>
      <c r="E258" s="135" t="str">
        <f t="shared" si="3"/>
        <v>ANTICIPOS</v>
      </c>
    </row>
    <row r="259" spans="2:5" x14ac:dyDescent="0.3">
      <c r="B259" s="135" t="str">
        <f>+'PT1'!B293</f>
        <v>104-006-028</v>
      </c>
      <c r="C259" s="135" t="str">
        <f>+'PT1'!C293</f>
        <v>C3-1412 GABRIEL TUACHI</v>
      </c>
      <c r="D259" s="136">
        <f>+'PT1'!D293</f>
        <v>0</v>
      </c>
      <c r="E259" s="135" t="str">
        <f t="shared" si="3"/>
        <v>SIN ADEUDO</v>
      </c>
    </row>
    <row r="260" spans="2:5" x14ac:dyDescent="0.3">
      <c r="B260" s="135" t="str">
        <f>+'PT1'!B294</f>
        <v>104-006-029</v>
      </c>
      <c r="C260" s="135" t="str">
        <f>+'PT1'!C294</f>
        <v>C3-1511 LAURA VALDES</v>
      </c>
      <c r="D260" s="136">
        <f>+'PT1'!D294</f>
        <v>-25388</v>
      </c>
      <c r="E260" s="135" t="str">
        <f t="shared" si="3"/>
        <v>ANTICIPOS</v>
      </c>
    </row>
    <row r="261" spans="2:5" x14ac:dyDescent="0.3">
      <c r="B261" s="135" t="str">
        <f>+'PT1'!B295</f>
        <v>104-006-030</v>
      </c>
      <c r="C261" s="135" t="str">
        <f>+'PT1'!C295</f>
        <v>C3-1512 RODRIGO LAMBRE</v>
      </c>
      <c r="D261" s="136">
        <f>+'PT1'!D295</f>
        <v>0</v>
      </c>
      <c r="E261" s="135" t="str">
        <f t="shared" ref="E261:E317" si="4">IF(D261&lt;0,"ANTICIPOS",IF(D261=$J$8,"SIN ADEUDO",IF(D261&lt;=$K$7,"DEUDA CORRIENTE",IF(D261&lt;=$K$6,"MOROSOS",IF(D261&gt;$J$5,"COBRANZA JUDICIAL")))))</f>
        <v>SIN ADEUDO</v>
      </c>
    </row>
    <row r="262" spans="2:5" x14ac:dyDescent="0.3">
      <c r="B262" s="135" t="str">
        <f>+'PT1'!B296</f>
        <v>104-006-031</v>
      </c>
      <c r="C262" s="135" t="str">
        <f>+'PT1'!C296</f>
        <v>C3-1611 ESTHER HARARI ACHAR DE CHEREM</v>
      </c>
      <c r="D262" s="136">
        <f>+'PT1'!D296</f>
        <v>0</v>
      </c>
      <c r="E262" s="135" t="str">
        <f t="shared" si="4"/>
        <v>SIN ADEUDO</v>
      </c>
    </row>
    <row r="263" spans="2:5" x14ac:dyDescent="0.3">
      <c r="B263" s="135" t="str">
        <f>+'PT1'!B298</f>
        <v>104-006-033</v>
      </c>
      <c r="C263" s="135" t="str">
        <f>+'PT1'!C298</f>
        <v>C3-1711 EDITH OURFALI</v>
      </c>
      <c r="D263" s="136">
        <f>+'PT1'!D298</f>
        <v>0</v>
      </c>
      <c r="E263" s="135" t="str">
        <f t="shared" si="4"/>
        <v>SIN ADEUDO</v>
      </c>
    </row>
    <row r="264" spans="2:5" x14ac:dyDescent="0.3">
      <c r="B264" s="135" t="str">
        <f>+'PT1'!B300</f>
        <v>104-006-035</v>
      </c>
      <c r="C264" s="135" t="str">
        <f>+'PT1'!C300</f>
        <v>C3-1811 BENJAMIN CHEREM T</v>
      </c>
      <c r="D264" s="136">
        <f>+'PT1'!D300</f>
        <v>-12694</v>
      </c>
      <c r="E264" s="135" t="str">
        <f t="shared" si="4"/>
        <v>ANTICIPOS</v>
      </c>
    </row>
    <row r="265" spans="2:5" x14ac:dyDescent="0.3">
      <c r="B265" s="135" t="str">
        <f>+'PT1'!B301</f>
        <v>104-006-036</v>
      </c>
      <c r="C265" s="135" t="str">
        <f>+'PT1'!C301</f>
        <v>C3-1812 DALIA CASPI</v>
      </c>
      <c r="D265" s="136">
        <f>+'PT1'!D301</f>
        <v>0</v>
      </c>
      <c r="E265" s="135" t="str">
        <f t="shared" si="4"/>
        <v>SIN ADEUDO</v>
      </c>
    </row>
    <row r="266" spans="2:5" x14ac:dyDescent="0.3">
      <c r="B266" s="135" t="str">
        <f>+'PT1'!B302</f>
        <v>104-006-037</v>
      </c>
      <c r="C266" s="135" t="str">
        <f>+'PT1'!C302</f>
        <v>C3-1911 BENJAMIN ZONANA</v>
      </c>
      <c r="D266" s="136">
        <f>+'PT1'!D302</f>
        <v>-12694</v>
      </c>
      <c r="E266" s="135" t="str">
        <f t="shared" si="4"/>
        <v>ANTICIPOS</v>
      </c>
    </row>
    <row r="267" spans="2:5" x14ac:dyDescent="0.3">
      <c r="B267" s="135" t="str">
        <f>+'PT1'!B303</f>
        <v>104-006-038</v>
      </c>
      <c r="C267" s="135" t="str">
        <f>+'PT1'!C303</f>
        <v xml:space="preserve">C3-1912 JACOBO CHEREM A </v>
      </c>
      <c r="D267" s="136">
        <f>+'PT1'!D303</f>
        <v>0</v>
      </c>
      <c r="E267" s="135" t="str">
        <f t="shared" si="4"/>
        <v>SIN ADEUDO</v>
      </c>
    </row>
    <row r="268" spans="2:5" x14ac:dyDescent="0.3">
      <c r="B268" s="135" t="str">
        <f>+'PT1'!B306</f>
        <v>104-006-041</v>
      </c>
      <c r="C268" s="135" t="str">
        <f>+'PT1'!C306</f>
        <v>C3-2111 JACOBO LEVY</v>
      </c>
      <c r="D268" s="136">
        <f>+'PT1'!D306</f>
        <v>0</v>
      </c>
      <c r="E268" s="135" t="str">
        <f t="shared" si="4"/>
        <v>SIN ADEUDO</v>
      </c>
    </row>
    <row r="269" spans="2:5" x14ac:dyDescent="0.3">
      <c r="B269" s="135" t="str">
        <f>+'PT1'!B310</f>
        <v>104-006-045</v>
      </c>
      <c r="C269" s="135" t="str">
        <f>+'PT1'!C310</f>
        <v>C3-2311 RAQUEL ACHAR</v>
      </c>
      <c r="D269" s="136">
        <f>+'PT1'!D310</f>
        <v>0</v>
      </c>
      <c r="E269" s="135" t="str">
        <f t="shared" si="4"/>
        <v>SIN ADEUDO</v>
      </c>
    </row>
    <row r="270" spans="2:5" x14ac:dyDescent="0.3">
      <c r="B270" s="135" t="str">
        <f>+'PT1'!B311</f>
        <v>104-006-046</v>
      </c>
      <c r="C270" s="135" t="str">
        <f>+'PT1'!C311</f>
        <v>C3-2312 MOISES PERLA</v>
      </c>
      <c r="D270" s="136">
        <f>+'PT1'!D311</f>
        <v>0</v>
      </c>
      <c r="E270" s="135" t="str">
        <f t="shared" si="4"/>
        <v>SIN ADEUDO</v>
      </c>
    </row>
    <row r="271" spans="2:5" x14ac:dyDescent="0.3">
      <c r="B271" s="135" t="str">
        <f>+'PT1'!B312</f>
        <v>104-006-047</v>
      </c>
      <c r="C271" s="135" t="str">
        <f>+'PT1'!C312</f>
        <v>C3-2411 JOSE MASRI</v>
      </c>
      <c r="D271" s="136">
        <f>+'PT1'!D312</f>
        <v>0</v>
      </c>
      <c r="E271" s="135" t="str">
        <f t="shared" si="4"/>
        <v>SIN ADEUDO</v>
      </c>
    </row>
    <row r="272" spans="2:5" x14ac:dyDescent="0.3">
      <c r="B272" s="135" t="str">
        <f>+'PT1'!B313</f>
        <v>104-006-048</v>
      </c>
      <c r="C272" s="135" t="str">
        <f>+'PT1'!C313</f>
        <v xml:space="preserve">C3-2412 MICHELLE SALTIEL </v>
      </c>
      <c r="D272" s="136">
        <f>+'PT1'!D313</f>
        <v>0</v>
      </c>
      <c r="E272" s="135" t="str">
        <f t="shared" si="4"/>
        <v>SIN ADEUDO</v>
      </c>
    </row>
    <row r="273" spans="2:5" x14ac:dyDescent="0.3">
      <c r="B273" s="135" t="str">
        <f>+'PT1'!B314</f>
        <v>104-006-049</v>
      </c>
      <c r="C273" s="135" t="str">
        <f>+'PT1'!C314</f>
        <v>C3-2511 LEON KASSIN</v>
      </c>
      <c r="D273" s="136">
        <f>+'PT1'!D314</f>
        <v>0</v>
      </c>
      <c r="E273" s="135" t="str">
        <f t="shared" si="4"/>
        <v>SIN ADEUDO</v>
      </c>
    </row>
    <row r="274" spans="2:5" x14ac:dyDescent="0.3">
      <c r="B274" s="135" t="str">
        <f>+'PT1'!B17</f>
        <v>104-001-012</v>
      </c>
      <c r="C274" s="135" t="str">
        <f>+'PT1'!C17</f>
        <v>A-602 EMILIO SACAL</v>
      </c>
      <c r="D274" s="136">
        <f>+'PT1'!D17</f>
        <v>0</v>
      </c>
      <c r="E274" s="135" t="str">
        <f t="shared" si="4"/>
        <v>SIN ADEUDO</v>
      </c>
    </row>
    <row r="275" spans="2:5" x14ac:dyDescent="0.3">
      <c r="B275" s="135" t="str">
        <f>+'PT1'!B207</f>
        <v>104-004-046</v>
      </c>
      <c r="C275" s="135" t="str">
        <f>+'PT1'!C207</f>
        <v>C1-2308 CARLOS OJEDA</v>
      </c>
      <c r="D275" s="136">
        <f>+'PT1'!D207</f>
        <v>0</v>
      </c>
      <c r="E275" s="135" t="str">
        <f t="shared" si="4"/>
        <v>SIN ADEUDO</v>
      </c>
    </row>
    <row r="276" spans="2:5" x14ac:dyDescent="0.3">
      <c r="B276" s="135" t="str">
        <f>+'PT1'!B171</f>
        <v>104-004-010</v>
      </c>
      <c r="C276" s="135" t="str">
        <f>+'PT1'!C171</f>
        <v>C1-508 JEANETTE SITTON</v>
      </c>
      <c r="D276" s="136">
        <f>+'PT1'!D171</f>
        <v>0</v>
      </c>
      <c r="E276" s="135" t="str">
        <f t="shared" si="4"/>
        <v>SIN ADEUDO</v>
      </c>
    </row>
    <row r="277" spans="2:5" x14ac:dyDescent="0.3">
      <c r="B277" s="135" t="str">
        <f>+'PT1'!B269</f>
        <v>104-006-004</v>
      </c>
      <c r="C277" s="135" t="str">
        <f>+'PT1'!C269</f>
        <v>C3-212 YEMI NAGAR</v>
      </c>
      <c r="D277" s="136">
        <f>+'PT1'!D269</f>
        <v>0</v>
      </c>
      <c r="E277" s="135" t="str">
        <f t="shared" si="4"/>
        <v>SIN ADEUDO</v>
      </c>
    </row>
    <row r="278" spans="2:5" x14ac:dyDescent="0.3">
      <c r="B278" s="135" t="str">
        <f>+'PT1'!B73</f>
        <v>104-002-016</v>
      </c>
      <c r="C278" s="135" t="str">
        <f>+'PT1'!C73</f>
        <v>O1-804 JOSE GOMEZ</v>
      </c>
      <c r="D278" s="136">
        <f>+'PT1'!D73</f>
        <v>-12694</v>
      </c>
      <c r="E278" s="135" t="str">
        <f t="shared" si="4"/>
        <v>ANTICIPOS</v>
      </c>
    </row>
    <row r="279" spans="2:5" x14ac:dyDescent="0.3">
      <c r="B279" s="135" t="str">
        <f>+'PT1'!B35</f>
        <v>104-001-030</v>
      </c>
      <c r="C279" s="135" t="str">
        <f>+'PT1'!C35</f>
        <v>A-1502 SAMUEL SEVILLA</v>
      </c>
      <c r="D279" s="136">
        <f>+'PT1'!D35</f>
        <v>0</v>
      </c>
      <c r="E279" s="135" t="str">
        <f t="shared" si="4"/>
        <v>SIN ADEUDO</v>
      </c>
    </row>
    <row r="280" spans="2:5" x14ac:dyDescent="0.3">
      <c r="B280" s="135" t="str">
        <f>+'PT1'!B192</f>
        <v>104-004-031</v>
      </c>
      <c r="C280" s="135" t="str">
        <f>+'PT1'!C192</f>
        <v>C1-1607 SALOMON COJAB</v>
      </c>
      <c r="D280" s="136">
        <f>+'PT1'!D192</f>
        <v>-98504</v>
      </c>
      <c r="E280" s="135" t="str">
        <f t="shared" si="4"/>
        <v>ANTICIPOS</v>
      </c>
    </row>
    <row r="281" spans="2:5" x14ac:dyDescent="0.3">
      <c r="B281" s="135" t="str">
        <f>+'PT1'!B27</f>
        <v>104-001-022</v>
      </c>
      <c r="C281" s="135" t="str">
        <f>+'PT1'!C27</f>
        <v>A-1102 JUAN GARCIA</v>
      </c>
      <c r="D281" s="136">
        <f>+'PT1'!D27</f>
        <v>-12694</v>
      </c>
      <c r="E281" s="135" t="str">
        <f t="shared" si="4"/>
        <v>ANTICIPOS</v>
      </c>
    </row>
    <row r="282" spans="2:5" x14ac:dyDescent="0.3">
      <c r="B282" s="135" t="str">
        <f>+'PT1'!B33</f>
        <v>104-001-028</v>
      </c>
      <c r="C282" s="135" t="str">
        <f>+'PT1'!C33</f>
        <v>A-1402 JOSE MAYA</v>
      </c>
      <c r="D282" s="136">
        <f>+'PT1'!D33</f>
        <v>0</v>
      </c>
      <c r="E282" s="135" t="str">
        <f t="shared" si="4"/>
        <v>SIN ADEUDO</v>
      </c>
    </row>
    <row r="283" spans="2:5" x14ac:dyDescent="0.3">
      <c r="B283" s="135" t="str">
        <f>+'PT1'!B52</f>
        <v>104-001-047</v>
      </c>
      <c r="C283" s="135" t="str">
        <f>+'PT1'!C52</f>
        <v>A-2401 VICTORIA MUSTRI</v>
      </c>
      <c r="D283" s="136">
        <f>+'PT1'!D52</f>
        <v>3.637978807091713E-12</v>
      </c>
      <c r="E283" s="135" t="str">
        <f t="shared" si="4"/>
        <v>DEUDA CORRIENTE</v>
      </c>
    </row>
    <row r="284" spans="2:5" x14ac:dyDescent="0.3">
      <c r="B284" s="135" t="str">
        <f>+'PT1'!B57</f>
        <v>104-001-052</v>
      </c>
      <c r="C284" s="135" t="str">
        <f>+'PT1'!C57</f>
        <v>A-PH02 SALOMON JASQUI</v>
      </c>
      <c r="D284" s="136">
        <f>+'PT1'!D57</f>
        <v>0</v>
      </c>
      <c r="E284" s="135" t="str">
        <f t="shared" si="4"/>
        <v>SIN ADEUDO</v>
      </c>
    </row>
    <row r="285" spans="2:5" x14ac:dyDescent="0.3">
      <c r="B285" s="135" t="str">
        <f>+'PT1'!B101</f>
        <v>104-002-044</v>
      </c>
      <c r="C285" s="135" t="str">
        <f>+'PT1'!C101</f>
        <v xml:space="preserve">O1-2204 RAQUEL BUCAY </v>
      </c>
      <c r="D285" s="136">
        <f>+'PT1'!D101</f>
        <v>0</v>
      </c>
      <c r="E285" s="135" t="str">
        <f t="shared" si="4"/>
        <v>SIN ADEUDO</v>
      </c>
    </row>
    <row r="286" spans="2:5" x14ac:dyDescent="0.3">
      <c r="B286" s="135" t="str">
        <f>+'PT1'!B111</f>
        <v>104-003-002</v>
      </c>
      <c r="C286" s="135" t="str">
        <f>+'PT1'!C111</f>
        <v>O2-106 SADEGH HARARI</v>
      </c>
      <c r="D286" s="136">
        <f>+'PT1'!D111</f>
        <v>0</v>
      </c>
      <c r="E286" s="135" t="str">
        <f t="shared" si="4"/>
        <v>SIN ADEUDO</v>
      </c>
    </row>
    <row r="287" spans="2:5" x14ac:dyDescent="0.3">
      <c r="B287" s="135" t="str">
        <f>+'PT1'!B119</f>
        <v>104-003-010</v>
      </c>
      <c r="C287" s="135" t="str">
        <f>+'PT1'!C119</f>
        <v>O2-506 NAIRO VARGAS</v>
      </c>
      <c r="D287" s="136">
        <f>+'PT1'!D119</f>
        <v>15194</v>
      </c>
      <c r="E287" s="135" t="str">
        <f t="shared" si="4"/>
        <v>DEUDA CORRIENTE</v>
      </c>
    </row>
    <row r="288" spans="2:5" x14ac:dyDescent="0.3">
      <c r="B288" s="135" t="str">
        <f>+'PT1'!B136</f>
        <v>104-003-027</v>
      </c>
      <c r="C288" s="135" t="str">
        <f>+'PT1'!C136</f>
        <v>O2-1405 ANDREINA GONZALEZ</v>
      </c>
      <c r="D288" s="136">
        <f>+'PT1'!D136</f>
        <v>0</v>
      </c>
      <c r="E288" s="135" t="str">
        <f t="shared" si="4"/>
        <v>SIN ADEUDO</v>
      </c>
    </row>
    <row r="289" spans="2:5" x14ac:dyDescent="0.3">
      <c r="B289" s="135" t="str">
        <f>+'PT1'!B137</f>
        <v>104-003-028</v>
      </c>
      <c r="C289" s="135" t="str">
        <f>+'PT1'!C137</f>
        <v>O2-1406 DAVID CHERES</v>
      </c>
      <c r="D289" s="136">
        <f>+'PT1'!D137</f>
        <v>-123130</v>
      </c>
      <c r="E289" s="135" t="str">
        <f t="shared" si="4"/>
        <v>ANTICIPOS</v>
      </c>
    </row>
    <row r="290" spans="2:5" x14ac:dyDescent="0.3">
      <c r="B290" s="135" t="str">
        <f>+'PT1'!B138</f>
        <v>104-003-029</v>
      </c>
      <c r="C290" s="135" t="str">
        <f>+'PT1'!C138</f>
        <v>O2-1505 ALON PIKOVSKY</v>
      </c>
      <c r="D290" s="136">
        <f>+'PT1'!D138</f>
        <v>300</v>
      </c>
      <c r="E290" s="135" t="str">
        <f t="shared" si="4"/>
        <v>DEUDA CORRIENTE</v>
      </c>
    </row>
    <row r="291" spans="2:5" x14ac:dyDescent="0.3">
      <c r="B291" s="135" t="str">
        <f>+'PT1'!B169</f>
        <v>104-004-008</v>
      </c>
      <c r="C291" s="135" t="str">
        <f>+'PT1'!C169</f>
        <v>C1-408 RONY STOLKIN</v>
      </c>
      <c r="D291" s="136">
        <f>+'PT1'!D169</f>
        <v>-98504</v>
      </c>
      <c r="E291" s="135" t="str">
        <f t="shared" si="4"/>
        <v>ANTICIPOS</v>
      </c>
    </row>
    <row r="292" spans="2:5" x14ac:dyDescent="0.3">
      <c r="B292" s="135" t="str">
        <f>+'PT1'!B178</f>
        <v>104-004-017</v>
      </c>
      <c r="C292" s="135" t="str">
        <f>+'PT1'!C178</f>
        <v>C1-907 REBECA ROMANO</v>
      </c>
      <c r="D292" s="136">
        <f>+'PT1'!D178</f>
        <v>0</v>
      </c>
      <c r="E292" s="135" t="str">
        <f t="shared" si="4"/>
        <v>SIN ADEUDO</v>
      </c>
    </row>
    <row r="293" spans="2:5" x14ac:dyDescent="0.3">
      <c r="B293" s="135" t="str">
        <f>+'PT1'!B183</f>
        <v>104-004-022</v>
      </c>
      <c r="C293" s="135" t="str">
        <f>+'PT1'!C183</f>
        <v>C1-1108 VICKY LANIADO</v>
      </c>
      <c r="D293" s="136">
        <f>+'PT1'!D183</f>
        <v>0</v>
      </c>
      <c r="E293" s="135" t="str">
        <f t="shared" si="4"/>
        <v>SIN ADEUDO</v>
      </c>
    </row>
    <row r="294" spans="2:5" x14ac:dyDescent="0.3">
      <c r="B294" s="135" t="str">
        <f>+'PT1'!B195</f>
        <v>104-004-034</v>
      </c>
      <c r="C294" s="135" t="str">
        <f>+'PT1'!C195</f>
        <v>C1-1708 SALOMON NAANOUS</v>
      </c>
      <c r="D294" s="136">
        <f>+'PT1'!D195</f>
        <v>0</v>
      </c>
      <c r="E294" s="135" t="str">
        <f t="shared" si="4"/>
        <v>SIN ADEUDO</v>
      </c>
    </row>
    <row r="295" spans="2:5" x14ac:dyDescent="0.3">
      <c r="B295" s="135" t="str">
        <f>+'PT1'!B205</f>
        <v>104-004-044</v>
      </c>
      <c r="C295" s="135" t="str">
        <f>+'PT1'!C205</f>
        <v>C1-2208 GABRIEL EFTER</v>
      </c>
      <c r="D295" s="136">
        <f>+'PT1'!D205</f>
        <v>0</v>
      </c>
      <c r="E295" s="135" t="str">
        <f t="shared" si="4"/>
        <v>SIN ADEUDO</v>
      </c>
    </row>
    <row r="296" spans="2:5" x14ac:dyDescent="0.3">
      <c r="B296" s="135" t="str">
        <f>+'PT1'!B238</f>
        <v>104-005-025</v>
      </c>
      <c r="C296" s="135" t="str">
        <f>+'PT1'!C238</f>
        <v xml:space="preserve">C2-1309 DANIELA SALTIEL </v>
      </c>
      <c r="D296" s="136">
        <f>+'PT1'!D238</f>
        <v>0</v>
      </c>
      <c r="E296" s="135" t="str">
        <f t="shared" si="4"/>
        <v>SIN ADEUDO</v>
      </c>
    </row>
    <row r="297" spans="2:5" x14ac:dyDescent="0.3">
      <c r="B297" s="135" t="str">
        <f>+'PT1'!B245</f>
        <v>104-005-032</v>
      </c>
      <c r="C297" s="135" t="str">
        <f>+'PT1'!C245</f>
        <v>C2-1610 ESTHER MICHAN</v>
      </c>
      <c r="D297" s="136">
        <f>+'PT1'!D245</f>
        <v>-12694</v>
      </c>
      <c r="E297" s="135" t="str">
        <f t="shared" si="4"/>
        <v>ANTICIPOS</v>
      </c>
    </row>
    <row r="298" spans="2:5" x14ac:dyDescent="0.3">
      <c r="B298" s="135" t="str">
        <f>+'PT1'!B248</f>
        <v>104-005-035</v>
      </c>
      <c r="C298" s="135" t="str">
        <f>+'PT1'!C248</f>
        <v>C2-1809 FREDELLE ZETUNE</v>
      </c>
      <c r="D298" s="136">
        <f>+'PT1'!D248</f>
        <v>-12694</v>
      </c>
      <c r="E298" s="135" t="str">
        <f t="shared" si="4"/>
        <v>ANTICIPOS</v>
      </c>
    </row>
    <row r="299" spans="2:5" x14ac:dyDescent="0.3">
      <c r="B299" s="135" t="str">
        <f>+'PT1'!B254</f>
        <v>104-005-041</v>
      </c>
      <c r="C299" s="135" t="str">
        <f>+'PT1'!C254</f>
        <v>C2-2109 SARA MASRI</v>
      </c>
      <c r="D299" s="136">
        <f>+'PT1'!D254</f>
        <v>-25388</v>
      </c>
      <c r="E299" s="135" t="str">
        <f t="shared" si="4"/>
        <v>ANTICIPOS</v>
      </c>
    </row>
    <row r="300" spans="2:5" x14ac:dyDescent="0.3">
      <c r="B300" s="135" t="str">
        <f>+'PT1'!B260</f>
        <v>104-005-047</v>
      </c>
      <c r="C300" s="135" t="str">
        <f>+'PT1'!C260</f>
        <v>C2-2409 JACOBO SHAMOSH</v>
      </c>
      <c r="D300" s="136">
        <f>+'PT1'!D260</f>
        <v>0</v>
      </c>
      <c r="E300" s="135" t="str">
        <f t="shared" si="4"/>
        <v>SIN ADEUDO</v>
      </c>
    </row>
    <row r="301" spans="2:5" x14ac:dyDescent="0.3">
      <c r="B301" s="135" t="str">
        <f>+'PT1'!B261</f>
        <v>104-005-048</v>
      </c>
      <c r="C301" s="135" t="str">
        <f>+'PT1'!C261</f>
        <v>C2-2410 SARA MASRI</v>
      </c>
      <c r="D301" s="136">
        <f>+'PT1'!D261</f>
        <v>-25388</v>
      </c>
      <c r="E301" s="135" t="str">
        <f t="shared" si="4"/>
        <v>ANTICIPOS</v>
      </c>
    </row>
    <row r="302" spans="2:5" x14ac:dyDescent="0.3">
      <c r="B302" s="135" t="str">
        <f>+'PT1'!B305</f>
        <v>104-006-040</v>
      </c>
      <c r="C302" s="135" t="str">
        <f>+'PT1'!C305</f>
        <v>C3-2012 MARGARITA ZAGA</v>
      </c>
      <c r="D302" s="136">
        <f>+'PT1'!D305</f>
        <v>0</v>
      </c>
      <c r="E302" s="135" t="str">
        <f t="shared" si="4"/>
        <v>SIN ADEUDO</v>
      </c>
    </row>
    <row r="303" spans="2:5" x14ac:dyDescent="0.3">
      <c r="B303" s="135" t="str">
        <f>+'PT1'!B307</f>
        <v>104-006-042</v>
      </c>
      <c r="C303" s="135" t="str">
        <f>+'PT1'!C307</f>
        <v>C3-2112 ALINE CHEREM</v>
      </c>
      <c r="D303" s="136">
        <f>+'PT1'!D307</f>
        <v>-98504</v>
      </c>
      <c r="E303" s="135" t="str">
        <f t="shared" si="4"/>
        <v>ANTICIPOS</v>
      </c>
    </row>
    <row r="304" spans="2:5" x14ac:dyDescent="0.3">
      <c r="B304" s="135" t="str">
        <f>+'PT1'!B309</f>
        <v>104-006-044</v>
      </c>
      <c r="C304" s="135" t="str">
        <f>+'PT1'!C309</f>
        <v>C3-2212 GIL COHEN</v>
      </c>
      <c r="D304" s="136">
        <f>+'PT1'!D309</f>
        <v>-12694</v>
      </c>
      <c r="E304" s="135" t="str">
        <f t="shared" si="4"/>
        <v>ANTICIPOS</v>
      </c>
    </row>
    <row r="305" spans="2:5" x14ac:dyDescent="0.3">
      <c r="B305" s="135" t="str">
        <f>+'PT1'!B315</f>
        <v>104-006-050</v>
      </c>
      <c r="C305" s="135" t="str">
        <f>+'PT1'!C315</f>
        <v>C3-2512 EDUARDO BRIMAN</v>
      </c>
      <c r="D305" s="136">
        <f>+'PT1'!D315</f>
        <v>0</v>
      </c>
      <c r="E305" s="135" t="str">
        <f t="shared" si="4"/>
        <v>SIN ADEUDO</v>
      </c>
    </row>
    <row r="306" spans="2:5" x14ac:dyDescent="0.3">
      <c r="B306" s="135" t="str">
        <f>+'PT1'!B318</f>
        <v>104-100-001</v>
      </c>
      <c r="C306" s="135" t="str">
        <f>+'PT1'!C318</f>
        <v>NO IDENTIFICADOS</v>
      </c>
      <c r="D306" s="136">
        <f>+'PT1'!D318</f>
        <v>3.637978807091713E-12</v>
      </c>
      <c r="E306" s="135" t="str">
        <f t="shared" si="4"/>
        <v>DEUDA CORRIENTE</v>
      </c>
    </row>
    <row r="307" spans="2:5" x14ac:dyDescent="0.3">
      <c r="B307" s="135" t="str">
        <f>+'PT1'!B304</f>
        <v>104-006-039</v>
      </c>
      <c r="C307" s="135" t="str">
        <f>+'PT1'!C304</f>
        <v>C3-2011 SARA MASRI</v>
      </c>
      <c r="D307" s="136">
        <f>+'PT1'!D304</f>
        <v>-25388</v>
      </c>
      <c r="E307" s="135" t="str">
        <f t="shared" si="4"/>
        <v>ANTICIPOS</v>
      </c>
    </row>
    <row r="308" spans="2:5" x14ac:dyDescent="0.3">
      <c r="B308" s="135" t="str">
        <f>+'PT1'!B308</f>
        <v>104-006-043</v>
      </c>
      <c r="C308" s="135" t="str">
        <f>+'PT1'!C308</f>
        <v>C3-2211 PABLO MARTI</v>
      </c>
      <c r="D308" s="136">
        <f>+'PT1'!D308</f>
        <v>-98504</v>
      </c>
      <c r="E308" s="135" t="str">
        <f t="shared" si="4"/>
        <v>ANTICIPOS</v>
      </c>
    </row>
    <row r="309" spans="2:5" x14ac:dyDescent="0.3">
      <c r="B309" s="135" t="str">
        <f>+'PT1'!B79</f>
        <v>104-002-022</v>
      </c>
      <c r="C309" s="135" t="str">
        <f>+'PT1'!C79</f>
        <v>O1-1104 JACOBO CATAN</v>
      </c>
      <c r="D309" s="136">
        <f>+'PT1'!D79</f>
        <v>-112694</v>
      </c>
      <c r="E309" s="135" t="str">
        <f t="shared" si="4"/>
        <v>ANTICIPOS</v>
      </c>
    </row>
    <row r="310" spans="2:5" x14ac:dyDescent="0.3">
      <c r="B310" s="135" t="str">
        <f>+'PT1'!B87</f>
        <v>104-002-030</v>
      </c>
      <c r="C310" s="135" t="str">
        <f>+'PT1'!C87</f>
        <v>O1-1504 GRACIELA SENOSIAIN</v>
      </c>
      <c r="D310" s="136">
        <f>+'PT1'!D87</f>
        <v>-98504</v>
      </c>
      <c r="E310" s="135" t="str">
        <f t="shared" si="4"/>
        <v>ANTICIPOS</v>
      </c>
    </row>
    <row r="311" spans="2:5" x14ac:dyDescent="0.3">
      <c r="B311" s="135" t="str">
        <f>+'PT1'!B184</f>
        <v>104-004-023</v>
      </c>
      <c r="C311" s="135" t="str">
        <f>+'PT1'!C184</f>
        <v>C1-1207 VICKY CALTUM</v>
      </c>
      <c r="D311" s="136">
        <f>+'PT1'!D184</f>
        <v>0</v>
      </c>
      <c r="E311" s="135" t="str">
        <f t="shared" si="4"/>
        <v>SIN ADEUDO</v>
      </c>
    </row>
    <row r="312" spans="2:5" x14ac:dyDescent="0.3">
      <c r="B312" s="135" t="str">
        <f>+'PT1'!B186</f>
        <v>104-004-025</v>
      </c>
      <c r="C312" s="135" t="str">
        <f>+'PT1'!C186</f>
        <v>C1-1307 DANYA NISSAN</v>
      </c>
      <c r="D312" s="136">
        <f>+'PT1'!D186</f>
        <v>-12694</v>
      </c>
      <c r="E312" s="135" t="str">
        <f t="shared" si="4"/>
        <v>ANTICIPOS</v>
      </c>
    </row>
    <row r="313" spans="2:5" x14ac:dyDescent="0.3">
      <c r="B313" s="135" t="str">
        <f>+'PT1'!B200</f>
        <v>104-004-039</v>
      </c>
      <c r="C313" s="135" t="str">
        <f>+'PT1'!C200</f>
        <v>C1-2007 ILAN EICHNER</v>
      </c>
      <c r="D313" s="136">
        <f>+'PT1'!D200</f>
        <v>0</v>
      </c>
      <c r="E313" s="135" t="str">
        <f t="shared" si="4"/>
        <v>SIN ADEUDO</v>
      </c>
    </row>
    <row r="314" spans="2:5" x14ac:dyDescent="0.3">
      <c r="B314" s="135" t="str">
        <f>+'PT1'!B299</f>
        <v>104-006-034</v>
      </c>
      <c r="C314" s="135" t="str">
        <f>+'PT1'!C299</f>
        <v>C3-1712 ELIAS CHAYO</v>
      </c>
      <c r="D314" s="136">
        <f>+'PT1'!D299</f>
        <v>-25388</v>
      </c>
      <c r="E314" s="135" t="str">
        <f t="shared" si="4"/>
        <v>ANTICIPOS</v>
      </c>
    </row>
    <row r="315" spans="2:5" x14ac:dyDescent="0.3">
      <c r="B315" s="135" t="str">
        <f>+'PT1'!B316</f>
        <v>104-006-051</v>
      </c>
      <c r="C315" s="135" t="str">
        <f>+'PT1'!C316</f>
        <v>C3-PH11 JACOBO ROMANO</v>
      </c>
      <c r="D315" s="136">
        <f>+'PT1'!D316</f>
        <v>-98504</v>
      </c>
      <c r="E315" s="135" t="str">
        <f t="shared" si="4"/>
        <v>ANTICIPOS</v>
      </c>
    </row>
    <row r="316" spans="2:5" x14ac:dyDescent="0.3">
      <c r="B316" s="135" t="str">
        <f>+'PT1'!B317</f>
        <v>104-006-052</v>
      </c>
      <c r="C316" s="135" t="str">
        <f>+'PT1'!C317</f>
        <v>C3-PH12 DANIEL BRIMAN</v>
      </c>
      <c r="D316" s="136">
        <f>+'PT1'!D317</f>
        <v>-98504</v>
      </c>
      <c r="E316" s="135" t="str">
        <f t="shared" si="4"/>
        <v>ANTICIPOS</v>
      </c>
    </row>
    <row r="317" spans="2:5" x14ac:dyDescent="0.3">
      <c r="B317" s="135" t="str">
        <f>+'PT1'!B38</f>
        <v>104-001-033</v>
      </c>
      <c r="C317" s="135" t="str">
        <f>+'PT1'!C38</f>
        <v>A-1701 ELIAS JASQUI</v>
      </c>
      <c r="D317" s="136">
        <f>+'PT1'!D38</f>
        <v>-98504</v>
      </c>
      <c r="E317" s="135" t="str">
        <f t="shared" si="4"/>
        <v>ANTICIPOS</v>
      </c>
    </row>
    <row r="318" spans="2:5" x14ac:dyDescent="0.3">
      <c r="D318" s="104"/>
    </row>
    <row r="328" spans="3:5" ht="18" x14ac:dyDescent="0.35">
      <c r="C328" s="105"/>
      <c r="D328" s="140">
        <f>SUM(BD[TOTAL])</f>
        <v>-1759205</v>
      </c>
      <c r="E328" s="104"/>
    </row>
    <row r="329" spans="3:5" x14ac:dyDescent="0.3">
      <c r="D329" s="104"/>
    </row>
    <row r="330" spans="3:5" x14ac:dyDescent="0.3">
      <c r="D330" s="104"/>
    </row>
    <row r="331" spans="3:5" x14ac:dyDescent="0.3">
      <c r="D331" s="104"/>
    </row>
    <row r="332" spans="3:5" x14ac:dyDescent="0.3">
      <c r="D332" s="104"/>
    </row>
    <row r="333" spans="3:5" x14ac:dyDescent="0.3">
      <c r="D333" s="104"/>
    </row>
    <row r="334" spans="3:5" x14ac:dyDescent="0.3">
      <c r="D334" s="104"/>
    </row>
    <row r="335" spans="3:5" x14ac:dyDescent="0.3">
      <c r="D335" s="104"/>
    </row>
    <row r="336" spans="3:5" x14ac:dyDescent="0.3">
      <c r="D336" s="104"/>
    </row>
    <row r="337" spans="4:4" x14ac:dyDescent="0.3">
      <c r="D337" s="104"/>
    </row>
    <row r="338" spans="4:4" x14ac:dyDescent="0.3">
      <c r="D338" s="104"/>
    </row>
    <row r="339" spans="4:4" x14ac:dyDescent="0.3">
      <c r="D339" s="104"/>
    </row>
    <row r="340" spans="4:4" x14ac:dyDescent="0.3">
      <c r="D340" s="104"/>
    </row>
    <row r="341" spans="4:4" x14ac:dyDescent="0.3">
      <c r="D341" s="104"/>
    </row>
    <row r="342" spans="4:4" x14ac:dyDescent="0.3">
      <c r="D342" s="104"/>
    </row>
    <row r="343" spans="4:4" x14ac:dyDescent="0.3">
      <c r="D343" s="104"/>
    </row>
    <row r="344" spans="4:4" x14ac:dyDescent="0.3">
      <c r="D344" s="104"/>
    </row>
    <row r="345" spans="4:4" x14ac:dyDescent="0.3">
      <c r="D345" s="104"/>
    </row>
    <row r="346" spans="4:4" x14ac:dyDescent="0.3">
      <c r="D346" s="104"/>
    </row>
    <row r="347" spans="4:4" x14ac:dyDescent="0.3">
      <c r="D347" s="104"/>
    </row>
    <row r="348" spans="4:4" x14ac:dyDescent="0.3">
      <c r="D348" s="104"/>
    </row>
    <row r="349" spans="4:4" x14ac:dyDescent="0.3">
      <c r="D349" s="104"/>
    </row>
    <row r="350" spans="4:4" x14ac:dyDescent="0.3">
      <c r="D350" s="104"/>
    </row>
    <row r="351" spans="4:4" x14ac:dyDescent="0.3">
      <c r="D351" s="104"/>
    </row>
    <row r="352" spans="4:4" x14ac:dyDescent="0.3">
      <c r="D352" s="104"/>
    </row>
    <row r="353" spans="4:4" x14ac:dyDescent="0.3">
      <c r="D353" s="104"/>
    </row>
    <row r="354" spans="4:4" x14ac:dyDescent="0.3">
      <c r="D354" s="104"/>
    </row>
    <row r="355" spans="4:4" x14ac:dyDescent="0.3">
      <c r="D355" s="104"/>
    </row>
    <row r="356" spans="4:4" x14ac:dyDescent="0.3">
      <c r="D356" s="104"/>
    </row>
    <row r="357" spans="4:4" x14ac:dyDescent="0.3">
      <c r="D357" s="104"/>
    </row>
    <row r="358" spans="4:4" x14ac:dyDescent="0.3">
      <c r="D358" s="104"/>
    </row>
    <row r="359" spans="4:4" x14ac:dyDescent="0.3">
      <c r="D359" s="104"/>
    </row>
    <row r="360" spans="4:4" x14ac:dyDescent="0.3">
      <c r="D360" s="104"/>
    </row>
    <row r="361" spans="4:4" x14ac:dyDescent="0.3">
      <c r="D361" s="104"/>
    </row>
    <row r="362" spans="4:4" x14ac:dyDescent="0.3">
      <c r="D362" s="104"/>
    </row>
    <row r="363" spans="4:4" x14ac:dyDescent="0.3">
      <c r="D363" s="104"/>
    </row>
    <row r="364" spans="4:4" x14ac:dyDescent="0.3">
      <c r="D364" s="104"/>
    </row>
    <row r="365" spans="4:4" x14ac:dyDescent="0.3">
      <c r="D365" s="104"/>
    </row>
    <row r="366" spans="4:4" x14ac:dyDescent="0.3">
      <c r="D366" s="104"/>
    </row>
    <row r="367" spans="4:4" x14ac:dyDescent="0.3">
      <c r="D367" s="104"/>
    </row>
    <row r="368" spans="4:4" x14ac:dyDescent="0.3">
      <c r="D368" s="104"/>
    </row>
    <row r="369" spans="4:4" x14ac:dyDescent="0.3">
      <c r="D369" s="104"/>
    </row>
    <row r="370" spans="4:4" x14ac:dyDescent="0.3">
      <c r="D370" s="104"/>
    </row>
    <row r="371" spans="4:4" x14ac:dyDescent="0.3">
      <c r="D371" s="104"/>
    </row>
    <row r="372" spans="4:4" x14ac:dyDescent="0.3">
      <c r="D372" s="104"/>
    </row>
    <row r="373" spans="4:4" x14ac:dyDescent="0.3">
      <c r="D373" s="104"/>
    </row>
    <row r="374" spans="4:4" x14ac:dyDescent="0.3">
      <c r="D374" s="104"/>
    </row>
    <row r="375" spans="4:4" x14ac:dyDescent="0.3">
      <c r="D375" s="104"/>
    </row>
    <row r="376" spans="4:4" x14ac:dyDescent="0.3">
      <c r="D376" s="104"/>
    </row>
    <row r="377" spans="4:4" x14ac:dyDescent="0.3">
      <c r="D377" s="104"/>
    </row>
    <row r="378" spans="4:4" x14ac:dyDescent="0.3">
      <c r="D378" s="104"/>
    </row>
    <row r="379" spans="4:4" x14ac:dyDescent="0.3">
      <c r="D379" s="104"/>
    </row>
    <row r="380" spans="4:4" x14ac:dyDescent="0.3">
      <c r="D380" s="104"/>
    </row>
    <row r="381" spans="4:4" x14ac:dyDescent="0.3">
      <c r="D381" s="104"/>
    </row>
    <row r="382" spans="4:4" x14ac:dyDescent="0.3">
      <c r="D382" s="104"/>
    </row>
    <row r="383" spans="4:4" x14ac:dyDescent="0.3">
      <c r="D383" s="104"/>
    </row>
    <row r="384" spans="4:4" x14ac:dyDescent="0.3">
      <c r="D384" s="104"/>
    </row>
    <row r="385" spans="4:4" x14ac:dyDescent="0.3">
      <c r="D385" s="104"/>
    </row>
    <row r="386" spans="4:4" x14ac:dyDescent="0.3">
      <c r="D386" s="104"/>
    </row>
    <row r="387" spans="4:4" x14ac:dyDescent="0.3">
      <c r="D387" s="104"/>
    </row>
    <row r="388" spans="4:4" x14ac:dyDescent="0.3">
      <c r="D388" s="104"/>
    </row>
    <row r="389" spans="4:4" x14ac:dyDescent="0.3">
      <c r="D389" s="104"/>
    </row>
    <row r="390" spans="4:4" x14ac:dyDescent="0.3">
      <c r="D390" s="104"/>
    </row>
    <row r="391" spans="4:4" x14ac:dyDescent="0.3">
      <c r="D391" s="104"/>
    </row>
    <row r="392" spans="4:4" x14ac:dyDescent="0.3">
      <c r="D392" s="104"/>
    </row>
    <row r="393" spans="4:4" x14ac:dyDescent="0.3">
      <c r="D393" s="104"/>
    </row>
    <row r="394" spans="4:4" x14ac:dyDescent="0.3">
      <c r="D394" s="104"/>
    </row>
    <row r="395" spans="4:4" x14ac:dyDescent="0.3">
      <c r="D395" s="104"/>
    </row>
    <row r="396" spans="4:4" x14ac:dyDescent="0.3">
      <c r="D396" s="104"/>
    </row>
    <row r="397" spans="4:4" x14ac:dyDescent="0.3">
      <c r="D397" s="104"/>
    </row>
    <row r="398" spans="4:4" x14ac:dyDescent="0.3">
      <c r="D398" s="104"/>
    </row>
    <row r="399" spans="4:4" x14ac:dyDescent="0.3">
      <c r="D399" s="104"/>
    </row>
    <row r="400" spans="4:4" x14ac:dyDescent="0.3">
      <c r="D400" s="104"/>
    </row>
    <row r="401" spans="4:4" x14ac:dyDescent="0.3">
      <c r="D401" s="104"/>
    </row>
    <row r="402" spans="4:4" x14ac:dyDescent="0.3">
      <c r="D402" s="104"/>
    </row>
    <row r="403" spans="4:4" x14ac:dyDescent="0.3">
      <c r="D403" s="104"/>
    </row>
    <row r="404" spans="4:4" x14ac:dyDescent="0.3">
      <c r="D404" s="104"/>
    </row>
    <row r="405" spans="4:4" x14ac:dyDescent="0.3">
      <c r="D405" s="104"/>
    </row>
    <row r="406" spans="4:4" x14ac:dyDescent="0.3">
      <c r="D406" s="104"/>
    </row>
    <row r="407" spans="4:4" x14ac:dyDescent="0.3">
      <c r="D407" s="104"/>
    </row>
    <row r="408" spans="4:4" x14ac:dyDescent="0.3">
      <c r="D408" s="104"/>
    </row>
    <row r="409" spans="4:4" x14ac:dyDescent="0.3">
      <c r="D409" s="104"/>
    </row>
    <row r="410" spans="4:4" x14ac:dyDescent="0.3">
      <c r="D410" s="104"/>
    </row>
    <row r="411" spans="4:4" x14ac:dyDescent="0.3">
      <c r="D411" s="104"/>
    </row>
    <row r="412" spans="4:4" x14ac:dyDescent="0.3">
      <c r="D412" s="104"/>
    </row>
    <row r="413" spans="4:4" x14ac:dyDescent="0.3">
      <c r="D413" s="104"/>
    </row>
    <row r="414" spans="4:4" x14ac:dyDescent="0.3">
      <c r="D414" s="104"/>
    </row>
    <row r="415" spans="4:4" x14ac:dyDescent="0.3">
      <c r="D415" s="104"/>
    </row>
    <row r="416" spans="4:4" x14ac:dyDescent="0.3">
      <c r="D416" s="104"/>
    </row>
    <row r="417" spans="4:4" x14ac:dyDescent="0.3">
      <c r="D417" s="104"/>
    </row>
    <row r="418" spans="4:4" x14ac:dyDescent="0.3">
      <c r="D418" s="104"/>
    </row>
    <row r="419" spans="4:4" x14ac:dyDescent="0.3">
      <c r="D419" s="104"/>
    </row>
    <row r="420" spans="4:4" x14ac:dyDescent="0.3">
      <c r="D420" s="104"/>
    </row>
    <row r="421" spans="4:4" x14ac:dyDescent="0.3">
      <c r="D421" s="104"/>
    </row>
    <row r="422" spans="4:4" x14ac:dyDescent="0.3">
      <c r="D422" s="104"/>
    </row>
    <row r="423" spans="4:4" x14ac:dyDescent="0.3">
      <c r="D423" s="104"/>
    </row>
    <row r="424" spans="4:4" x14ac:dyDescent="0.3">
      <c r="D424" s="104"/>
    </row>
    <row r="425" spans="4:4" x14ac:dyDescent="0.3">
      <c r="D425" s="104"/>
    </row>
    <row r="426" spans="4:4" x14ac:dyDescent="0.3">
      <c r="D426" s="104"/>
    </row>
    <row r="427" spans="4:4" x14ac:dyDescent="0.3">
      <c r="D427" s="104"/>
    </row>
    <row r="428" spans="4:4" x14ac:dyDescent="0.3">
      <c r="D428" s="104"/>
    </row>
    <row r="429" spans="4:4" x14ac:dyDescent="0.3">
      <c r="D429" s="104"/>
    </row>
    <row r="430" spans="4:4" x14ac:dyDescent="0.3">
      <c r="D430" s="104"/>
    </row>
    <row r="431" spans="4:4" x14ac:dyDescent="0.3">
      <c r="D431" s="104"/>
    </row>
    <row r="432" spans="4:4" x14ac:dyDescent="0.3">
      <c r="D432" s="104"/>
    </row>
    <row r="433" spans="4:4" x14ac:dyDescent="0.3">
      <c r="D433" s="104"/>
    </row>
    <row r="434" spans="4:4" x14ac:dyDescent="0.3">
      <c r="D434" s="104"/>
    </row>
    <row r="435" spans="4:4" x14ac:dyDescent="0.3">
      <c r="D435" s="104"/>
    </row>
    <row r="436" spans="4:4" x14ac:dyDescent="0.3">
      <c r="D436" s="104"/>
    </row>
    <row r="437" spans="4:4" x14ac:dyDescent="0.3">
      <c r="D437" s="104"/>
    </row>
    <row r="438" spans="4:4" x14ac:dyDescent="0.3">
      <c r="D438" s="104"/>
    </row>
    <row r="439" spans="4:4" x14ac:dyDescent="0.3">
      <c r="D439" s="104"/>
    </row>
    <row r="440" spans="4:4" x14ac:dyDescent="0.3">
      <c r="D440" s="104"/>
    </row>
    <row r="441" spans="4:4" x14ac:dyDescent="0.3">
      <c r="D441" s="104"/>
    </row>
    <row r="442" spans="4:4" x14ac:dyDescent="0.3">
      <c r="D442" s="104"/>
    </row>
    <row r="443" spans="4:4" x14ac:dyDescent="0.3">
      <c r="D443" s="104"/>
    </row>
    <row r="444" spans="4:4" x14ac:dyDescent="0.3">
      <c r="D444" s="104"/>
    </row>
    <row r="445" spans="4:4" x14ac:dyDescent="0.3">
      <c r="D445" s="104"/>
    </row>
    <row r="446" spans="4:4" x14ac:dyDescent="0.3">
      <c r="D446" s="104"/>
    </row>
    <row r="447" spans="4:4" x14ac:dyDescent="0.3">
      <c r="D447" s="104"/>
    </row>
    <row r="448" spans="4:4" x14ac:dyDescent="0.3">
      <c r="D448" s="104"/>
    </row>
    <row r="449" spans="4:4" x14ac:dyDescent="0.3">
      <c r="D449" s="104"/>
    </row>
    <row r="450" spans="4:4" x14ac:dyDescent="0.3">
      <c r="D450" s="104"/>
    </row>
    <row r="451" spans="4:4" x14ac:dyDescent="0.3">
      <c r="D451" s="104"/>
    </row>
    <row r="452" spans="4:4" x14ac:dyDescent="0.3">
      <c r="D452" s="104"/>
    </row>
    <row r="453" spans="4:4" x14ac:dyDescent="0.3">
      <c r="D453" s="104"/>
    </row>
    <row r="454" spans="4:4" x14ac:dyDescent="0.3">
      <c r="D454" s="104"/>
    </row>
    <row r="455" spans="4:4" x14ac:dyDescent="0.3">
      <c r="D455" s="104"/>
    </row>
    <row r="456" spans="4:4" x14ac:dyDescent="0.3">
      <c r="D456" s="104"/>
    </row>
    <row r="457" spans="4:4" x14ac:dyDescent="0.3">
      <c r="D457" s="104"/>
    </row>
    <row r="458" spans="4:4" x14ac:dyDescent="0.3">
      <c r="D458" s="104"/>
    </row>
    <row r="459" spans="4:4" x14ac:dyDescent="0.3">
      <c r="D459" s="104"/>
    </row>
    <row r="460" spans="4:4" x14ac:dyDescent="0.3">
      <c r="D460" s="104"/>
    </row>
    <row r="461" spans="4:4" x14ac:dyDescent="0.3">
      <c r="D461" s="104"/>
    </row>
    <row r="462" spans="4:4" x14ac:dyDescent="0.3">
      <c r="D462" s="104"/>
    </row>
    <row r="463" spans="4:4" x14ac:dyDescent="0.3">
      <c r="D463" s="104"/>
    </row>
    <row r="464" spans="4:4" x14ac:dyDescent="0.3">
      <c r="D464" s="104"/>
    </row>
    <row r="465" spans="4:4" x14ac:dyDescent="0.3">
      <c r="D465" s="104"/>
    </row>
    <row r="466" spans="4:4" x14ac:dyDescent="0.3">
      <c r="D466" s="104"/>
    </row>
    <row r="467" spans="4:4" x14ac:dyDescent="0.3">
      <c r="D467" s="104"/>
    </row>
    <row r="468" spans="4:4" x14ac:dyDescent="0.3">
      <c r="D468" s="104"/>
    </row>
    <row r="469" spans="4:4" x14ac:dyDescent="0.3">
      <c r="D469" s="104"/>
    </row>
    <row r="470" spans="4:4" x14ac:dyDescent="0.3">
      <c r="D470" s="104"/>
    </row>
    <row r="471" spans="4:4" x14ac:dyDescent="0.3">
      <c r="D471" s="104"/>
    </row>
    <row r="472" spans="4:4" x14ac:dyDescent="0.3">
      <c r="D472" s="104"/>
    </row>
    <row r="473" spans="4:4" x14ac:dyDescent="0.3">
      <c r="D473" s="104"/>
    </row>
    <row r="474" spans="4:4" x14ac:dyDescent="0.3">
      <c r="D474" s="104"/>
    </row>
    <row r="475" spans="4:4" x14ac:dyDescent="0.3">
      <c r="D475" s="104"/>
    </row>
    <row r="476" spans="4:4" x14ac:dyDescent="0.3">
      <c r="D476" s="104"/>
    </row>
    <row r="477" spans="4:4" x14ac:dyDescent="0.3">
      <c r="D477" s="104"/>
    </row>
    <row r="478" spans="4:4" x14ac:dyDescent="0.3">
      <c r="D478" s="104"/>
    </row>
    <row r="479" spans="4:4" x14ac:dyDescent="0.3">
      <c r="D479" s="104"/>
    </row>
    <row r="480" spans="4:4" x14ac:dyDescent="0.3">
      <c r="D480" s="104"/>
    </row>
    <row r="481" spans="4:4" x14ac:dyDescent="0.3">
      <c r="D481" s="104"/>
    </row>
    <row r="482" spans="4:4" x14ac:dyDescent="0.3">
      <c r="D482" s="104"/>
    </row>
    <row r="483" spans="4:4" x14ac:dyDescent="0.3">
      <c r="D483" s="104"/>
    </row>
    <row r="484" spans="4:4" x14ac:dyDescent="0.3">
      <c r="D484" s="104"/>
    </row>
    <row r="485" spans="4:4" x14ac:dyDescent="0.3">
      <c r="D485" s="104"/>
    </row>
    <row r="486" spans="4:4" x14ac:dyDescent="0.3">
      <c r="D486" s="104"/>
    </row>
    <row r="487" spans="4:4" x14ac:dyDescent="0.3">
      <c r="D487" s="104"/>
    </row>
    <row r="488" spans="4:4" x14ac:dyDescent="0.3">
      <c r="D488" s="104"/>
    </row>
    <row r="489" spans="4:4" x14ac:dyDescent="0.3">
      <c r="D489" s="104"/>
    </row>
    <row r="490" spans="4:4" x14ac:dyDescent="0.3">
      <c r="D490" s="104"/>
    </row>
    <row r="491" spans="4:4" x14ac:dyDescent="0.3">
      <c r="D491" s="104"/>
    </row>
    <row r="492" spans="4:4" x14ac:dyDescent="0.3">
      <c r="D492" s="104"/>
    </row>
    <row r="493" spans="4:4" x14ac:dyDescent="0.3">
      <c r="D493" s="104"/>
    </row>
    <row r="494" spans="4:4" x14ac:dyDescent="0.3">
      <c r="D494" s="104"/>
    </row>
    <row r="495" spans="4:4" x14ac:dyDescent="0.3">
      <c r="D495" s="104"/>
    </row>
    <row r="496" spans="4:4" x14ac:dyDescent="0.3">
      <c r="D496" s="104"/>
    </row>
    <row r="497" spans="4:4" x14ac:dyDescent="0.3">
      <c r="D497" s="104"/>
    </row>
    <row r="498" spans="4:4" x14ac:dyDescent="0.3">
      <c r="D498" s="104"/>
    </row>
    <row r="499" spans="4:4" x14ac:dyDescent="0.3">
      <c r="D499" s="104"/>
    </row>
    <row r="500" spans="4:4" x14ac:dyDescent="0.3">
      <c r="D500" s="104"/>
    </row>
    <row r="501" spans="4:4" x14ac:dyDescent="0.3">
      <c r="D501" s="104"/>
    </row>
    <row r="502" spans="4:4" x14ac:dyDescent="0.3">
      <c r="D502" s="104"/>
    </row>
    <row r="503" spans="4:4" x14ac:dyDescent="0.3">
      <c r="D503" s="104"/>
    </row>
    <row r="504" spans="4:4" x14ac:dyDescent="0.3">
      <c r="D504" s="104"/>
    </row>
    <row r="505" spans="4:4" x14ac:dyDescent="0.3">
      <c r="D505" s="104"/>
    </row>
    <row r="506" spans="4:4" x14ac:dyDescent="0.3">
      <c r="D506" s="104"/>
    </row>
    <row r="507" spans="4:4" x14ac:dyDescent="0.3">
      <c r="D507" s="104"/>
    </row>
    <row r="508" spans="4:4" x14ac:dyDescent="0.3">
      <c r="D508" s="104"/>
    </row>
    <row r="509" spans="4:4" x14ac:dyDescent="0.3">
      <c r="D509" s="104"/>
    </row>
    <row r="510" spans="4:4" x14ac:dyDescent="0.3">
      <c r="D510" s="104"/>
    </row>
    <row r="511" spans="4:4" x14ac:dyDescent="0.3">
      <c r="D511" s="104"/>
    </row>
    <row r="512" spans="4:4" x14ac:dyDescent="0.3">
      <c r="D512" s="104"/>
    </row>
    <row r="513" spans="4:4" x14ac:dyDescent="0.3">
      <c r="D513" s="104"/>
    </row>
    <row r="514" spans="4:4" x14ac:dyDescent="0.3">
      <c r="D514" s="104"/>
    </row>
    <row r="515" spans="4:4" x14ac:dyDescent="0.3">
      <c r="D515" s="104"/>
    </row>
    <row r="516" spans="4:4" x14ac:dyDescent="0.3">
      <c r="D516" s="104"/>
    </row>
    <row r="517" spans="4:4" x14ac:dyDescent="0.3">
      <c r="D517" s="104"/>
    </row>
    <row r="518" spans="4:4" x14ac:dyDescent="0.3">
      <c r="D518" s="104"/>
    </row>
    <row r="519" spans="4:4" x14ac:dyDescent="0.3">
      <c r="D519" s="104"/>
    </row>
    <row r="520" spans="4:4" x14ac:dyDescent="0.3">
      <c r="D520" s="104"/>
    </row>
    <row r="521" spans="4:4" x14ac:dyDescent="0.3">
      <c r="D521" s="104"/>
    </row>
    <row r="522" spans="4:4" x14ac:dyDescent="0.3">
      <c r="D522" s="104"/>
    </row>
    <row r="523" spans="4:4" x14ac:dyDescent="0.3">
      <c r="D523" s="104"/>
    </row>
    <row r="524" spans="4:4" x14ac:dyDescent="0.3">
      <c r="D524" s="104"/>
    </row>
    <row r="525" spans="4:4" x14ac:dyDescent="0.3">
      <c r="D525" s="104"/>
    </row>
    <row r="526" spans="4:4" x14ac:dyDescent="0.3">
      <c r="D526" s="104"/>
    </row>
    <row r="527" spans="4:4" x14ac:dyDescent="0.3">
      <c r="D527" s="104"/>
    </row>
    <row r="528" spans="4:4" x14ac:dyDescent="0.3">
      <c r="D528" s="104"/>
    </row>
    <row r="529" spans="4:4" x14ac:dyDescent="0.3">
      <c r="D529" s="104"/>
    </row>
    <row r="530" spans="4:4" x14ac:dyDescent="0.3">
      <c r="D530" s="104"/>
    </row>
    <row r="531" spans="4:4" x14ac:dyDescent="0.3">
      <c r="D531" s="104"/>
    </row>
    <row r="532" spans="4:4" x14ac:dyDescent="0.3">
      <c r="D532" s="104"/>
    </row>
    <row r="533" spans="4:4" x14ac:dyDescent="0.3">
      <c r="D533" s="104"/>
    </row>
    <row r="534" spans="4:4" x14ac:dyDescent="0.3">
      <c r="D534" s="104"/>
    </row>
    <row r="535" spans="4:4" x14ac:dyDescent="0.3">
      <c r="D535" s="104"/>
    </row>
    <row r="536" spans="4:4" x14ac:dyDescent="0.3">
      <c r="D536" s="104"/>
    </row>
    <row r="537" spans="4:4" x14ac:dyDescent="0.3">
      <c r="D537" s="104"/>
    </row>
    <row r="538" spans="4:4" x14ac:dyDescent="0.3">
      <c r="D538" s="104"/>
    </row>
    <row r="539" spans="4:4" x14ac:dyDescent="0.3">
      <c r="D539" s="104"/>
    </row>
    <row r="540" spans="4:4" x14ac:dyDescent="0.3">
      <c r="D540" s="104"/>
    </row>
    <row r="541" spans="4:4" x14ac:dyDescent="0.3">
      <c r="D541" s="104"/>
    </row>
    <row r="542" spans="4:4" x14ac:dyDescent="0.3">
      <c r="D542" s="104"/>
    </row>
    <row r="543" spans="4:4" x14ac:dyDescent="0.3">
      <c r="D543" s="104"/>
    </row>
    <row r="544" spans="4:4" x14ac:dyDescent="0.3">
      <c r="D544" s="104"/>
    </row>
    <row r="545" spans="4:4" x14ac:dyDescent="0.3">
      <c r="D545" s="104"/>
    </row>
    <row r="546" spans="4:4" x14ac:dyDescent="0.3">
      <c r="D546" s="104"/>
    </row>
    <row r="547" spans="4:4" x14ac:dyDescent="0.3">
      <c r="D547" s="104"/>
    </row>
    <row r="548" spans="4:4" x14ac:dyDescent="0.3">
      <c r="D548" s="104"/>
    </row>
    <row r="549" spans="4:4" x14ac:dyDescent="0.3">
      <c r="D549" s="104"/>
    </row>
    <row r="550" spans="4:4" x14ac:dyDescent="0.3">
      <c r="D550" s="104"/>
    </row>
    <row r="551" spans="4:4" x14ac:dyDescent="0.3">
      <c r="D551" s="104"/>
    </row>
    <row r="552" spans="4:4" x14ac:dyDescent="0.3">
      <c r="D552" s="104"/>
    </row>
    <row r="553" spans="4:4" x14ac:dyDescent="0.3">
      <c r="D553" s="104"/>
    </row>
    <row r="554" spans="4:4" x14ac:dyDescent="0.3">
      <c r="D554" s="104"/>
    </row>
    <row r="555" spans="4:4" x14ac:dyDescent="0.3">
      <c r="D555" s="104"/>
    </row>
    <row r="556" spans="4:4" x14ac:dyDescent="0.3">
      <c r="D556" s="104"/>
    </row>
    <row r="557" spans="4:4" x14ac:dyDescent="0.3">
      <c r="D557" s="104"/>
    </row>
    <row r="558" spans="4:4" x14ac:dyDescent="0.3">
      <c r="D558" s="104"/>
    </row>
    <row r="559" spans="4:4" x14ac:dyDescent="0.3">
      <c r="D559" s="104"/>
    </row>
    <row r="560" spans="4:4" x14ac:dyDescent="0.3">
      <c r="D560" s="104"/>
    </row>
    <row r="561" spans="4:4" x14ac:dyDescent="0.3">
      <c r="D561" s="104"/>
    </row>
    <row r="562" spans="4:4" x14ac:dyDescent="0.3">
      <c r="D562" s="104"/>
    </row>
    <row r="563" spans="4:4" x14ac:dyDescent="0.3">
      <c r="D563" s="104"/>
    </row>
    <row r="564" spans="4:4" x14ac:dyDescent="0.3">
      <c r="D564" s="104"/>
    </row>
    <row r="565" spans="4:4" x14ac:dyDescent="0.3">
      <c r="D565" s="104"/>
    </row>
    <row r="566" spans="4:4" x14ac:dyDescent="0.3">
      <c r="D566" s="104"/>
    </row>
    <row r="567" spans="4:4" x14ac:dyDescent="0.3">
      <c r="D567" s="104"/>
    </row>
    <row r="568" spans="4:4" x14ac:dyDescent="0.3">
      <c r="D568" s="104"/>
    </row>
    <row r="569" spans="4:4" x14ac:dyDescent="0.3">
      <c r="D569" s="104"/>
    </row>
    <row r="570" spans="4:4" x14ac:dyDescent="0.3">
      <c r="D570" s="104"/>
    </row>
    <row r="571" spans="4:4" x14ac:dyDescent="0.3">
      <c r="D571" s="104"/>
    </row>
    <row r="572" spans="4:4" x14ac:dyDescent="0.3">
      <c r="D572" s="104"/>
    </row>
    <row r="573" spans="4:4" x14ac:dyDescent="0.3">
      <c r="D573" s="104"/>
    </row>
    <row r="574" spans="4:4" x14ac:dyDescent="0.3">
      <c r="D574" s="104"/>
    </row>
    <row r="575" spans="4:4" x14ac:dyDescent="0.3">
      <c r="D575" s="104"/>
    </row>
    <row r="576" spans="4:4" x14ac:dyDescent="0.3">
      <c r="D576" s="104"/>
    </row>
    <row r="577" spans="4:4" x14ac:dyDescent="0.3">
      <c r="D577" s="104"/>
    </row>
    <row r="578" spans="4:4" x14ac:dyDescent="0.3">
      <c r="D578" s="104"/>
    </row>
    <row r="579" spans="4:4" x14ac:dyDescent="0.3">
      <c r="D579" s="104"/>
    </row>
    <row r="580" spans="4:4" x14ac:dyDescent="0.3">
      <c r="D580" s="104"/>
    </row>
    <row r="581" spans="4:4" x14ac:dyDescent="0.3">
      <c r="D581" s="104"/>
    </row>
    <row r="582" spans="4:4" x14ac:dyDescent="0.3">
      <c r="D582" s="104"/>
    </row>
    <row r="583" spans="4:4" x14ac:dyDescent="0.3">
      <c r="D583" s="104"/>
    </row>
    <row r="584" spans="4:4" x14ac:dyDescent="0.3">
      <c r="D584" s="104"/>
    </row>
    <row r="585" spans="4:4" x14ac:dyDescent="0.3">
      <c r="D585" s="104"/>
    </row>
    <row r="586" spans="4:4" x14ac:dyDescent="0.3">
      <c r="D586" s="104"/>
    </row>
    <row r="587" spans="4:4" x14ac:dyDescent="0.3">
      <c r="D587" s="104"/>
    </row>
    <row r="588" spans="4:4" x14ac:dyDescent="0.3">
      <c r="D588" s="104"/>
    </row>
    <row r="589" spans="4:4" x14ac:dyDescent="0.3">
      <c r="D589" s="104"/>
    </row>
    <row r="590" spans="4:4" x14ac:dyDescent="0.3">
      <c r="D590" s="104"/>
    </row>
    <row r="591" spans="4:4" x14ac:dyDescent="0.3">
      <c r="D591" s="104"/>
    </row>
    <row r="592" spans="4:4" x14ac:dyDescent="0.3">
      <c r="D592" s="104"/>
    </row>
    <row r="593" spans="4:4" x14ac:dyDescent="0.3">
      <c r="D593" s="104"/>
    </row>
    <row r="594" spans="4:4" x14ac:dyDescent="0.3">
      <c r="D594" s="104"/>
    </row>
    <row r="595" spans="4:4" x14ac:dyDescent="0.3">
      <c r="D595" s="104"/>
    </row>
    <row r="596" spans="4:4" x14ac:dyDescent="0.3">
      <c r="D596" s="104"/>
    </row>
    <row r="597" spans="4:4" x14ac:dyDescent="0.3">
      <c r="D597" s="104"/>
    </row>
    <row r="598" spans="4:4" x14ac:dyDescent="0.3">
      <c r="D598" s="104"/>
    </row>
    <row r="599" spans="4:4" x14ac:dyDescent="0.3">
      <c r="D599" s="104"/>
    </row>
    <row r="600" spans="4:4" x14ac:dyDescent="0.3">
      <c r="D600" s="104"/>
    </row>
    <row r="601" spans="4:4" x14ac:dyDescent="0.3">
      <c r="D601" s="104"/>
    </row>
    <row r="602" spans="4:4" x14ac:dyDescent="0.3">
      <c r="D602" s="104"/>
    </row>
    <row r="603" spans="4:4" x14ac:dyDescent="0.3">
      <c r="D603" s="104"/>
    </row>
    <row r="604" spans="4:4" x14ac:dyDescent="0.3">
      <c r="D604" s="104"/>
    </row>
    <row r="605" spans="4:4" x14ac:dyDescent="0.3">
      <c r="D605" s="104"/>
    </row>
    <row r="606" spans="4:4" x14ac:dyDescent="0.3">
      <c r="D606" s="104"/>
    </row>
    <row r="607" spans="4:4" x14ac:dyDescent="0.3">
      <c r="D607" s="104"/>
    </row>
    <row r="608" spans="4:4" x14ac:dyDescent="0.3">
      <c r="D608" s="104"/>
    </row>
    <row r="609" spans="4:4" x14ac:dyDescent="0.3">
      <c r="D609" s="104"/>
    </row>
    <row r="610" spans="4:4" x14ac:dyDescent="0.3">
      <c r="D610" s="104"/>
    </row>
    <row r="611" spans="4:4" x14ac:dyDescent="0.3">
      <c r="D611" s="104"/>
    </row>
    <row r="612" spans="4:4" x14ac:dyDescent="0.3">
      <c r="D612" s="104"/>
    </row>
    <row r="613" spans="4:4" x14ac:dyDescent="0.3">
      <c r="D613" s="104"/>
    </row>
    <row r="614" spans="4:4" x14ac:dyDescent="0.3">
      <c r="D614" s="104"/>
    </row>
    <row r="615" spans="4:4" x14ac:dyDescent="0.3">
      <c r="D615" s="104"/>
    </row>
    <row r="616" spans="4:4" x14ac:dyDescent="0.3">
      <c r="D616" s="104"/>
    </row>
    <row r="617" spans="4:4" x14ac:dyDescent="0.3">
      <c r="D617" s="104"/>
    </row>
    <row r="618" spans="4:4" x14ac:dyDescent="0.3">
      <c r="D618" s="104"/>
    </row>
    <row r="619" spans="4:4" x14ac:dyDescent="0.3">
      <c r="D619" s="104"/>
    </row>
    <row r="620" spans="4:4" x14ac:dyDescent="0.3">
      <c r="D620" s="104"/>
    </row>
    <row r="621" spans="4:4" x14ac:dyDescent="0.3">
      <c r="D621" s="104"/>
    </row>
    <row r="622" spans="4:4" x14ac:dyDescent="0.3">
      <c r="D622" s="104"/>
    </row>
    <row r="623" spans="4:4" x14ac:dyDescent="0.3">
      <c r="D623" s="104"/>
    </row>
    <row r="624" spans="4:4" x14ac:dyDescent="0.3">
      <c r="D624" s="104"/>
    </row>
    <row r="625" spans="4:4" x14ac:dyDescent="0.3">
      <c r="D625" s="104"/>
    </row>
    <row r="626" spans="4:4" x14ac:dyDescent="0.3">
      <c r="D626" s="104"/>
    </row>
    <row r="627" spans="4:4" x14ac:dyDescent="0.3">
      <c r="D627" s="104"/>
    </row>
    <row r="628" spans="4:4" x14ac:dyDescent="0.3">
      <c r="D628" s="104"/>
    </row>
    <row r="629" spans="4:4" x14ac:dyDescent="0.3">
      <c r="D629" s="104"/>
    </row>
    <row r="630" spans="4:4" x14ac:dyDescent="0.3">
      <c r="D630" s="104"/>
    </row>
    <row r="631" spans="4:4" x14ac:dyDescent="0.3">
      <c r="D631" s="104"/>
    </row>
    <row r="632" spans="4:4" x14ac:dyDescent="0.3">
      <c r="D632" s="104"/>
    </row>
    <row r="633" spans="4:4" x14ac:dyDescent="0.3">
      <c r="D633" s="104"/>
    </row>
    <row r="634" spans="4:4" x14ac:dyDescent="0.3">
      <c r="D634" s="104"/>
    </row>
    <row r="635" spans="4:4" x14ac:dyDescent="0.3">
      <c r="D635" s="104"/>
    </row>
    <row r="636" spans="4:4" x14ac:dyDescent="0.3">
      <c r="D636" s="104"/>
    </row>
    <row r="637" spans="4:4" x14ac:dyDescent="0.3">
      <c r="D637" s="104"/>
    </row>
    <row r="638" spans="4:4" x14ac:dyDescent="0.3">
      <c r="D638" s="104"/>
    </row>
    <row r="639" spans="4:4" x14ac:dyDescent="0.3">
      <c r="D639" s="104"/>
    </row>
    <row r="640" spans="4:4" x14ac:dyDescent="0.3">
      <c r="D640" s="104"/>
    </row>
    <row r="641" spans="4:4" x14ac:dyDescent="0.3">
      <c r="D641" s="104"/>
    </row>
    <row r="642" spans="4:4" x14ac:dyDescent="0.3">
      <c r="D642" s="104"/>
    </row>
    <row r="643" spans="4:4" x14ac:dyDescent="0.3">
      <c r="D643" s="104"/>
    </row>
    <row r="644" spans="4:4" x14ac:dyDescent="0.3">
      <c r="D644" s="104"/>
    </row>
    <row r="645" spans="4:4" x14ac:dyDescent="0.3">
      <c r="D645" s="104"/>
    </row>
    <row r="646" spans="4:4" x14ac:dyDescent="0.3">
      <c r="D646" s="104"/>
    </row>
    <row r="647" spans="4:4" x14ac:dyDescent="0.3">
      <c r="D647" s="104"/>
    </row>
    <row r="648" spans="4:4" x14ac:dyDescent="0.3">
      <c r="D648" s="104"/>
    </row>
    <row r="649" spans="4:4" x14ac:dyDescent="0.3">
      <c r="D649" s="104"/>
    </row>
    <row r="650" spans="4:4" x14ac:dyDescent="0.3">
      <c r="D650" s="104"/>
    </row>
    <row r="651" spans="4:4" x14ac:dyDescent="0.3">
      <c r="D651" s="104"/>
    </row>
    <row r="652" spans="4:4" x14ac:dyDescent="0.3">
      <c r="D652" s="104"/>
    </row>
    <row r="653" spans="4:4" x14ac:dyDescent="0.3">
      <c r="D653" s="104"/>
    </row>
    <row r="654" spans="4:4" x14ac:dyDescent="0.3">
      <c r="D654" s="104"/>
    </row>
    <row r="655" spans="4:4" x14ac:dyDescent="0.3">
      <c r="D655" s="104"/>
    </row>
    <row r="656" spans="4:4" x14ac:dyDescent="0.3">
      <c r="D656" s="104"/>
    </row>
    <row r="657" spans="4:4" x14ac:dyDescent="0.3">
      <c r="D657" s="104"/>
    </row>
    <row r="658" spans="4:4" x14ac:dyDescent="0.3">
      <c r="D658" s="104"/>
    </row>
    <row r="659" spans="4:4" x14ac:dyDescent="0.3">
      <c r="D659" s="104"/>
    </row>
    <row r="660" spans="4:4" x14ac:dyDescent="0.3">
      <c r="D660" s="104"/>
    </row>
    <row r="661" spans="4:4" x14ac:dyDescent="0.3">
      <c r="D661" s="104"/>
    </row>
    <row r="662" spans="4:4" x14ac:dyDescent="0.3">
      <c r="D662" s="104"/>
    </row>
    <row r="663" spans="4:4" x14ac:dyDescent="0.3">
      <c r="D663" s="104"/>
    </row>
    <row r="664" spans="4:4" x14ac:dyDescent="0.3">
      <c r="D664" s="104"/>
    </row>
    <row r="665" spans="4:4" x14ac:dyDescent="0.3">
      <c r="D665" s="104"/>
    </row>
    <row r="666" spans="4:4" x14ac:dyDescent="0.3">
      <c r="D666" s="104"/>
    </row>
    <row r="667" spans="4:4" x14ac:dyDescent="0.3">
      <c r="D667" s="104"/>
    </row>
    <row r="668" spans="4:4" x14ac:dyDescent="0.3">
      <c r="D668" s="104"/>
    </row>
    <row r="669" spans="4:4" x14ac:dyDescent="0.3">
      <c r="D669" s="104"/>
    </row>
    <row r="670" spans="4:4" x14ac:dyDescent="0.3">
      <c r="D670" s="104"/>
    </row>
    <row r="671" spans="4:4" x14ac:dyDescent="0.3">
      <c r="D671" s="104"/>
    </row>
    <row r="672" spans="4:4" x14ac:dyDescent="0.3">
      <c r="D672" s="104"/>
    </row>
    <row r="673" spans="4:4" x14ac:dyDescent="0.3">
      <c r="D673" s="104"/>
    </row>
    <row r="674" spans="4:4" x14ac:dyDescent="0.3">
      <c r="D674" s="104"/>
    </row>
    <row r="675" spans="4:4" x14ac:dyDescent="0.3">
      <c r="D675" s="104"/>
    </row>
    <row r="676" spans="4:4" x14ac:dyDescent="0.3">
      <c r="D676" s="104"/>
    </row>
    <row r="677" spans="4:4" x14ac:dyDescent="0.3">
      <c r="D677" s="104"/>
    </row>
    <row r="678" spans="4:4" x14ac:dyDescent="0.3">
      <c r="D678" s="104"/>
    </row>
    <row r="679" spans="4:4" x14ac:dyDescent="0.3">
      <c r="D679" s="104"/>
    </row>
    <row r="680" spans="4:4" x14ac:dyDescent="0.3">
      <c r="D680" s="104"/>
    </row>
    <row r="681" spans="4:4" x14ac:dyDescent="0.3">
      <c r="D681" s="104"/>
    </row>
    <row r="682" spans="4:4" x14ac:dyDescent="0.3">
      <c r="D682" s="104"/>
    </row>
    <row r="683" spans="4:4" x14ac:dyDescent="0.3">
      <c r="D683" s="104"/>
    </row>
    <row r="684" spans="4:4" x14ac:dyDescent="0.3">
      <c r="D684" s="104"/>
    </row>
    <row r="685" spans="4:4" x14ac:dyDescent="0.3">
      <c r="D685" s="104"/>
    </row>
    <row r="686" spans="4:4" x14ac:dyDescent="0.3">
      <c r="D686" s="104"/>
    </row>
    <row r="687" spans="4:4" x14ac:dyDescent="0.3">
      <c r="D687" s="104"/>
    </row>
    <row r="688" spans="4:4" x14ac:dyDescent="0.3">
      <c r="D688" s="104"/>
    </row>
    <row r="689" spans="4:4" x14ac:dyDescent="0.3">
      <c r="D689" s="104"/>
    </row>
    <row r="690" spans="4:4" x14ac:dyDescent="0.3">
      <c r="D690" s="104"/>
    </row>
    <row r="691" spans="4:4" x14ac:dyDescent="0.3">
      <c r="D691" s="104"/>
    </row>
    <row r="692" spans="4:4" x14ac:dyDescent="0.3">
      <c r="D692" s="104"/>
    </row>
    <row r="693" spans="4:4" x14ac:dyDescent="0.3">
      <c r="D693" s="104"/>
    </row>
    <row r="694" spans="4:4" x14ac:dyDescent="0.3">
      <c r="D694" s="104"/>
    </row>
    <row r="695" spans="4:4" x14ac:dyDescent="0.3">
      <c r="D695" s="104"/>
    </row>
    <row r="696" spans="4:4" x14ac:dyDescent="0.3">
      <c r="D696" s="104"/>
    </row>
    <row r="697" spans="4:4" x14ac:dyDescent="0.3">
      <c r="D697" s="104"/>
    </row>
    <row r="698" spans="4:4" x14ac:dyDescent="0.3">
      <c r="D698" s="104"/>
    </row>
    <row r="699" spans="4:4" x14ac:dyDescent="0.3">
      <c r="D699" s="104"/>
    </row>
    <row r="700" spans="4:4" x14ac:dyDescent="0.3">
      <c r="D700" s="104"/>
    </row>
    <row r="701" spans="4:4" x14ac:dyDescent="0.3">
      <c r="D701" s="104"/>
    </row>
    <row r="702" spans="4:4" x14ac:dyDescent="0.3">
      <c r="D702" s="104"/>
    </row>
    <row r="703" spans="4:4" x14ac:dyDescent="0.3">
      <c r="D703" s="104"/>
    </row>
    <row r="704" spans="4:4" x14ac:dyDescent="0.3">
      <c r="D704" s="104"/>
    </row>
    <row r="705" spans="4:4" x14ac:dyDescent="0.3">
      <c r="D705" s="104"/>
    </row>
    <row r="706" spans="4:4" x14ac:dyDescent="0.3">
      <c r="D706" s="104"/>
    </row>
    <row r="707" spans="4:4" x14ac:dyDescent="0.3">
      <c r="D707" s="104"/>
    </row>
    <row r="708" spans="4:4" x14ac:dyDescent="0.3">
      <c r="D708" s="104"/>
    </row>
    <row r="709" spans="4:4" x14ac:dyDescent="0.3">
      <c r="D709" s="104"/>
    </row>
    <row r="710" spans="4:4" x14ac:dyDescent="0.3">
      <c r="D710" s="104"/>
    </row>
    <row r="711" spans="4:4" x14ac:dyDescent="0.3">
      <c r="D711" s="104"/>
    </row>
    <row r="712" spans="4:4" x14ac:dyDescent="0.3">
      <c r="D712" s="104"/>
    </row>
    <row r="713" spans="4:4" x14ac:dyDescent="0.3">
      <c r="D713" s="104"/>
    </row>
    <row r="714" spans="4:4" x14ac:dyDescent="0.3">
      <c r="D714" s="104"/>
    </row>
    <row r="715" spans="4:4" x14ac:dyDescent="0.3">
      <c r="D715" s="104"/>
    </row>
    <row r="716" spans="4:4" x14ac:dyDescent="0.3">
      <c r="D716" s="104"/>
    </row>
    <row r="717" spans="4:4" x14ac:dyDescent="0.3">
      <c r="D717" s="104"/>
    </row>
    <row r="718" spans="4:4" x14ac:dyDescent="0.3">
      <c r="D718" s="104"/>
    </row>
    <row r="719" spans="4:4" x14ac:dyDescent="0.3">
      <c r="D719" s="104"/>
    </row>
    <row r="720" spans="4:4" x14ac:dyDescent="0.3">
      <c r="D720" s="104"/>
    </row>
    <row r="721" spans="4:4" x14ac:dyDescent="0.3">
      <c r="D721" s="104"/>
    </row>
    <row r="722" spans="4:4" x14ac:dyDescent="0.3">
      <c r="D722" s="104"/>
    </row>
    <row r="723" spans="4:4" x14ac:dyDescent="0.3">
      <c r="D723" s="104"/>
    </row>
    <row r="724" spans="4:4" x14ac:dyDescent="0.3">
      <c r="D724" s="104"/>
    </row>
    <row r="725" spans="4:4" x14ac:dyDescent="0.3">
      <c r="D725" s="104"/>
    </row>
    <row r="726" spans="4:4" x14ac:dyDescent="0.3">
      <c r="D726" s="104"/>
    </row>
    <row r="727" spans="4:4" x14ac:dyDescent="0.3">
      <c r="D727" s="104"/>
    </row>
    <row r="728" spans="4:4" x14ac:dyDescent="0.3">
      <c r="D728" s="104"/>
    </row>
    <row r="729" spans="4:4" x14ac:dyDescent="0.3">
      <c r="D729" s="104"/>
    </row>
    <row r="730" spans="4:4" x14ac:dyDescent="0.3">
      <c r="D730" s="104"/>
    </row>
    <row r="731" spans="4:4" x14ac:dyDescent="0.3">
      <c r="D731" s="104"/>
    </row>
    <row r="732" spans="4:4" x14ac:dyDescent="0.3">
      <c r="D732" s="104"/>
    </row>
    <row r="733" spans="4:4" x14ac:dyDescent="0.3">
      <c r="D733" s="104"/>
    </row>
    <row r="734" spans="4:4" x14ac:dyDescent="0.3">
      <c r="D734" s="104"/>
    </row>
    <row r="735" spans="4:4" x14ac:dyDescent="0.3">
      <c r="D735" s="104"/>
    </row>
    <row r="736" spans="4:4" x14ac:dyDescent="0.3">
      <c r="D736" s="104"/>
    </row>
    <row r="737" spans="4:4" x14ac:dyDescent="0.3">
      <c r="D737" s="104"/>
    </row>
    <row r="738" spans="4:4" x14ac:dyDescent="0.3">
      <c r="D738" s="104"/>
    </row>
    <row r="739" spans="4:4" x14ac:dyDescent="0.3">
      <c r="D739" s="104"/>
    </row>
    <row r="740" spans="4:4" x14ac:dyDescent="0.3">
      <c r="D740" s="104"/>
    </row>
    <row r="741" spans="4:4" x14ac:dyDescent="0.3">
      <c r="D741" s="104"/>
    </row>
    <row r="742" spans="4:4" x14ac:dyDescent="0.3">
      <c r="D742" s="104"/>
    </row>
    <row r="743" spans="4:4" x14ac:dyDescent="0.3">
      <c r="D743" s="104"/>
    </row>
    <row r="744" spans="4:4" x14ac:dyDescent="0.3">
      <c r="D744" s="104"/>
    </row>
    <row r="745" spans="4:4" x14ac:dyDescent="0.3">
      <c r="D745" s="104"/>
    </row>
    <row r="746" spans="4:4" x14ac:dyDescent="0.3">
      <c r="D746" s="104"/>
    </row>
    <row r="747" spans="4:4" x14ac:dyDescent="0.3">
      <c r="D747" s="104"/>
    </row>
    <row r="748" spans="4:4" x14ac:dyDescent="0.3">
      <c r="D748" s="104"/>
    </row>
    <row r="749" spans="4:4" x14ac:dyDescent="0.3">
      <c r="D749" s="104"/>
    </row>
    <row r="750" spans="4:4" x14ac:dyDescent="0.3">
      <c r="D750" s="104"/>
    </row>
    <row r="751" spans="4:4" x14ac:dyDescent="0.3">
      <c r="D751" s="104"/>
    </row>
    <row r="752" spans="4:4" x14ac:dyDescent="0.3">
      <c r="D752" s="104"/>
    </row>
    <row r="753" spans="4:4" x14ac:dyDescent="0.3">
      <c r="D753" s="104"/>
    </row>
    <row r="754" spans="4:4" x14ac:dyDescent="0.3">
      <c r="D754" s="104"/>
    </row>
    <row r="755" spans="4:4" x14ac:dyDescent="0.3">
      <c r="D755" s="104"/>
    </row>
    <row r="756" spans="4:4" x14ac:dyDescent="0.3">
      <c r="D756" s="104"/>
    </row>
    <row r="757" spans="4:4" x14ac:dyDescent="0.3">
      <c r="D757" s="104"/>
    </row>
    <row r="758" spans="4:4" x14ac:dyDescent="0.3">
      <c r="D758" s="104"/>
    </row>
    <row r="759" spans="4:4" x14ac:dyDescent="0.3">
      <c r="D759" s="104"/>
    </row>
    <row r="760" spans="4:4" x14ac:dyDescent="0.3">
      <c r="D760" s="104"/>
    </row>
    <row r="761" spans="4:4" x14ac:dyDescent="0.3">
      <c r="D761" s="104"/>
    </row>
    <row r="762" spans="4:4" x14ac:dyDescent="0.3">
      <c r="D762" s="104"/>
    </row>
    <row r="763" spans="4:4" x14ac:dyDescent="0.3">
      <c r="D763" s="104"/>
    </row>
    <row r="764" spans="4:4" x14ac:dyDescent="0.3">
      <c r="D764" s="104"/>
    </row>
    <row r="765" spans="4:4" x14ac:dyDescent="0.3">
      <c r="D765" s="104"/>
    </row>
    <row r="766" spans="4:4" x14ac:dyDescent="0.3">
      <c r="D766" s="104"/>
    </row>
    <row r="767" spans="4:4" x14ac:dyDescent="0.3">
      <c r="D767" s="104"/>
    </row>
    <row r="768" spans="4:4" x14ac:dyDescent="0.3">
      <c r="D768" s="104"/>
    </row>
    <row r="769" spans="4:4" x14ac:dyDescent="0.3">
      <c r="D769" s="104"/>
    </row>
    <row r="770" spans="4:4" x14ac:dyDescent="0.3">
      <c r="D770" s="104"/>
    </row>
    <row r="771" spans="4:4" x14ac:dyDescent="0.3">
      <c r="D771" s="104"/>
    </row>
    <row r="772" spans="4:4" x14ac:dyDescent="0.3">
      <c r="D772" s="104"/>
    </row>
    <row r="773" spans="4:4" x14ac:dyDescent="0.3">
      <c r="D773" s="104"/>
    </row>
    <row r="774" spans="4:4" x14ac:dyDescent="0.3">
      <c r="D774" s="104"/>
    </row>
    <row r="775" spans="4:4" x14ac:dyDescent="0.3">
      <c r="D775" s="104"/>
    </row>
    <row r="776" spans="4:4" x14ac:dyDescent="0.3">
      <c r="D776" s="104"/>
    </row>
    <row r="777" spans="4:4" x14ac:dyDescent="0.3">
      <c r="D777" s="104"/>
    </row>
    <row r="778" spans="4:4" x14ac:dyDescent="0.3">
      <c r="D778" s="104"/>
    </row>
    <row r="779" spans="4:4" x14ac:dyDescent="0.3">
      <c r="D779" s="104"/>
    </row>
    <row r="780" spans="4:4" x14ac:dyDescent="0.3">
      <c r="D780" s="104"/>
    </row>
    <row r="781" spans="4:4" x14ac:dyDescent="0.3">
      <c r="D781" s="104"/>
    </row>
    <row r="782" spans="4:4" x14ac:dyDescent="0.3">
      <c r="D782" s="104"/>
    </row>
    <row r="783" spans="4:4" x14ac:dyDescent="0.3">
      <c r="D783" s="104"/>
    </row>
    <row r="784" spans="4:4" x14ac:dyDescent="0.3">
      <c r="D784" s="104"/>
    </row>
    <row r="785" spans="4:4" x14ac:dyDescent="0.3">
      <c r="D785" s="104"/>
    </row>
    <row r="786" spans="4:4" x14ac:dyDescent="0.3">
      <c r="D786" s="104"/>
    </row>
    <row r="787" spans="4:4" x14ac:dyDescent="0.3">
      <c r="D787" s="104"/>
    </row>
    <row r="788" spans="4:4" x14ac:dyDescent="0.3">
      <c r="D788" s="104"/>
    </row>
    <row r="789" spans="4:4" x14ac:dyDescent="0.3">
      <c r="D789" s="104"/>
    </row>
    <row r="790" spans="4:4" x14ac:dyDescent="0.3">
      <c r="D790" s="104"/>
    </row>
    <row r="791" spans="4:4" x14ac:dyDescent="0.3">
      <c r="D791" s="104"/>
    </row>
    <row r="792" spans="4:4" x14ac:dyDescent="0.3">
      <c r="D792" s="104"/>
    </row>
    <row r="793" spans="4:4" x14ac:dyDescent="0.3">
      <c r="D793" s="104"/>
    </row>
    <row r="794" spans="4:4" x14ac:dyDescent="0.3">
      <c r="D794" s="104"/>
    </row>
    <row r="795" spans="4:4" x14ac:dyDescent="0.3">
      <c r="D795" s="104"/>
    </row>
    <row r="796" spans="4:4" x14ac:dyDescent="0.3">
      <c r="D796" s="104"/>
    </row>
    <row r="797" spans="4:4" x14ac:dyDescent="0.3">
      <c r="D797" s="104"/>
    </row>
    <row r="798" spans="4:4" x14ac:dyDescent="0.3">
      <c r="D798" s="104"/>
    </row>
    <row r="799" spans="4:4" x14ac:dyDescent="0.3">
      <c r="D799" s="104"/>
    </row>
    <row r="800" spans="4:4" x14ac:dyDescent="0.3">
      <c r="D800" s="104"/>
    </row>
    <row r="801" spans="4:4" x14ac:dyDescent="0.3">
      <c r="D801" s="104"/>
    </row>
    <row r="802" spans="4:4" x14ac:dyDescent="0.3">
      <c r="D802" s="104"/>
    </row>
    <row r="803" spans="4:4" x14ac:dyDescent="0.3">
      <c r="D803" s="104"/>
    </row>
    <row r="804" spans="4:4" x14ac:dyDescent="0.3">
      <c r="D804" s="104"/>
    </row>
    <row r="805" spans="4:4" x14ac:dyDescent="0.3">
      <c r="D805" s="104"/>
    </row>
    <row r="806" spans="4:4" x14ac:dyDescent="0.3">
      <c r="D806" s="104"/>
    </row>
    <row r="807" spans="4:4" x14ac:dyDescent="0.3">
      <c r="D807" s="104"/>
    </row>
    <row r="808" spans="4:4" x14ac:dyDescent="0.3">
      <c r="D808" s="104"/>
    </row>
    <row r="809" spans="4:4" x14ac:dyDescent="0.3">
      <c r="D809" s="104"/>
    </row>
    <row r="810" spans="4:4" x14ac:dyDescent="0.3">
      <c r="D810" s="104"/>
    </row>
    <row r="811" spans="4:4" x14ac:dyDescent="0.3">
      <c r="D811" s="104"/>
    </row>
    <row r="812" spans="4:4" x14ac:dyDescent="0.3">
      <c r="D812" s="104"/>
    </row>
    <row r="813" spans="4:4" x14ac:dyDescent="0.3">
      <c r="D813" s="104"/>
    </row>
    <row r="814" spans="4:4" x14ac:dyDescent="0.3">
      <c r="D814" s="104"/>
    </row>
    <row r="815" spans="4:4" x14ac:dyDescent="0.3">
      <c r="D815" s="104"/>
    </row>
    <row r="816" spans="4:4" x14ac:dyDescent="0.3">
      <c r="D816" s="104"/>
    </row>
    <row r="817" spans="4:4" x14ac:dyDescent="0.3">
      <c r="D817" s="104"/>
    </row>
    <row r="818" spans="4:4" x14ac:dyDescent="0.3">
      <c r="D818" s="104"/>
    </row>
    <row r="819" spans="4:4" x14ac:dyDescent="0.3">
      <c r="D819" s="104"/>
    </row>
    <row r="820" spans="4:4" x14ac:dyDescent="0.3">
      <c r="D820" s="104"/>
    </row>
    <row r="821" spans="4:4" x14ac:dyDescent="0.3">
      <c r="D821" s="104"/>
    </row>
    <row r="822" spans="4:4" x14ac:dyDescent="0.3">
      <c r="D822" s="104"/>
    </row>
    <row r="823" spans="4:4" x14ac:dyDescent="0.3">
      <c r="D823" s="104"/>
    </row>
    <row r="824" spans="4:4" x14ac:dyDescent="0.3">
      <c r="D824" s="104"/>
    </row>
    <row r="825" spans="4:4" x14ac:dyDescent="0.3">
      <c r="D825" s="104"/>
    </row>
    <row r="826" spans="4:4" x14ac:dyDescent="0.3">
      <c r="D826" s="104"/>
    </row>
    <row r="827" spans="4:4" x14ac:dyDescent="0.3">
      <c r="D827" s="104"/>
    </row>
    <row r="828" spans="4:4" x14ac:dyDescent="0.3">
      <c r="D828" s="104"/>
    </row>
    <row r="829" spans="4:4" x14ac:dyDescent="0.3">
      <c r="D829" s="104"/>
    </row>
    <row r="830" spans="4:4" x14ac:dyDescent="0.3">
      <c r="D830" s="104"/>
    </row>
    <row r="831" spans="4:4" x14ac:dyDescent="0.3">
      <c r="D831" s="104"/>
    </row>
    <row r="832" spans="4:4" x14ac:dyDescent="0.3">
      <c r="D832" s="104"/>
    </row>
    <row r="833" spans="4:4" x14ac:dyDescent="0.3">
      <c r="D833" s="104"/>
    </row>
    <row r="834" spans="4:4" x14ac:dyDescent="0.3">
      <c r="D834" s="104"/>
    </row>
    <row r="835" spans="4:4" x14ac:dyDescent="0.3">
      <c r="D835" s="104"/>
    </row>
    <row r="836" spans="4:4" x14ac:dyDescent="0.3">
      <c r="D836" s="104"/>
    </row>
    <row r="837" spans="4:4" x14ac:dyDescent="0.3">
      <c r="D837" s="104"/>
    </row>
    <row r="838" spans="4:4" x14ac:dyDescent="0.3">
      <c r="D838" s="104"/>
    </row>
    <row r="839" spans="4:4" x14ac:dyDescent="0.3">
      <c r="D839" s="104"/>
    </row>
    <row r="840" spans="4:4" x14ac:dyDescent="0.3">
      <c r="D840" s="104"/>
    </row>
    <row r="841" spans="4:4" x14ac:dyDescent="0.3">
      <c r="D841" s="104"/>
    </row>
    <row r="842" spans="4:4" x14ac:dyDescent="0.3">
      <c r="D842" s="104"/>
    </row>
    <row r="843" spans="4:4" x14ac:dyDescent="0.3">
      <c r="D843" s="104"/>
    </row>
    <row r="844" spans="4:4" x14ac:dyDescent="0.3">
      <c r="D844" s="104"/>
    </row>
    <row r="845" spans="4:4" x14ac:dyDescent="0.3">
      <c r="D845" s="104"/>
    </row>
    <row r="846" spans="4:4" x14ac:dyDescent="0.3">
      <c r="D846" s="104"/>
    </row>
    <row r="847" spans="4:4" x14ac:dyDescent="0.3">
      <c r="D847" s="104"/>
    </row>
    <row r="848" spans="4:4" x14ac:dyDescent="0.3">
      <c r="D848" s="104"/>
    </row>
    <row r="849" spans="4:4" x14ac:dyDescent="0.3">
      <c r="D849" s="104"/>
    </row>
    <row r="850" spans="4:4" x14ac:dyDescent="0.3">
      <c r="D850" s="104"/>
    </row>
    <row r="851" spans="4:4" x14ac:dyDescent="0.3">
      <c r="D851" s="104"/>
    </row>
    <row r="852" spans="4:4" x14ac:dyDescent="0.3">
      <c r="D852" s="104"/>
    </row>
    <row r="853" spans="4:4" x14ac:dyDescent="0.3">
      <c r="D853" s="104"/>
    </row>
    <row r="854" spans="4:4" x14ac:dyDescent="0.3">
      <c r="D854" s="104"/>
    </row>
    <row r="855" spans="4:4" x14ac:dyDescent="0.3">
      <c r="D855" s="104"/>
    </row>
    <row r="856" spans="4:4" x14ac:dyDescent="0.3">
      <c r="D856" s="104"/>
    </row>
    <row r="857" spans="4:4" x14ac:dyDescent="0.3">
      <c r="D857" s="104"/>
    </row>
    <row r="858" spans="4:4" x14ac:dyDescent="0.3">
      <c r="D858" s="104"/>
    </row>
    <row r="859" spans="4:4" x14ac:dyDescent="0.3">
      <c r="D859" s="104"/>
    </row>
    <row r="860" spans="4:4" x14ac:dyDescent="0.3">
      <c r="D860" s="104"/>
    </row>
    <row r="861" spans="4:4" x14ac:dyDescent="0.3">
      <c r="D861" s="104"/>
    </row>
    <row r="862" spans="4:4" x14ac:dyDescent="0.3">
      <c r="D862" s="104"/>
    </row>
    <row r="863" spans="4:4" x14ac:dyDescent="0.3">
      <c r="D863" s="104"/>
    </row>
    <row r="864" spans="4:4" x14ac:dyDescent="0.3">
      <c r="D864" s="104"/>
    </row>
    <row r="865" spans="4:4" x14ac:dyDescent="0.3">
      <c r="D865" s="104"/>
    </row>
    <row r="866" spans="4:4" x14ac:dyDescent="0.3">
      <c r="D866" s="104"/>
    </row>
    <row r="867" spans="4:4" x14ac:dyDescent="0.3">
      <c r="D867" s="104"/>
    </row>
    <row r="868" spans="4:4" x14ac:dyDescent="0.3">
      <c r="D868" s="104"/>
    </row>
    <row r="869" spans="4:4" x14ac:dyDescent="0.3">
      <c r="D869" s="104"/>
    </row>
    <row r="870" spans="4:4" x14ac:dyDescent="0.3">
      <c r="D870" s="104"/>
    </row>
    <row r="871" spans="4:4" x14ac:dyDescent="0.3">
      <c r="D871" s="104"/>
    </row>
    <row r="872" spans="4:4" x14ac:dyDescent="0.3">
      <c r="D872" s="104"/>
    </row>
    <row r="873" spans="4:4" x14ac:dyDescent="0.3">
      <c r="D873" s="104"/>
    </row>
    <row r="874" spans="4:4" x14ac:dyDescent="0.3">
      <c r="D874" s="104"/>
    </row>
    <row r="875" spans="4:4" x14ac:dyDescent="0.3">
      <c r="D875" s="104"/>
    </row>
    <row r="876" spans="4:4" x14ac:dyDescent="0.3">
      <c r="D876" s="104"/>
    </row>
    <row r="877" spans="4:4" x14ac:dyDescent="0.3">
      <c r="D877" s="104"/>
    </row>
    <row r="878" spans="4:4" x14ac:dyDescent="0.3">
      <c r="D878" s="104"/>
    </row>
    <row r="879" spans="4:4" x14ac:dyDescent="0.3">
      <c r="D879" s="104"/>
    </row>
    <row r="880" spans="4:4" x14ac:dyDescent="0.3">
      <c r="D880" s="104"/>
    </row>
    <row r="881" spans="4:4" x14ac:dyDescent="0.3">
      <c r="D881" s="104"/>
    </row>
    <row r="882" spans="4:4" x14ac:dyDescent="0.3">
      <c r="D882" s="104"/>
    </row>
    <row r="883" spans="4:4" x14ac:dyDescent="0.3">
      <c r="D883" s="104"/>
    </row>
    <row r="884" spans="4:4" x14ac:dyDescent="0.3">
      <c r="D884" s="104"/>
    </row>
    <row r="885" spans="4:4" x14ac:dyDescent="0.3">
      <c r="D885" s="104"/>
    </row>
    <row r="886" spans="4:4" x14ac:dyDescent="0.3">
      <c r="D886" s="104"/>
    </row>
    <row r="887" spans="4:4" x14ac:dyDescent="0.3">
      <c r="D887" s="104"/>
    </row>
    <row r="888" spans="4:4" x14ac:dyDescent="0.3">
      <c r="D888" s="104"/>
    </row>
    <row r="889" spans="4:4" x14ac:dyDescent="0.3">
      <c r="D889" s="104"/>
    </row>
    <row r="890" spans="4:4" x14ac:dyDescent="0.3">
      <c r="D890" s="104"/>
    </row>
    <row r="891" spans="4:4" x14ac:dyDescent="0.3">
      <c r="D891" s="104"/>
    </row>
    <row r="892" spans="4:4" x14ac:dyDescent="0.3">
      <c r="D892" s="104"/>
    </row>
    <row r="893" spans="4:4" x14ac:dyDescent="0.3">
      <c r="D893" s="104"/>
    </row>
    <row r="894" spans="4:4" x14ac:dyDescent="0.3">
      <c r="D894" s="104"/>
    </row>
    <row r="895" spans="4:4" x14ac:dyDescent="0.3">
      <c r="D895" s="104"/>
    </row>
    <row r="896" spans="4:4" x14ac:dyDescent="0.3">
      <c r="D896" s="104"/>
    </row>
    <row r="897" spans="4:4" x14ac:dyDescent="0.3">
      <c r="D897" s="104"/>
    </row>
    <row r="898" spans="4:4" x14ac:dyDescent="0.3">
      <c r="D898" s="104"/>
    </row>
    <row r="899" spans="4:4" x14ac:dyDescent="0.3">
      <c r="D899" s="104"/>
    </row>
    <row r="900" spans="4:4" x14ac:dyDescent="0.3">
      <c r="D900" s="104"/>
    </row>
    <row r="901" spans="4:4" x14ac:dyDescent="0.3">
      <c r="D901" s="104"/>
    </row>
    <row r="902" spans="4:4" x14ac:dyDescent="0.3">
      <c r="D902" s="104"/>
    </row>
    <row r="903" spans="4:4" x14ac:dyDescent="0.3">
      <c r="D903" s="104"/>
    </row>
    <row r="904" spans="4:4" x14ac:dyDescent="0.3">
      <c r="D904" s="104"/>
    </row>
    <row r="905" spans="4:4" x14ac:dyDescent="0.3">
      <c r="D905" s="104"/>
    </row>
    <row r="906" spans="4:4" x14ac:dyDescent="0.3">
      <c r="D906" s="104"/>
    </row>
    <row r="907" spans="4:4" x14ac:dyDescent="0.3">
      <c r="D907" s="104"/>
    </row>
    <row r="908" spans="4:4" x14ac:dyDescent="0.3">
      <c r="D908" s="104"/>
    </row>
    <row r="909" spans="4:4" x14ac:dyDescent="0.3">
      <c r="D909" s="104"/>
    </row>
    <row r="910" spans="4:4" x14ac:dyDescent="0.3">
      <c r="D910" s="104"/>
    </row>
    <row r="911" spans="4:4" x14ac:dyDescent="0.3">
      <c r="D911" s="104"/>
    </row>
    <row r="912" spans="4:4" x14ac:dyDescent="0.3">
      <c r="D912" s="104"/>
    </row>
    <row r="913" spans="4:4" x14ac:dyDescent="0.3">
      <c r="D913" s="104"/>
    </row>
    <row r="914" spans="4:4" x14ac:dyDescent="0.3">
      <c r="D914" s="104"/>
    </row>
    <row r="915" spans="4:4" x14ac:dyDescent="0.3">
      <c r="D915" s="104"/>
    </row>
    <row r="916" spans="4:4" x14ac:dyDescent="0.3">
      <c r="D916" s="104"/>
    </row>
    <row r="917" spans="4:4" x14ac:dyDescent="0.3">
      <c r="D917" s="104"/>
    </row>
    <row r="918" spans="4:4" x14ac:dyDescent="0.3">
      <c r="D918" s="104"/>
    </row>
    <row r="919" spans="4:4" x14ac:dyDescent="0.3">
      <c r="D919" s="104"/>
    </row>
    <row r="920" spans="4:4" x14ac:dyDescent="0.3">
      <c r="D920" s="104"/>
    </row>
    <row r="921" spans="4:4" x14ac:dyDescent="0.3">
      <c r="D921" s="104"/>
    </row>
    <row r="922" spans="4:4" x14ac:dyDescent="0.3">
      <c r="D922" s="104"/>
    </row>
    <row r="923" spans="4:4" x14ac:dyDescent="0.3">
      <c r="D923" s="104"/>
    </row>
    <row r="924" spans="4:4" x14ac:dyDescent="0.3">
      <c r="D924" s="104"/>
    </row>
    <row r="925" spans="4:4" x14ac:dyDescent="0.3">
      <c r="D925" s="104"/>
    </row>
    <row r="926" spans="4:4" x14ac:dyDescent="0.3">
      <c r="D926" s="104"/>
    </row>
    <row r="927" spans="4:4" x14ac:dyDescent="0.3">
      <c r="D927" s="104"/>
    </row>
    <row r="928" spans="4:4" x14ac:dyDescent="0.3">
      <c r="D928" s="104"/>
    </row>
    <row r="929" spans="4:4" x14ac:dyDescent="0.3">
      <c r="D929" s="104"/>
    </row>
    <row r="930" spans="4:4" x14ac:dyDescent="0.3">
      <c r="D930" s="104"/>
    </row>
    <row r="931" spans="4:4" x14ac:dyDescent="0.3">
      <c r="D931" s="104"/>
    </row>
    <row r="932" spans="4:4" x14ac:dyDescent="0.3">
      <c r="D932" s="104"/>
    </row>
    <row r="933" spans="4:4" x14ac:dyDescent="0.3">
      <c r="D933" s="104"/>
    </row>
    <row r="934" spans="4:4" x14ac:dyDescent="0.3">
      <c r="D934" s="104"/>
    </row>
    <row r="935" spans="4:4" x14ac:dyDescent="0.3">
      <c r="D935" s="104"/>
    </row>
    <row r="936" spans="4:4" x14ac:dyDescent="0.3">
      <c r="D936" s="104"/>
    </row>
    <row r="937" spans="4:4" x14ac:dyDescent="0.3">
      <c r="D937" s="104"/>
    </row>
    <row r="938" spans="4:4" x14ac:dyDescent="0.3">
      <c r="D938" s="104"/>
    </row>
    <row r="939" spans="4:4" x14ac:dyDescent="0.3">
      <c r="D939" s="104"/>
    </row>
    <row r="940" spans="4:4" x14ac:dyDescent="0.3">
      <c r="D940" s="104"/>
    </row>
    <row r="941" spans="4:4" x14ac:dyDescent="0.3">
      <c r="D941" s="104"/>
    </row>
    <row r="942" spans="4:4" x14ac:dyDescent="0.3">
      <c r="D942" s="104"/>
    </row>
    <row r="943" spans="4:4" x14ac:dyDescent="0.3">
      <c r="D943" s="104"/>
    </row>
    <row r="944" spans="4:4" x14ac:dyDescent="0.3">
      <c r="D944" s="104"/>
    </row>
    <row r="945" spans="4:4" x14ac:dyDescent="0.3">
      <c r="D945" s="104"/>
    </row>
    <row r="946" spans="4:4" x14ac:dyDescent="0.3">
      <c r="D946" s="104"/>
    </row>
    <row r="947" spans="4:4" x14ac:dyDescent="0.3">
      <c r="D947" s="104"/>
    </row>
    <row r="948" spans="4:4" x14ac:dyDescent="0.3">
      <c r="D948" s="104"/>
    </row>
    <row r="949" spans="4:4" x14ac:dyDescent="0.3">
      <c r="D949" s="104"/>
    </row>
    <row r="950" spans="4:4" x14ac:dyDescent="0.3">
      <c r="D950" s="104"/>
    </row>
    <row r="951" spans="4:4" x14ac:dyDescent="0.3">
      <c r="D951" s="104"/>
    </row>
    <row r="952" spans="4:4" x14ac:dyDescent="0.3">
      <c r="D952" s="104"/>
    </row>
    <row r="953" spans="4:4" x14ac:dyDescent="0.3">
      <c r="D953" s="104"/>
    </row>
    <row r="954" spans="4:4" x14ac:dyDescent="0.3">
      <c r="D954" s="104"/>
    </row>
    <row r="955" spans="4:4" x14ac:dyDescent="0.3">
      <c r="D955" s="104"/>
    </row>
    <row r="956" spans="4:4" x14ac:dyDescent="0.3">
      <c r="D956" s="104"/>
    </row>
    <row r="957" spans="4:4" x14ac:dyDescent="0.3">
      <c r="D957" s="104"/>
    </row>
    <row r="958" spans="4:4" x14ac:dyDescent="0.3">
      <c r="D958" s="104"/>
    </row>
    <row r="959" spans="4:4" x14ac:dyDescent="0.3">
      <c r="D959" s="104"/>
    </row>
    <row r="960" spans="4:4" x14ac:dyDescent="0.3">
      <c r="D960" s="104"/>
    </row>
    <row r="961" spans="4:4" x14ac:dyDescent="0.3">
      <c r="D961" s="104"/>
    </row>
    <row r="962" spans="4:4" x14ac:dyDescent="0.3">
      <c r="D962" s="104"/>
    </row>
    <row r="963" spans="4:4" x14ac:dyDescent="0.3">
      <c r="D963" s="104"/>
    </row>
    <row r="964" spans="4:4" x14ac:dyDescent="0.3">
      <c r="D964" s="104"/>
    </row>
    <row r="965" spans="4:4" x14ac:dyDescent="0.3">
      <c r="D965" s="104"/>
    </row>
    <row r="966" spans="4:4" x14ac:dyDescent="0.3">
      <c r="D966" s="104"/>
    </row>
    <row r="967" spans="4:4" x14ac:dyDescent="0.3">
      <c r="D967" s="104"/>
    </row>
    <row r="968" spans="4:4" x14ac:dyDescent="0.3">
      <c r="D968" s="104"/>
    </row>
    <row r="969" spans="4:4" x14ac:dyDescent="0.3">
      <c r="D969" s="104"/>
    </row>
    <row r="970" spans="4:4" x14ac:dyDescent="0.3">
      <c r="D970" s="104"/>
    </row>
    <row r="971" spans="4:4" x14ac:dyDescent="0.3">
      <c r="D971" s="104"/>
    </row>
    <row r="972" spans="4:4" x14ac:dyDescent="0.3">
      <c r="D972" s="104"/>
    </row>
    <row r="973" spans="4:4" x14ac:dyDescent="0.3">
      <c r="D973" s="104"/>
    </row>
    <row r="974" spans="4:4" x14ac:dyDescent="0.3">
      <c r="D974" s="104"/>
    </row>
    <row r="975" spans="4:4" x14ac:dyDescent="0.3">
      <c r="D975" s="104"/>
    </row>
    <row r="976" spans="4:4" x14ac:dyDescent="0.3">
      <c r="D976" s="104"/>
    </row>
    <row r="977" spans="4:4" x14ac:dyDescent="0.3">
      <c r="D977" s="104"/>
    </row>
    <row r="978" spans="4:4" x14ac:dyDescent="0.3">
      <c r="D978" s="104"/>
    </row>
    <row r="979" spans="4:4" x14ac:dyDescent="0.3">
      <c r="D979" s="104"/>
    </row>
    <row r="980" spans="4:4" x14ac:dyDescent="0.3">
      <c r="D980" s="104"/>
    </row>
    <row r="981" spans="4:4" x14ac:dyDescent="0.3">
      <c r="D981" s="104"/>
    </row>
    <row r="982" spans="4:4" x14ac:dyDescent="0.3">
      <c r="D982" s="104"/>
    </row>
    <row r="983" spans="4:4" x14ac:dyDescent="0.3">
      <c r="D983" s="104"/>
    </row>
    <row r="984" spans="4:4" x14ac:dyDescent="0.3">
      <c r="D984" s="104"/>
    </row>
    <row r="985" spans="4:4" x14ac:dyDescent="0.3">
      <c r="D985" s="104"/>
    </row>
    <row r="986" spans="4:4" x14ac:dyDescent="0.3">
      <c r="D986" s="104"/>
    </row>
    <row r="987" spans="4:4" x14ac:dyDescent="0.3">
      <c r="D987" s="104"/>
    </row>
    <row r="988" spans="4:4" x14ac:dyDescent="0.3">
      <c r="D988" s="104"/>
    </row>
    <row r="989" spans="4:4" x14ac:dyDescent="0.3">
      <c r="D989" s="104"/>
    </row>
    <row r="990" spans="4:4" x14ac:dyDescent="0.3">
      <c r="D990" s="104"/>
    </row>
    <row r="991" spans="4:4" x14ac:dyDescent="0.3">
      <c r="D991" s="104"/>
    </row>
    <row r="992" spans="4:4" x14ac:dyDescent="0.3">
      <c r="D992" s="104"/>
    </row>
    <row r="993" spans="4:4" x14ac:dyDescent="0.3">
      <c r="D993" s="104"/>
    </row>
    <row r="994" spans="4:4" x14ac:dyDescent="0.3">
      <c r="D994" s="104"/>
    </row>
    <row r="995" spans="4:4" x14ac:dyDescent="0.3">
      <c r="D995" s="104"/>
    </row>
    <row r="996" spans="4:4" x14ac:dyDescent="0.3">
      <c r="D996" s="104"/>
    </row>
    <row r="997" spans="4:4" x14ac:dyDescent="0.3">
      <c r="D997" s="104"/>
    </row>
    <row r="998" spans="4:4" x14ac:dyDescent="0.3">
      <c r="D998" s="104"/>
    </row>
    <row r="999" spans="4:4" x14ac:dyDescent="0.3">
      <c r="D999" s="104"/>
    </row>
    <row r="1000" spans="4:4" x14ac:dyDescent="0.3">
      <c r="D1000" s="104"/>
    </row>
    <row r="1001" spans="4:4" x14ac:dyDescent="0.3">
      <c r="D1001" s="104"/>
    </row>
    <row r="1002" spans="4:4" x14ac:dyDescent="0.3">
      <c r="D1002" s="104"/>
    </row>
    <row r="1003" spans="4:4" x14ac:dyDescent="0.3">
      <c r="D1003" s="104"/>
    </row>
    <row r="1004" spans="4:4" x14ac:dyDescent="0.3">
      <c r="D1004" s="104"/>
    </row>
    <row r="1005" spans="4:4" x14ac:dyDescent="0.3">
      <c r="D1005" s="104"/>
    </row>
    <row r="1006" spans="4:4" x14ac:dyDescent="0.3">
      <c r="D1006" s="104"/>
    </row>
    <row r="1007" spans="4:4" x14ac:dyDescent="0.3">
      <c r="D1007" s="104"/>
    </row>
    <row r="1008" spans="4:4" x14ac:dyDescent="0.3">
      <c r="D1008" s="104"/>
    </row>
    <row r="1009" spans="4:4" x14ac:dyDescent="0.3">
      <c r="D1009" s="104"/>
    </row>
    <row r="1010" spans="4:4" x14ac:dyDescent="0.3">
      <c r="D1010" s="104"/>
    </row>
    <row r="1011" spans="4:4" x14ac:dyDescent="0.3">
      <c r="D1011" s="104"/>
    </row>
    <row r="1012" spans="4:4" x14ac:dyDescent="0.3">
      <c r="D1012" s="104"/>
    </row>
    <row r="1013" spans="4:4" x14ac:dyDescent="0.3">
      <c r="D1013" s="104"/>
    </row>
    <row r="1014" spans="4:4" x14ac:dyDescent="0.3">
      <c r="D1014" s="104"/>
    </row>
    <row r="1015" spans="4:4" x14ac:dyDescent="0.3">
      <c r="D1015" s="104"/>
    </row>
    <row r="1016" spans="4:4" x14ac:dyDescent="0.3">
      <c r="D1016" s="104"/>
    </row>
    <row r="1017" spans="4:4" x14ac:dyDescent="0.3">
      <c r="D1017" s="104"/>
    </row>
    <row r="1018" spans="4:4" x14ac:dyDescent="0.3">
      <c r="D1018" s="104"/>
    </row>
    <row r="1019" spans="4:4" x14ac:dyDescent="0.3">
      <c r="D1019" s="104"/>
    </row>
    <row r="1020" spans="4:4" x14ac:dyDescent="0.3">
      <c r="D1020" s="104"/>
    </row>
    <row r="1021" spans="4:4" x14ac:dyDescent="0.3">
      <c r="D1021" s="104"/>
    </row>
    <row r="1022" spans="4:4" x14ac:dyDescent="0.3">
      <c r="D1022" s="104"/>
    </row>
    <row r="1023" spans="4:4" x14ac:dyDescent="0.3">
      <c r="D1023" s="104"/>
    </row>
    <row r="1024" spans="4:4" x14ac:dyDescent="0.3">
      <c r="D1024" s="104"/>
    </row>
    <row r="1025" spans="4:4" x14ac:dyDescent="0.3">
      <c r="D1025" s="104"/>
    </row>
    <row r="1026" spans="4:4" x14ac:dyDescent="0.3">
      <c r="D1026" s="104"/>
    </row>
    <row r="1027" spans="4:4" x14ac:dyDescent="0.3">
      <c r="D1027" s="104"/>
    </row>
    <row r="1028" spans="4:4" x14ac:dyDescent="0.3">
      <c r="D1028" s="104"/>
    </row>
    <row r="1029" spans="4:4" x14ac:dyDescent="0.3">
      <c r="D1029" s="104"/>
    </row>
    <row r="1030" spans="4:4" x14ac:dyDescent="0.3">
      <c r="D1030" s="104"/>
    </row>
    <row r="1031" spans="4:4" x14ac:dyDescent="0.3">
      <c r="D1031" s="104"/>
    </row>
    <row r="1032" spans="4:4" x14ac:dyDescent="0.3">
      <c r="D1032" s="104"/>
    </row>
    <row r="1033" spans="4:4" x14ac:dyDescent="0.3">
      <c r="D1033" s="104"/>
    </row>
    <row r="1034" spans="4:4" x14ac:dyDescent="0.3">
      <c r="D1034" s="104"/>
    </row>
    <row r="1035" spans="4:4" x14ac:dyDescent="0.3">
      <c r="D1035" s="104"/>
    </row>
    <row r="1036" spans="4:4" x14ac:dyDescent="0.3">
      <c r="D1036" s="104"/>
    </row>
    <row r="1037" spans="4:4" x14ac:dyDescent="0.3">
      <c r="D1037" s="104"/>
    </row>
    <row r="1038" spans="4:4" x14ac:dyDescent="0.3">
      <c r="D1038" s="104"/>
    </row>
    <row r="1039" spans="4:4" x14ac:dyDescent="0.3">
      <c r="D1039" s="104"/>
    </row>
    <row r="1040" spans="4:4" x14ac:dyDescent="0.3">
      <c r="D1040" s="104"/>
    </row>
    <row r="1041" spans="4:4" x14ac:dyDescent="0.3">
      <c r="D1041" s="104"/>
    </row>
    <row r="1042" spans="4:4" x14ac:dyDescent="0.3">
      <c r="D1042" s="104"/>
    </row>
    <row r="1043" spans="4:4" x14ac:dyDescent="0.3">
      <c r="D1043" s="104"/>
    </row>
    <row r="1044" spans="4:4" x14ac:dyDescent="0.3">
      <c r="D1044" s="104"/>
    </row>
    <row r="1045" spans="4:4" x14ac:dyDescent="0.3">
      <c r="D1045" s="104"/>
    </row>
    <row r="1046" spans="4:4" x14ac:dyDescent="0.3">
      <c r="D1046" s="104"/>
    </row>
    <row r="1047" spans="4:4" x14ac:dyDescent="0.3">
      <c r="D1047" s="104"/>
    </row>
    <row r="1048" spans="4:4" x14ac:dyDescent="0.3">
      <c r="D1048" s="104"/>
    </row>
    <row r="1049" spans="4:4" x14ac:dyDescent="0.3">
      <c r="D1049" s="104"/>
    </row>
    <row r="1050" spans="4:4" x14ac:dyDescent="0.3">
      <c r="D1050" s="104"/>
    </row>
    <row r="1051" spans="4:4" x14ac:dyDescent="0.3">
      <c r="D1051" s="104"/>
    </row>
    <row r="1052" spans="4:4" x14ac:dyDescent="0.3">
      <c r="D1052" s="104"/>
    </row>
    <row r="1053" spans="4:4" x14ac:dyDescent="0.3">
      <c r="D1053" s="104"/>
    </row>
    <row r="1054" spans="4:4" x14ac:dyDescent="0.3">
      <c r="D1054" s="104"/>
    </row>
    <row r="1055" spans="4:4" x14ac:dyDescent="0.3">
      <c r="D1055" s="104"/>
    </row>
    <row r="1056" spans="4:4" x14ac:dyDescent="0.3">
      <c r="D1056" s="104"/>
    </row>
    <row r="1057" spans="4:4" x14ac:dyDescent="0.3">
      <c r="D1057" s="104"/>
    </row>
    <row r="1058" spans="4:4" x14ac:dyDescent="0.3">
      <c r="D1058" s="104"/>
    </row>
    <row r="1059" spans="4:4" x14ac:dyDescent="0.3">
      <c r="D1059" s="104"/>
    </row>
    <row r="1060" spans="4:4" x14ac:dyDescent="0.3">
      <c r="D1060" s="104"/>
    </row>
    <row r="1061" spans="4:4" x14ac:dyDescent="0.3">
      <c r="D1061" s="104"/>
    </row>
    <row r="1062" spans="4:4" x14ac:dyDescent="0.3">
      <c r="D1062" s="104"/>
    </row>
    <row r="1063" spans="4:4" x14ac:dyDescent="0.3">
      <c r="D1063" s="104"/>
    </row>
    <row r="1064" spans="4:4" x14ac:dyDescent="0.3">
      <c r="D1064" s="104"/>
    </row>
    <row r="1065" spans="4:4" x14ac:dyDescent="0.3">
      <c r="D1065" s="104"/>
    </row>
    <row r="1066" spans="4:4" x14ac:dyDescent="0.3">
      <c r="D1066" s="104"/>
    </row>
    <row r="1067" spans="4:4" x14ac:dyDescent="0.3">
      <c r="D1067" s="104"/>
    </row>
    <row r="1068" spans="4:4" x14ac:dyDescent="0.3">
      <c r="D1068" s="104"/>
    </row>
    <row r="1069" spans="4:4" x14ac:dyDescent="0.3">
      <c r="D1069" s="104"/>
    </row>
    <row r="1070" spans="4:4" x14ac:dyDescent="0.3">
      <c r="D1070" s="104"/>
    </row>
    <row r="1071" spans="4:4" x14ac:dyDescent="0.3">
      <c r="D1071" s="104"/>
    </row>
    <row r="1072" spans="4:4" x14ac:dyDescent="0.3">
      <c r="D1072" s="104"/>
    </row>
    <row r="1073" spans="4:4" x14ac:dyDescent="0.3">
      <c r="D1073" s="104"/>
    </row>
    <row r="1074" spans="4:4" x14ac:dyDescent="0.3">
      <c r="D1074" s="104"/>
    </row>
    <row r="1075" spans="4:4" x14ac:dyDescent="0.3">
      <c r="D1075" s="104"/>
    </row>
    <row r="1076" spans="4:4" x14ac:dyDescent="0.3">
      <c r="D1076" s="104"/>
    </row>
    <row r="1077" spans="4:4" x14ac:dyDescent="0.3">
      <c r="D1077" s="104"/>
    </row>
    <row r="1078" spans="4:4" x14ac:dyDescent="0.3">
      <c r="D1078" s="104"/>
    </row>
    <row r="1079" spans="4:4" x14ac:dyDescent="0.3">
      <c r="D1079" s="104"/>
    </row>
    <row r="1080" spans="4:4" x14ac:dyDescent="0.3">
      <c r="D1080" s="104"/>
    </row>
    <row r="1081" spans="4:4" x14ac:dyDescent="0.3">
      <c r="D1081" s="104"/>
    </row>
    <row r="1082" spans="4:4" x14ac:dyDescent="0.3">
      <c r="D1082" s="104"/>
    </row>
    <row r="1083" spans="4:4" x14ac:dyDescent="0.3">
      <c r="D1083" s="104"/>
    </row>
    <row r="1084" spans="4:4" x14ac:dyDescent="0.3">
      <c r="D1084" s="104"/>
    </row>
    <row r="1085" spans="4:4" x14ac:dyDescent="0.3">
      <c r="D1085" s="104"/>
    </row>
    <row r="1086" spans="4:4" x14ac:dyDescent="0.3">
      <c r="D1086" s="104"/>
    </row>
    <row r="1087" spans="4:4" x14ac:dyDescent="0.3">
      <c r="D1087" s="104"/>
    </row>
    <row r="1088" spans="4:4" x14ac:dyDescent="0.3">
      <c r="D1088" s="104"/>
    </row>
    <row r="1089" spans="4:4" x14ac:dyDescent="0.3">
      <c r="D1089" s="104"/>
    </row>
    <row r="1090" spans="4:4" x14ac:dyDescent="0.3">
      <c r="D1090" s="104"/>
    </row>
    <row r="1091" spans="4:4" x14ac:dyDescent="0.3">
      <c r="D1091" s="104"/>
    </row>
    <row r="1092" spans="4:4" x14ac:dyDescent="0.3">
      <c r="D1092" s="104"/>
    </row>
    <row r="1093" spans="4:4" x14ac:dyDescent="0.3">
      <c r="D1093" s="104"/>
    </row>
    <row r="1094" spans="4:4" x14ac:dyDescent="0.3">
      <c r="D1094" s="104"/>
    </row>
    <row r="1095" spans="4:4" x14ac:dyDescent="0.3">
      <c r="D1095" s="104"/>
    </row>
    <row r="1096" spans="4:4" x14ac:dyDescent="0.3">
      <c r="D1096" s="104"/>
    </row>
    <row r="1097" spans="4:4" x14ac:dyDescent="0.3">
      <c r="D1097" s="104"/>
    </row>
    <row r="1098" spans="4:4" x14ac:dyDescent="0.3">
      <c r="D1098" s="104"/>
    </row>
    <row r="1099" spans="4:4" x14ac:dyDescent="0.3">
      <c r="D1099" s="104"/>
    </row>
    <row r="1100" spans="4:4" x14ac:dyDescent="0.3">
      <c r="D1100" s="104"/>
    </row>
    <row r="1101" spans="4:4" x14ac:dyDescent="0.3">
      <c r="D1101" s="104"/>
    </row>
    <row r="1102" spans="4:4" x14ac:dyDescent="0.3">
      <c r="D1102" s="104"/>
    </row>
    <row r="1103" spans="4:4" x14ac:dyDescent="0.3">
      <c r="D1103" s="104"/>
    </row>
    <row r="1104" spans="4:4" x14ac:dyDescent="0.3">
      <c r="D1104" s="104"/>
    </row>
    <row r="1105" spans="4:4" x14ac:dyDescent="0.3">
      <c r="D1105" s="104"/>
    </row>
    <row r="1106" spans="4:4" x14ac:dyDescent="0.3">
      <c r="D1106" s="104"/>
    </row>
    <row r="1107" spans="4:4" x14ac:dyDescent="0.3">
      <c r="D1107" s="104"/>
    </row>
    <row r="1108" spans="4:4" x14ac:dyDescent="0.3">
      <c r="D1108" s="104"/>
    </row>
    <row r="1109" spans="4:4" x14ac:dyDescent="0.3">
      <c r="D1109" s="104"/>
    </row>
    <row r="1110" spans="4:4" x14ac:dyDescent="0.3">
      <c r="D1110" s="104"/>
    </row>
    <row r="1111" spans="4:4" x14ac:dyDescent="0.3">
      <c r="D1111" s="104"/>
    </row>
    <row r="1112" spans="4:4" x14ac:dyDescent="0.3">
      <c r="D1112" s="104"/>
    </row>
    <row r="1113" spans="4:4" x14ac:dyDescent="0.3">
      <c r="D1113" s="104"/>
    </row>
    <row r="1114" spans="4:4" x14ac:dyDescent="0.3">
      <c r="D1114" s="104"/>
    </row>
    <row r="1115" spans="4:4" x14ac:dyDescent="0.3">
      <c r="D1115" s="104"/>
    </row>
    <row r="1116" spans="4:4" x14ac:dyDescent="0.3">
      <c r="D1116" s="104"/>
    </row>
    <row r="1117" spans="4:4" x14ac:dyDescent="0.3">
      <c r="D1117" s="104"/>
    </row>
    <row r="1118" spans="4:4" x14ac:dyDescent="0.3">
      <c r="D1118" s="104"/>
    </row>
    <row r="1119" spans="4:4" x14ac:dyDescent="0.3">
      <c r="D1119" s="104"/>
    </row>
    <row r="1120" spans="4:4" x14ac:dyDescent="0.3">
      <c r="D1120" s="104"/>
    </row>
    <row r="1121" spans="4:4" x14ac:dyDescent="0.3">
      <c r="D1121" s="104"/>
    </row>
    <row r="1122" spans="4:4" x14ac:dyDescent="0.3">
      <c r="D1122" s="104"/>
    </row>
    <row r="1123" spans="4:4" x14ac:dyDescent="0.3">
      <c r="D1123" s="104"/>
    </row>
    <row r="1124" spans="4:4" x14ac:dyDescent="0.3">
      <c r="D1124" s="104"/>
    </row>
    <row r="1125" spans="4:4" x14ac:dyDescent="0.3">
      <c r="D1125" s="104"/>
    </row>
    <row r="1126" spans="4:4" x14ac:dyDescent="0.3">
      <c r="D1126" s="104"/>
    </row>
    <row r="1127" spans="4:4" x14ac:dyDescent="0.3">
      <c r="D1127" s="104"/>
    </row>
    <row r="1128" spans="4:4" x14ac:dyDescent="0.3">
      <c r="D1128" s="104"/>
    </row>
    <row r="1129" spans="4:4" x14ac:dyDescent="0.3">
      <c r="D1129" s="104"/>
    </row>
    <row r="1130" spans="4:4" x14ac:dyDescent="0.3">
      <c r="D1130" s="104"/>
    </row>
    <row r="1131" spans="4:4" x14ac:dyDescent="0.3">
      <c r="D1131" s="104"/>
    </row>
    <row r="1132" spans="4:4" x14ac:dyDescent="0.3">
      <c r="D1132" s="104"/>
    </row>
    <row r="1133" spans="4:4" x14ac:dyDescent="0.3">
      <c r="D1133" s="104"/>
    </row>
    <row r="1134" spans="4:4" x14ac:dyDescent="0.3">
      <c r="D1134" s="104"/>
    </row>
    <row r="1135" spans="4:4" x14ac:dyDescent="0.3">
      <c r="D1135" s="104"/>
    </row>
    <row r="1136" spans="4:4" x14ac:dyDescent="0.3">
      <c r="D1136" s="104"/>
    </row>
    <row r="1137" spans="4:4" x14ac:dyDescent="0.3">
      <c r="D1137" s="104"/>
    </row>
    <row r="1138" spans="4:4" x14ac:dyDescent="0.3">
      <c r="D1138" s="104"/>
    </row>
    <row r="1139" spans="4:4" x14ac:dyDescent="0.3">
      <c r="D1139" s="104"/>
    </row>
    <row r="1140" spans="4:4" x14ac:dyDescent="0.3">
      <c r="D1140" s="104"/>
    </row>
    <row r="1141" spans="4:4" x14ac:dyDescent="0.3">
      <c r="D1141" s="104"/>
    </row>
    <row r="1142" spans="4:4" x14ac:dyDescent="0.3">
      <c r="D1142" s="104"/>
    </row>
    <row r="1143" spans="4:4" x14ac:dyDescent="0.3">
      <c r="D1143" s="104"/>
    </row>
    <row r="1144" spans="4:4" x14ac:dyDescent="0.3">
      <c r="D1144" s="104"/>
    </row>
    <row r="1145" spans="4:4" x14ac:dyDescent="0.3">
      <c r="D1145" s="104"/>
    </row>
    <row r="1146" spans="4:4" x14ac:dyDescent="0.3">
      <c r="D1146" s="104"/>
    </row>
    <row r="1147" spans="4:4" x14ac:dyDescent="0.3">
      <c r="D1147" s="104"/>
    </row>
    <row r="1148" spans="4:4" x14ac:dyDescent="0.3">
      <c r="D1148" s="104"/>
    </row>
    <row r="1149" spans="4:4" x14ac:dyDescent="0.3">
      <c r="D1149" s="104"/>
    </row>
    <row r="1150" spans="4:4" x14ac:dyDescent="0.3">
      <c r="D1150" s="104"/>
    </row>
    <row r="1151" spans="4:4" x14ac:dyDescent="0.3">
      <c r="D1151" s="104"/>
    </row>
    <row r="1152" spans="4:4" x14ac:dyDescent="0.3">
      <c r="D1152" s="104"/>
    </row>
    <row r="1153" spans="4:4" x14ac:dyDescent="0.3">
      <c r="D1153" s="104"/>
    </row>
    <row r="1154" spans="4:4" x14ac:dyDescent="0.3">
      <c r="D1154" s="104"/>
    </row>
    <row r="1155" spans="4:4" x14ac:dyDescent="0.3">
      <c r="D1155" s="104"/>
    </row>
    <row r="1156" spans="4:4" x14ac:dyDescent="0.3">
      <c r="D1156" s="104"/>
    </row>
    <row r="1157" spans="4:4" x14ac:dyDescent="0.3">
      <c r="D1157" s="104"/>
    </row>
    <row r="1158" spans="4:4" x14ac:dyDescent="0.3">
      <c r="D1158" s="104"/>
    </row>
    <row r="1159" spans="4:4" x14ac:dyDescent="0.3">
      <c r="D1159" s="104"/>
    </row>
    <row r="1160" spans="4:4" x14ac:dyDescent="0.3">
      <c r="D1160" s="104"/>
    </row>
    <row r="1161" spans="4:4" x14ac:dyDescent="0.3">
      <c r="D1161" s="104"/>
    </row>
    <row r="1162" spans="4:4" x14ac:dyDescent="0.3">
      <c r="D1162" s="104"/>
    </row>
    <row r="1163" spans="4:4" x14ac:dyDescent="0.3">
      <c r="D1163" s="104"/>
    </row>
    <row r="1164" spans="4:4" x14ac:dyDescent="0.3">
      <c r="D1164" s="104"/>
    </row>
    <row r="1165" spans="4:4" x14ac:dyDescent="0.3">
      <c r="D1165" s="104"/>
    </row>
    <row r="1166" spans="4:4" x14ac:dyDescent="0.3">
      <c r="D1166" s="104"/>
    </row>
    <row r="1167" spans="4:4" x14ac:dyDescent="0.3">
      <c r="D1167" s="104"/>
    </row>
    <row r="1168" spans="4:4" x14ac:dyDescent="0.3">
      <c r="D1168" s="104"/>
    </row>
    <row r="1169" spans="4:4" x14ac:dyDescent="0.3">
      <c r="D1169" s="104"/>
    </row>
    <row r="1170" spans="4:4" x14ac:dyDescent="0.3">
      <c r="D1170" s="104"/>
    </row>
    <row r="1171" spans="4:4" x14ac:dyDescent="0.3">
      <c r="D1171" s="104"/>
    </row>
    <row r="1172" spans="4:4" x14ac:dyDescent="0.3">
      <c r="D1172" s="104"/>
    </row>
    <row r="1173" spans="4:4" x14ac:dyDescent="0.3">
      <c r="D1173" s="104"/>
    </row>
    <row r="1174" spans="4:4" x14ac:dyDescent="0.3">
      <c r="D1174" s="104"/>
    </row>
    <row r="1175" spans="4:4" x14ac:dyDescent="0.3">
      <c r="D1175" s="104"/>
    </row>
    <row r="1176" spans="4:4" x14ac:dyDescent="0.3">
      <c r="D1176" s="104"/>
    </row>
    <row r="1177" spans="4:4" x14ac:dyDescent="0.3">
      <c r="D1177" s="104"/>
    </row>
    <row r="1178" spans="4:4" x14ac:dyDescent="0.3">
      <c r="D1178" s="104"/>
    </row>
    <row r="1179" spans="4:4" x14ac:dyDescent="0.3">
      <c r="D1179" s="104"/>
    </row>
    <row r="1180" spans="4:4" x14ac:dyDescent="0.3">
      <c r="D1180" s="104"/>
    </row>
    <row r="1181" spans="4:4" x14ac:dyDescent="0.3">
      <c r="D1181" s="104"/>
    </row>
    <row r="1182" spans="4:4" x14ac:dyDescent="0.3">
      <c r="D1182" s="104"/>
    </row>
    <row r="1183" spans="4:4" x14ac:dyDescent="0.3">
      <c r="D1183" s="104"/>
    </row>
    <row r="1184" spans="4:4" x14ac:dyDescent="0.3">
      <c r="D1184" s="104"/>
    </row>
    <row r="1185" spans="4:4" x14ac:dyDescent="0.3">
      <c r="D1185" s="104"/>
    </row>
    <row r="1186" spans="4:4" x14ac:dyDescent="0.3">
      <c r="D1186" s="104"/>
    </row>
    <row r="1187" spans="4:4" x14ac:dyDescent="0.3">
      <c r="D1187" s="104"/>
    </row>
    <row r="1188" spans="4:4" x14ac:dyDescent="0.3">
      <c r="D1188" s="104"/>
    </row>
    <row r="1189" spans="4:4" x14ac:dyDescent="0.3">
      <c r="D1189" s="104"/>
    </row>
    <row r="1190" spans="4:4" x14ac:dyDescent="0.3">
      <c r="D1190" s="104"/>
    </row>
    <row r="1191" spans="4:4" x14ac:dyDescent="0.3">
      <c r="D1191" s="104"/>
    </row>
    <row r="1192" spans="4:4" x14ac:dyDescent="0.3">
      <c r="D1192" s="104"/>
    </row>
    <row r="1193" spans="4:4" x14ac:dyDescent="0.3">
      <c r="D1193" s="104"/>
    </row>
    <row r="1194" spans="4:4" x14ac:dyDescent="0.3">
      <c r="D1194" s="104"/>
    </row>
    <row r="1195" spans="4:4" x14ac:dyDescent="0.3">
      <c r="D1195" s="104"/>
    </row>
    <row r="1196" spans="4:4" x14ac:dyDescent="0.3">
      <c r="D1196" s="104"/>
    </row>
    <row r="1197" spans="4:4" x14ac:dyDescent="0.3">
      <c r="D1197" s="104"/>
    </row>
    <row r="1198" spans="4:4" x14ac:dyDescent="0.3">
      <c r="D1198" s="104"/>
    </row>
    <row r="1199" spans="4:4" x14ac:dyDescent="0.3">
      <c r="D1199" s="104"/>
    </row>
    <row r="1200" spans="4:4" x14ac:dyDescent="0.3">
      <c r="D1200" s="104"/>
    </row>
    <row r="1201" spans="4:4" x14ac:dyDescent="0.3">
      <c r="D1201" s="104"/>
    </row>
    <row r="1202" spans="4:4" x14ac:dyDescent="0.3">
      <c r="D1202" s="104"/>
    </row>
    <row r="1203" spans="4:4" x14ac:dyDescent="0.3">
      <c r="D1203" s="104"/>
    </row>
    <row r="1204" spans="4:4" x14ac:dyDescent="0.3">
      <c r="D1204" s="104"/>
    </row>
    <row r="1205" spans="4:4" x14ac:dyDescent="0.3">
      <c r="D1205" s="104"/>
    </row>
    <row r="1206" spans="4:4" x14ac:dyDescent="0.3">
      <c r="D1206" s="104"/>
    </row>
    <row r="1207" spans="4:4" x14ac:dyDescent="0.3">
      <c r="D1207" s="104"/>
    </row>
    <row r="1208" spans="4:4" x14ac:dyDescent="0.3">
      <c r="D1208" s="104"/>
    </row>
    <row r="1209" spans="4:4" x14ac:dyDescent="0.3">
      <c r="D1209" s="104"/>
    </row>
    <row r="1210" spans="4:4" x14ac:dyDescent="0.3">
      <c r="D1210" s="104"/>
    </row>
    <row r="1211" spans="4:4" x14ac:dyDescent="0.3">
      <c r="D1211" s="104"/>
    </row>
    <row r="1212" spans="4:4" x14ac:dyDescent="0.3">
      <c r="D1212" s="104"/>
    </row>
    <row r="1213" spans="4:4" x14ac:dyDescent="0.3">
      <c r="D1213" s="104"/>
    </row>
    <row r="1214" spans="4:4" x14ac:dyDescent="0.3">
      <c r="D1214" s="104"/>
    </row>
    <row r="1215" spans="4:4" x14ac:dyDescent="0.3">
      <c r="D1215" s="104"/>
    </row>
    <row r="1216" spans="4:4" x14ac:dyDescent="0.3">
      <c r="D1216" s="104"/>
    </row>
    <row r="1217" spans="4:4" x14ac:dyDescent="0.3">
      <c r="D1217" s="104"/>
    </row>
    <row r="1218" spans="4:4" x14ac:dyDescent="0.3">
      <c r="D1218" s="104"/>
    </row>
    <row r="1219" spans="4:4" x14ac:dyDescent="0.3">
      <c r="D1219" s="104"/>
    </row>
    <row r="1220" spans="4:4" x14ac:dyDescent="0.3">
      <c r="D1220" s="104"/>
    </row>
    <row r="1221" spans="4:4" x14ac:dyDescent="0.3">
      <c r="D1221" s="104"/>
    </row>
    <row r="1222" spans="4:4" x14ac:dyDescent="0.3">
      <c r="D1222" s="104"/>
    </row>
    <row r="1223" spans="4:4" x14ac:dyDescent="0.3">
      <c r="D1223" s="104"/>
    </row>
    <row r="1224" spans="4:4" x14ac:dyDescent="0.3">
      <c r="D1224" s="104"/>
    </row>
    <row r="1225" spans="4:4" x14ac:dyDescent="0.3">
      <c r="D1225" s="104"/>
    </row>
    <row r="1226" spans="4:4" x14ac:dyDescent="0.3">
      <c r="D1226" s="104"/>
    </row>
    <row r="1227" spans="4:4" x14ac:dyDescent="0.3">
      <c r="D1227" s="104"/>
    </row>
    <row r="1228" spans="4:4" x14ac:dyDescent="0.3">
      <c r="D1228" s="104"/>
    </row>
    <row r="1229" spans="4:4" x14ac:dyDescent="0.3">
      <c r="D1229" s="104"/>
    </row>
    <row r="1230" spans="4:4" x14ac:dyDescent="0.3">
      <c r="D1230" s="104"/>
    </row>
    <row r="1231" spans="4:4" x14ac:dyDescent="0.3">
      <c r="D1231" s="104"/>
    </row>
    <row r="1232" spans="4:4" x14ac:dyDescent="0.3">
      <c r="D1232" s="104"/>
    </row>
    <row r="1233" spans="4:4" x14ac:dyDescent="0.3">
      <c r="D1233" s="104"/>
    </row>
    <row r="1234" spans="4:4" x14ac:dyDescent="0.3">
      <c r="D1234" s="104"/>
    </row>
    <row r="1235" spans="4:4" x14ac:dyDescent="0.3">
      <c r="D1235" s="104"/>
    </row>
    <row r="1236" spans="4:4" x14ac:dyDescent="0.3">
      <c r="D1236" s="104"/>
    </row>
    <row r="1237" spans="4:4" x14ac:dyDescent="0.3">
      <c r="D1237" s="104"/>
    </row>
    <row r="1238" spans="4:4" x14ac:dyDescent="0.3">
      <c r="D1238" s="104"/>
    </row>
    <row r="1239" spans="4:4" x14ac:dyDescent="0.3">
      <c r="D1239" s="104"/>
    </row>
    <row r="1240" spans="4:4" x14ac:dyDescent="0.3">
      <c r="D1240" s="104"/>
    </row>
    <row r="1241" spans="4:4" x14ac:dyDescent="0.3">
      <c r="D1241" s="104"/>
    </row>
    <row r="1242" spans="4:4" x14ac:dyDescent="0.3">
      <c r="D1242" s="104"/>
    </row>
    <row r="1243" spans="4:4" x14ac:dyDescent="0.3">
      <c r="D1243" s="104"/>
    </row>
    <row r="1244" spans="4:4" x14ac:dyDescent="0.3">
      <c r="D1244" s="104"/>
    </row>
    <row r="1245" spans="4:4" x14ac:dyDescent="0.3">
      <c r="D1245" s="104"/>
    </row>
    <row r="1246" spans="4:4" x14ac:dyDescent="0.3">
      <c r="D1246" s="104"/>
    </row>
    <row r="1247" spans="4:4" x14ac:dyDescent="0.3">
      <c r="D1247" s="104"/>
    </row>
    <row r="1248" spans="4:4" x14ac:dyDescent="0.3">
      <c r="D1248" s="104"/>
    </row>
    <row r="1249" spans="4:4" x14ac:dyDescent="0.3">
      <c r="D1249" s="104"/>
    </row>
    <row r="1250" spans="4:4" x14ac:dyDescent="0.3">
      <c r="D1250" s="104"/>
    </row>
    <row r="1251" spans="4:4" x14ac:dyDescent="0.3">
      <c r="D1251" s="104"/>
    </row>
    <row r="1252" spans="4:4" x14ac:dyDescent="0.3">
      <c r="D1252" s="104"/>
    </row>
    <row r="1253" spans="4:4" x14ac:dyDescent="0.3">
      <c r="D1253" s="104"/>
    </row>
    <row r="1254" spans="4:4" x14ac:dyDescent="0.3">
      <c r="D1254" s="104"/>
    </row>
    <row r="1255" spans="4:4" x14ac:dyDescent="0.3">
      <c r="D1255" s="104"/>
    </row>
    <row r="1256" spans="4:4" x14ac:dyDescent="0.3">
      <c r="D1256" s="104"/>
    </row>
    <row r="1257" spans="4:4" x14ac:dyDescent="0.3">
      <c r="D1257" s="104"/>
    </row>
    <row r="1258" spans="4:4" x14ac:dyDescent="0.3">
      <c r="D1258" s="104"/>
    </row>
    <row r="1259" spans="4:4" x14ac:dyDescent="0.3">
      <c r="D1259" s="104"/>
    </row>
    <row r="1260" spans="4:4" x14ac:dyDescent="0.3">
      <c r="D1260" s="104"/>
    </row>
    <row r="1261" spans="4:4" x14ac:dyDescent="0.3">
      <c r="D1261" s="104"/>
    </row>
    <row r="1262" spans="4:4" x14ac:dyDescent="0.3">
      <c r="D1262" s="104"/>
    </row>
    <row r="1263" spans="4:4" x14ac:dyDescent="0.3">
      <c r="D1263" s="104"/>
    </row>
    <row r="1264" spans="4:4" x14ac:dyDescent="0.3">
      <c r="D1264" s="104"/>
    </row>
    <row r="1265" spans="4:4" x14ac:dyDescent="0.3">
      <c r="D1265" s="104"/>
    </row>
    <row r="1266" spans="4:4" x14ac:dyDescent="0.3">
      <c r="D1266" s="104"/>
    </row>
    <row r="1267" spans="4:4" x14ac:dyDescent="0.3">
      <c r="D1267" s="104"/>
    </row>
    <row r="1268" spans="4:4" x14ac:dyDescent="0.3">
      <c r="D1268" s="104"/>
    </row>
    <row r="1269" spans="4:4" x14ac:dyDescent="0.3">
      <c r="D1269" s="104"/>
    </row>
    <row r="1270" spans="4:4" x14ac:dyDescent="0.3">
      <c r="D1270" s="104"/>
    </row>
    <row r="1271" spans="4:4" x14ac:dyDescent="0.3">
      <c r="D1271" s="104"/>
    </row>
    <row r="1272" spans="4:4" x14ac:dyDescent="0.3">
      <c r="D1272" s="104"/>
    </row>
    <row r="1273" spans="4:4" x14ac:dyDescent="0.3">
      <c r="D1273" s="104"/>
    </row>
    <row r="1274" spans="4:4" x14ac:dyDescent="0.3">
      <c r="D1274" s="104"/>
    </row>
    <row r="1275" spans="4:4" x14ac:dyDescent="0.3">
      <c r="D1275" s="104"/>
    </row>
    <row r="1276" spans="4:4" x14ac:dyDescent="0.3">
      <c r="D1276" s="104"/>
    </row>
    <row r="1277" spans="4:4" x14ac:dyDescent="0.3">
      <c r="D1277" s="104"/>
    </row>
    <row r="1278" spans="4:4" x14ac:dyDescent="0.3">
      <c r="D1278" s="104"/>
    </row>
    <row r="1279" spans="4:4" x14ac:dyDescent="0.3">
      <c r="D1279" s="104"/>
    </row>
    <row r="1280" spans="4:4" x14ac:dyDescent="0.3">
      <c r="D1280" s="104"/>
    </row>
    <row r="1281" spans="4:4" x14ac:dyDescent="0.3">
      <c r="D1281" s="104"/>
    </row>
    <row r="1282" spans="4:4" x14ac:dyDescent="0.3">
      <c r="D1282" s="104"/>
    </row>
    <row r="1283" spans="4:4" x14ac:dyDescent="0.3">
      <c r="D1283" s="104"/>
    </row>
    <row r="1284" spans="4:4" x14ac:dyDescent="0.3">
      <c r="D1284" s="104"/>
    </row>
    <row r="1285" spans="4:4" x14ac:dyDescent="0.3">
      <c r="D1285" s="104"/>
    </row>
    <row r="1286" spans="4:4" x14ac:dyDescent="0.3">
      <c r="D1286" s="104"/>
    </row>
    <row r="1287" spans="4:4" x14ac:dyDescent="0.3">
      <c r="D1287" s="104"/>
    </row>
    <row r="1288" spans="4:4" x14ac:dyDescent="0.3">
      <c r="D1288" s="104"/>
    </row>
    <row r="1289" spans="4:4" x14ac:dyDescent="0.3">
      <c r="D1289" s="104"/>
    </row>
    <row r="1290" spans="4:4" x14ac:dyDescent="0.3">
      <c r="D1290" s="104"/>
    </row>
    <row r="1291" spans="4:4" x14ac:dyDescent="0.3">
      <c r="D1291" s="104"/>
    </row>
    <row r="1292" spans="4:4" x14ac:dyDescent="0.3">
      <c r="D1292" s="104"/>
    </row>
    <row r="1293" spans="4:4" x14ac:dyDescent="0.3">
      <c r="D1293" s="104"/>
    </row>
    <row r="1294" spans="4:4" x14ac:dyDescent="0.3">
      <c r="D1294" s="104"/>
    </row>
    <row r="1295" spans="4:4" x14ac:dyDescent="0.3">
      <c r="D1295" s="104"/>
    </row>
    <row r="1296" spans="4:4" x14ac:dyDescent="0.3">
      <c r="D1296" s="104"/>
    </row>
    <row r="1297" spans="4:4" x14ac:dyDescent="0.3">
      <c r="D1297" s="104"/>
    </row>
    <row r="1298" spans="4:4" x14ac:dyDescent="0.3">
      <c r="D1298" s="104"/>
    </row>
    <row r="1299" spans="4:4" x14ac:dyDescent="0.3">
      <c r="D1299" s="104"/>
    </row>
    <row r="1300" spans="4:4" x14ac:dyDescent="0.3">
      <c r="D1300" s="104"/>
    </row>
    <row r="1301" spans="4:4" x14ac:dyDescent="0.3">
      <c r="D1301" s="104"/>
    </row>
    <row r="1302" spans="4:4" x14ac:dyDescent="0.3">
      <c r="D1302" s="104"/>
    </row>
    <row r="1303" spans="4:4" x14ac:dyDescent="0.3">
      <c r="D1303" s="104"/>
    </row>
    <row r="1304" spans="4:4" x14ac:dyDescent="0.3">
      <c r="D1304" s="104"/>
    </row>
    <row r="1305" spans="4:4" x14ac:dyDescent="0.3">
      <c r="D1305" s="104"/>
    </row>
    <row r="1306" spans="4:4" x14ac:dyDescent="0.3">
      <c r="D1306" s="104"/>
    </row>
    <row r="1307" spans="4:4" x14ac:dyDescent="0.3">
      <c r="D1307" s="104"/>
    </row>
    <row r="1308" spans="4:4" x14ac:dyDescent="0.3">
      <c r="D1308" s="104"/>
    </row>
    <row r="1309" spans="4:4" x14ac:dyDescent="0.3">
      <c r="D1309" s="104"/>
    </row>
    <row r="1310" spans="4:4" x14ac:dyDescent="0.3">
      <c r="D1310" s="104"/>
    </row>
    <row r="1311" spans="4:4" x14ac:dyDescent="0.3">
      <c r="D1311" s="104"/>
    </row>
    <row r="1312" spans="4:4" x14ac:dyDescent="0.3">
      <c r="D1312" s="104"/>
    </row>
    <row r="1313" spans="4:4" x14ac:dyDescent="0.3">
      <c r="D1313" s="104"/>
    </row>
    <row r="1314" spans="4:4" x14ac:dyDescent="0.3">
      <c r="D1314" s="104"/>
    </row>
    <row r="1315" spans="4:4" x14ac:dyDescent="0.3">
      <c r="D1315" s="104"/>
    </row>
    <row r="1316" spans="4:4" x14ac:dyDescent="0.3">
      <c r="D1316" s="104"/>
    </row>
    <row r="1317" spans="4:4" x14ac:dyDescent="0.3">
      <c r="D1317" s="104"/>
    </row>
    <row r="1318" spans="4:4" x14ac:dyDescent="0.3">
      <c r="D1318" s="104"/>
    </row>
    <row r="1319" spans="4:4" x14ac:dyDescent="0.3">
      <c r="D1319" s="104"/>
    </row>
    <row r="1320" spans="4:4" x14ac:dyDescent="0.3">
      <c r="D1320" s="104"/>
    </row>
    <row r="1321" spans="4:4" x14ac:dyDescent="0.3">
      <c r="D1321" s="104"/>
    </row>
    <row r="1322" spans="4:4" x14ac:dyDescent="0.3">
      <c r="D1322" s="104"/>
    </row>
    <row r="1323" spans="4:4" x14ac:dyDescent="0.3">
      <c r="D1323" s="104"/>
    </row>
    <row r="1324" spans="4:4" x14ac:dyDescent="0.3">
      <c r="D1324" s="104"/>
    </row>
    <row r="1325" spans="4:4" x14ac:dyDescent="0.3">
      <c r="D1325" s="104"/>
    </row>
    <row r="1326" spans="4:4" x14ac:dyDescent="0.3">
      <c r="D1326" s="104"/>
    </row>
    <row r="1327" spans="4:4" x14ac:dyDescent="0.3">
      <c r="D1327" s="104"/>
    </row>
    <row r="1328" spans="4:4" x14ac:dyDescent="0.3">
      <c r="D1328" s="104"/>
    </row>
    <row r="1329" spans="4:4" x14ac:dyDescent="0.3">
      <c r="D1329" s="104"/>
    </row>
    <row r="1330" spans="4:4" x14ac:dyDescent="0.3">
      <c r="D1330" s="104"/>
    </row>
    <row r="1331" spans="4:4" x14ac:dyDescent="0.3">
      <c r="D1331" s="104"/>
    </row>
    <row r="1332" spans="4:4" x14ac:dyDescent="0.3">
      <c r="D1332" s="104"/>
    </row>
    <row r="1333" spans="4:4" x14ac:dyDescent="0.3">
      <c r="D1333" s="104"/>
    </row>
    <row r="1334" spans="4:4" x14ac:dyDescent="0.3">
      <c r="D1334" s="104"/>
    </row>
    <row r="1335" spans="4:4" x14ac:dyDescent="0.3">
      <c r="D1335" s="104"/>
    </row>
    <row r="1336" spans="4:4" x14ac:dyDescent="0.3">
      <c r="D1336" s="104"/>
    </row>
    <row r="1337" spans="4:4" x14ac:dyDescent="0.3">
      <c r="D1337" s="104"/>
    </row>
    <row r="1338" spans="4:4" x14ac:dyDescent="0.3">
      <c r="D1338" s="104"/>
    </row>
    <row r="1339" spans="4:4" x14ac:dyDescent="0.3">
      <c r="D1339" s="104"/>
    </row>
    <row r="1340" spans="4:4" x14ac:dyDescent="0.3">
      <c r="D1340" s="104"/>
    </row>
    <row r="1341" spans="4:4" x14ac:dyDescent="0.3">
      <c r="D1341" s="104"/>
    </row>
    <row r="1342" spans="4:4" x14ac:dyDescent="0.3">
      <c r="D1342" s="104"/>
    </row>
    <row r="1343" spans="4:4" x14ac:dyDescent="0.3">
      <c r="D1343" s="104"/>
    </row>
    <row r="1344" spans="4:4" x14ac:dyDescent="0.3">
      <c r="D1344" s="104"/>
    </row>
    <row r="1345" spans="4:4" x14ac:dyDescent="0.3">
      <c r="D1345" s="104"/>
    </row>
    <row r="1346" spans="4:4" x14ac:dyDescent="0.3">
      <c r="D1346" s="104"/>
    </row>
    <row r="1347" spans="4:4" x14ac:dyDescent="0.3">
      <c r="D1347" s="104"/>
    </row>
    <row r="1348" spans="4:4" x14ac:dyDescent="0.3">
      <c r="D1348" s="104"/>
    </row>
    <row r="1349" spans="4:4" x14ac:dyDescent="0.3">
      <c r="D1349" s="104"/>
    </row>
    <row r="1350" spans="4:4" x14ac:dyDescent="0.3">
      <c r="D1350" s="104"/>
    </row>
    <row r="1351" spans="4:4" x14ac:dyDescent="0.3">
      <c r="D1351" s="104"/>
    </row>
    <row r="1352" spans="4:4" x14ac:dyDescent="0.3">
      <c r="D1352" s="104"/>
    </row>
    <row r="1353" spans="4:4" x14ac:dyDescent="0.3">
      <c r="D1353" s="104"/>
    </row>
    <row r="1354" spans="4:4" x14ac:dyDescent="0.3">
      <c r="D1354" s="104"/>
    </row>
    <row r="1355" spans="4:4" x14ac:dyDescent="0.3">
      <c r="D1355" s="104"/>
    </row>
    <row r="1356" spans="4:4" x14ac:dyDescent="0.3">
      <c r="D1356" s="104"/>
    </row>
    <row r="1357" spans="4:4" x14ac:dyDescent="0.3">
      <c r="D1357" s="104"/>
    </row>
    <row r="1358" spans="4:4" x14ac:dyDescent="0.3">
      <c r="D1358" s="104"/>
    </row>
    <row r="1359" spans="4:4" x14ac:dyDescent="0.3">
      <c r="D1359" s="104"/>
    </row>
    <row r="1360" spans="4:4" x14ac:dyDescent="0.3">
      <c r="D1360" s="104"/>
    </row>
    <row r="1361" spans="4:4" x14ac:dyDescent="0.3">
      <c r="D1361" s="104"/>
    </row>
    <row r="1362" spans="4:4" x14ac:dyDescent="0.3">
      <c r="D1362" s="104"/>
    </row>
    <row r="1363" spans="4:4" x14ac:dyDescent="0.3">
      <c r="D1363" s="104"/>
    </row>
    <row r="1364" spans="4:4" x14ac:dyDescent="0.3">
      <c r="D1364" s="104"/>
    </row>
    <row r="1365" spans="4:4" x14ac:dyDescent="0.3">
      <c r="D1365" s="104"/>
    </row>
    <row r="1366" spans="4:4" x14ac:dyDescent="0.3">
      <c r="D1366" s="104"/>
    </row>
    <row r="1367" spans="4:4" x14ac:dyDescent="0.3">
      <c r="D1367" s="104"/>
    </row>
    <row r="1368" spans="4:4" x14ac:dyDescent="0.3">
      <c r="D1368" s="104"/>
    </row>
    <row r="1369" spans="4:4" x14ac:dyDescent="0.3">
      <c r="D1369" s="104"/>
    </row>
    <row r="1370" spans="4:4" x14ac:dyDescent="0.3">
      <c r="D1370" s="104"/>
    </row>
    <row r="1371" spans="4:4" x14ac:dyDescent="0.3">
      <c r="D1371" s="104"/>
    </row>
    <row r="1372" spans="4:4" x14ac:dyDescent="0.3">
      <c r="D1372" s="104"/>
    </row>
    <row r="1373" spans="4:4" x14ac:dyDescent="0.3">
      <c r="D1373" s="104"/>
    </row>
    <row r="1374" spans="4:4" x14ac:dyDescent="0.3">
      <c r="D1374" s="104"/>
    </row>
    <row r="1375" spans="4:4" x14ac:dyDescent="0.3">
      <c r="D1375" s="104"/>
    </row>
    <row r="1376" spans="4:4" x14ac:dyDescent="0.3">
      <c r="D1376" s="104"/>
    </row>
    <row r="1377" spans="4:4" x14ac:dyDescent="0.3">
      <c r="D1377" s="104"/>
    </row>
    <row r="1378" spans="4:4" x14ac:dyDescent="0.3">
      <c r="D1378" s="104"/>
    </row>
    <row r="1379" spans="4:4" x14ac:dyDescent="0.3">
      <c r="D1379" s="104"/>
    </row>
    <row r="1380" spans="4:4" x14ac:dyDescent="0.3">
      <c r="D1380" s="104"/>
    </row>
    <row r="1381" spans="4:4" x14ac:dyDescent="0.3">
      <c r="D1381" s="104"/>
    </row>
    <row r="1382" spans="4:4" x14ac:dyDescent="0.3">
      <c r="D1382" s="104"/>
    </row>
    <row r="1383" spans="4:4" x14ac:dyDescent="0.3">
      <c r="D1383" s="104"/>
    </row>
    <row r="1384" spans="4:4" x14ac:dyDescent="0.3">
      <c r="D1384" s="104"/>
    </row>
    <row r="1385" spans="4:4" x14ac:dyDescent="0.3">
      <c r="D1385" s="104"/>
    </row>
    <row r="1386" spans="4:4" x14ac:dyDescent="0.3">
      <c r="D1386" s="104"/>
    </row>
    <row r="1387" spans="4:4" x14ac:dyDescent="0.3">
      <c r="D1387" s="104"/>
    </row>
    <row r="1388" spans="4:4" x14ac:dyDescent="0.3">
      <c r="D1388" s="104"/>
    </row>
    <row r="1389" spans="4:4" x14ac:dyDescent="0.3">
      <c r="D1389" s="104"/>
    </row>
    <row r="1390" spans="4:4" x14ac:dyDescent="0.3">
      <c r="D1390" s="104"/>
    </row>
    <row r="1391" spans="4:4" x14ac:dyDescent="0.3">
      <c r="D1391" s="104"/>
    </row>
    <row r="1392" spans="4:4" x14ac:dyDescent="0.3">
      <c r="D1392" s="104"/>
    </row>
    <row r="1393" spans="4:4" x14ac:dyDescent="0.3">
      <c r="D1393" s="104"/>
    </row>
    <row r="1394" spans="4:4" x14ac:dyDescent="0.3">
      <c r="D1394" s="104"/>
    </row>
    <row r="1395" spans="4:4" x14ac:dyDescent="0.3">
      <c r="D1395" s="104"/>
    </row>
    <row r="1396" spans="4:4" x14ac:dyDescent="0.3">
      <c r="D1396" s="104"/>
    </row>
    <row r="1397" spans="4:4" x14ac:dyDescent="0.3">
      <c r="D1397" s="104"/>
    </row>
    <row r="1398" spans="4:4" x14ac:dyDescent="0.3">
      <c r="D1398" s="104"/>
    </row>
    <row r="1399" spans="4:4" x14ac:dyDescent="0.3">
      <c r="D1399" s="104"/>
    </row>
    <row r="1400" spans="4:4" x14ac:dyDescent="0.3">
      <c r="D1400" s="104"/>
    </row>
    <row r="1401" spans="4:4" x14ac:dyDescent="0.3">
      <c r="D1401" s="104"/>
    </row>
    <row r="1402" spans="4:4" x14ac:dyDescent="0.3">
      <c r="D1402" s="104"/>
    </row>
    <row r="1403" spans="4:4" x14ac:dyDescent="0.3">
      <c r="D1403" s="104"/>
    </row>
    <row r="1404" spans="4:4" x14ac:dyDescent="0.3">
      <c r="D1404" s="104"/>
    </row>
    <row r="1405" spans="4:4" x14ac:dyDescent="0.3">
      <c r="D1405" s="104"/>
    </row>
    <row r="1406" spans="4:4" x14ac:dyDescent="0.3">
      <c r="D1406" s="104"/>
    </row>
    <row r="1407" spans="4:4" x14ac:dyDescent="0.3">
      <c r="D1407" s="104"/>
    </row>
    <row r="1408" spans="4:4" x14ac:dyDescent="0.3">
      <c r="D1408" s="104"/>
    </row>
    <row r="1409" spans="4:4" x14ac:dyDescent="0.3">
      <c r="D1409" s="104"/>
    </row>
    <row r="1410" spans="4:4" x14ac:dyDescent="0.3">
      <c r="D1410" s="104"/>
    </row>
    <row r="1411" spans="4:4" x14ac:dyDescent="0.3">
      <c r="D1411" s="104"/>
    </row>
    <row r="1412" spans="4:4" x14ac:dyDescent="0.3">
      <c r="D1412" s="104"/>
    </row>
    <row r="1413" spans="4:4" x14ac:dyDescent="0.3">
      <c r="D1413" s="104"/>
    </row>
    <row r="1414" spans="4:4" x14ac:dyDescent="0.3">
      <c r="D1414" s="104"/>
    </row>
    <row r="1415" spans="4:4" x14ac:dyDescent="0.3">
      <c r="D1415" s="104"/>
    </row>
    <row r="1416" spans="4:4" x14ac:dyDescent="0.3">
      <c r="D1416" s="104"/>
    </row>
    <row r="1417" spans="4:4" x14ac:dyDescent="0.3">
      <c r="D1417" s="104"/>
    </row>
    <row r="1418" spans="4:4" x14ac:dyDescent="0.3">
      <c r="D1418" s="104"/>
    </row>
    <row r="1419" spans="4:4" x14ac:dyDescent="0.3">
      <c r="D1419" s="104"/>
    </row>
    <row r="1420" spans="4:4" x14ac:dyDescent="0.3">
      <c r="D1420" s="104"/>
    </row>
    <row r="1421" spans="4:4" x14ac:dyDescent="0.3">
      <c r="D1421" s="104"/>
    </row>
    <row r="1422" spans="4:4" x14ac:dyDescent="0.3">
      <c r="D1422" s="104"/>
    </row>
    <row r="1423" spans="4:4" x14ac:dyDescent="0.3">
      <c r="D1423" s="104"/>
    </row>
    <row r="1424" spans="4:4" x14ac:dyDescent="0.3">
      <c r="D1424" s="104"/>
    </row>
    <row r="1425" spans="4:4" x14ac:dyDescent="0.3">
      <c r="D1425" s="104"/>
    </row>
    <row r="1426" spans="4:4" x14ac:dyDescent="0.3">
      <c r="D1426" s="104"/>
    </row>
    <row r="1427" spans="4:4" x14ac:dyDescent="0.3">
      <c r="D1427" s="104"/>
    </row>
    <row r="1428" spans="4:4" x14ac:dyDescent="0.3">
      <c r="D1428" s="104"/>
    </row>
    <row r="1429" spans="4:4" x14ac:dyDescent="0.3">
      <c r="D1429" s="104"/>
    </row>
    <row r="1430" spans="4:4" x14ac:dyDescent="0.3">
      <c r="D1430" s="104"/>
    </row>
    <row r="1431" spans="4:4" x14ac:dyDescent="0.3">
      <c r="D1431" s="104"/>
    </row>
    <row r="1432" spans="4:4" x14ac:dyDescent="0.3">
      <c r="D1432" s="104"/>
    </row>
    <row r="1433" spans="4:4" x14ac:dyDescent="0.3">
      <c r="D1433" s="104"/>
    </row>
    <row r="1434" spans="4:4" x14ac:dyDescent="0.3">
      <c r="D1434" s="104"/>
    </row>
    <row r="1435" spans="4:4" x14ac:dyDescent="0.3">
      <c r="D1435" s="104"/>
    </row>
    <row r="1436" spans="4:4" x14ac:dyDescent="0.3">
      <c r="D1436" s="104"/>
    </row>
    <row r="1437" spans="4:4" x14ac:dyDescent="0.3">
      <c r="D1437" s="104"/>
    </row>
    <row r="1438" spans="4:4" x14ac:dyDescent="0.3">
      <c r="D1438" s="104"/>
    </row>
    <row r="1439" spans="4:4" x14ac:dyDescent="0.3">
      <c r="D1439" s="104"/>
    </row>
    <row r="1440" spans="4:4" x14ac:dyDescent="0.3">
      <c r="D1440" s="104"/>
    </row>
    <row r="1441" spans="4:4" x14ac:dyDescent="0.3">
      <c r="D1441" s="104"/>
    </row>
    <row r="1442" spans="4:4" x14ac:dyDescent="0.3">
      <c r="D1442" s="104"/>
    </row>
    <row r="1443" spans="4:4" x14ac:dyDescent="0.3">
      <c r="D1443" s="104"/>
    </row>
    <row r="1444" spans="4:4" x14ac:dyDescent="0.3">
      <c r="D1444" s="104"/>
    </row>
    <row r="1445" spans="4:4" x14ac:dyDescent="0.3">
      <c r="D1445" s="104"/>
    </row>
    <row r="1446" spans="4:4" x14ac:dyDescent="0.3">
      <c r="D1446" s="104"/>
    </row>
    <row r="1447" spans="4:4" x14ac:dyDescent="0.3">
      <c r="D1447" s="104"/>
    </row>
    <row r="1448" spans="4:4" x14ac:dyDescent="0.3">
      <c r="D1448" s="104"/>
    </row>
    <row r="1449" spans="4:4" x14ac:dyDescent="0.3">
      <c r="D1449" s="104"/>
    </row>
    <row r="1450" spans="4:4" x14ac:dyDescent="0.3">
      <c r="D1450" s="104"/>
    </row>
    <row r="1451" spans="4:4" x14ac:dyDescent="0.3">
      <c r="D1451" s="104"/>
    </row>
    <row r="1452" spans="4:4" x14ac:dyDescent="0.3">
      <c r="D1452" s="104"/>
    </row>
    <row r="1453" spans="4:4" x14ac:dyDescent="0.3">
      <c r="D1453" s="104"/>
    </row>
    <row r="1454" spans="4:4" x14ac:dyDescent="0.3">
      <c r="D1454" s="104"/>
    </row>
    <row r="1455" spans="4:4" x14ac:dyDescent="0.3">
      <c r="D1455" s="104"/>
    </row>
    <row r="1456" spans="4:4" x14ac:dyDescent="0.3">
      <c r="D1456" s="104"/>
    </row>
    <row r="1457" spans="4:4" x14ac:dyDescent="0.3">
      <c r="D1457" s="104"/>
    </row>
    <row r="1458" spans="4:4" x14ac:dyDescent="0.3">
      <c r="D1458" s="104"/>
    </row>
    <row r="1459" spans="4:4" x14ac:dyDescent="0.3">
      <c r="D1459" s="104"/>
    </row>
    <row r="1460" spans="4:4" x14ac:dyDescent="0.3">
      <c r="D1460" s="104"/>
    </row>
    <row r="1461" spans="4:4" x14ac:dyDescent="0.3">
      <c r="D1461" s="104"/>
    </row>
    <row r="1462" spans="4:4" x14ac:dyDescent="0.3">
      <c r="D1462" s="104"/>
    </row>
    <row r="1463" spans="4:4" x14ac:dyDescent="0.3">
      <c r="D1463" s="104"/>
    </row>
    <row r="1464" spans="4:4" x14ac:dyDescent="0.3">
      <c r="D1464" s="104"/>
    </row>
    <row r="1465" spans="4:4" x14ac:dyDescent="0.3">
      <c r="D1465" s="104"/>
    </row>
    <row r="1466" spans="4:4" x14ac:dyDescent="0.3">
      <c r="D1466" s="104"/>
    </row>
    <row r="1467" spans="4:4" x14ac:dyDescent="0.3">
      <c r="D1467" s="104"/>
    </row>
    <row r="1468" spans="4:4" x14ac:dyDescent="0.3">
      <c r="D1468" s="104"/>
    </row>
    <row r="1469" spans="4:4" x14ac:dyDescent="0.3">
      <c r="D1469" s="104"/>
    </row>
    <row r="1470" spans="4:4" x14ac:dyDescent="0.3">
      <c r="D1470" s="104"/>
    </row>
    <row r="1471" spans="4:4" x14ac:dyDescent="0.3">
      <c r="D1471" s="104"/>
    </row>
    <row r="1472" spans="4:4" x14ac:dyDescent="0.3">
      <c r="D1472" s="104"/>
    </row>
    <row r="1473" spans="4:4" x14ac:dyDescent="0.3">
      <c r="D1473" s="104"/>
    </row>
    <row r="1474" spans="4:4" x14ac:dyDescent="0.3">
      <c r="D1474" s="104"/>
    </row>
    <row r="1475" spans="4:4" x14ac:dyDescent="0.3">
      <c r="D1475" s="104"/>
    </row>
    <row r="1476" spans="4:4" x14ac:dyDescent="0.3">
      <c r="D1476" s="104"/>
    </row>
    <row r="1477" spans="4:4" x14ac:dyDescent="0.3">
      <c r="D1477" s="104"/>
    </row>
    <row r="1478" spans="4:4" x14ac:dyDescent="0.3">
      <c r="D1478" s="104"/>
    </row>
    <row r="1479" spans="4:4" x14ac:dyDescent="0.3">
      <c r="D1479" s="104"/>
    </row>
    <row r="1480" spans="4:4" x14ac:dyDescent="0.3">
      <c r="D1480" s="104"/>
    </row>
    <row r="1481" spans="4:4" x14ac:dyDescent="0.3">
      <c r="D1481" s="104"/>
    </row>
    <row r="1482" spans="4:4" x14ac:dyDescent="0.3">
      <c r="D1482" s="104"/>
    </row>
    <row r="1483" spans="4:4" x14ac:dyDescent="0.3">
      <c r="D1483" s="104"/>
    </row>
    <row r="1484" spans="4:4" x14ac:dyDescent="0.3">
      <c r="D1484" s="104"/>
    </row>
    <row r="1485" spans="4:4" x14ac:dyDescent="0.3">
      <c r="D1485" s="104"/>
    </row>
    <row r="1486" spans="4:4" x14ac:dyDescent="0.3">
      <c r="D1486" s="104"/>
    </row>
    <row r="1487" spans="4:4" x14ac:dyDescent="0.3">
      <c r="D1487" s="104"/>
    </row>
    <row r="1488" spans="4:4" x14ac:dyDescent="0.3">
      <c r="D1488" s="104"/>
    </row>
    <row r="1489" spans="4:4" x14ac:dyDescent="0.3">
      <c r="D1489" s="104"/>
    </row>
    <row r="1490" spans="4:4" x14ac:dyDescent="0.3">
      <c r="D1490" s="104"/>
    </row>
    <row r="1491" spans="4:4" x14ac:dyDescent="0.3">
      <c r="D1491" s="104"/>
    </row>
    <row r="1492" spans="4:4" x14ac:dyDescent="0.3">
      <c r="D1492" s="104"/>
    </row>
    <row r="1493" spans="4:4" x14ac:dyDescent="0.3">
      <c r="D1493" s="104"/>
    </row>
    <row r="1494" spans="4:4" x14ac:dyDescent="0.3">
      <c r="D1494" s="104"/>
    </row>
    <row r="1495" spans="4:4" x14ac:dyDescent="0.3">
      <c r="D1495" s="104"/>
    </row>
    <row r="1496" spans="4:4" x14ac:dyDescent="0.3">
      <c r="D1496" s="104"/>
    </row>
    <row r="1497" spans="4:4" x14ac:dyDescent="0.3">
      <c r="D1497" s="104"/>
    </row>
    <row r="1498" spans="4:4" x14ac:dyDescent="0.3">
      <c r="D1498" s="104"/>
    </row>
    <row r="1499" spans="4:4" x14ac:dyDescent="0.3">
      <c r="D1499" s="104"/>
    </row>
    <row r="1500" spans="4:4" x14ac:dyDescent="0.3">
      <c r="D1500" s="104"/>
    </row>
    <row r="1501" spans="4:4" x14ac:dyDescent="0.3">
      <c r="D1501" s="104"/>
    </row>
    <row r="1502" spans="4:4" x14ac:dyDescent="0.3">
      <c r="D1502" s="104"/>
    </row>
    <row r="1503" spans="4:4" x14ac:dyDescent="0.3">
      <c r="D1503" s="104"/>
    </row>
    <row r="1504" spans="4:4" x14ac:dyDescent="0.3">
      <c r="D1504" s="104"/>
    </row>
    <row r="1505" spans="4:4" x14ac:dyDescent="0.3">
      <c r="D1505" s="104"/>
    </row>
    <row r="1506" spans="4:4" x14ac:dyDescent="0.3">
      <c r="D1506" s="104"/>
    </row>
    <row r="1507" spans="4:4" x14ac:dyDescent="0.3">
      <c r="D1507" s="104"/>
    </row>
    <row r="1508" spans="4:4" x14ac:dyDescent="0.3">
      <c r="D1508" s="104"/>
    </row>
    <row r="1509" spans="4:4" x14ac:dyDescent="0.3">
      <c r="D1509" s="104"/>
    </row>
    <row r="1510" spans="4:4" x14ac:dyDescent="0.3">
      <c r="D1510" s="104"/>
    </row>
    <row r="1511" spans="4:4" x14ac:dyDescent="0.3">
      <c r="D1511" s="104"/>
    </row>
    <row r="1512" spans="4:4" x14ac:dyDescent="0.3">
      <c r="D1512" s="104"/>
    </row>
    <row r="1513" spans="4:4" x14ac:dyDescent="0.3">
      <c r="D1513" s="104"/>
    </row>
    <row r="1514" spans="4:4" x14ac:dyDescent="0.3">
      <c r="D1514" s="104"/>
    </row>
    <row r="1515" spans="4:4" x14ac:dyDescent="0.3">
      <c r="D1515" s="104"/>
    </row>
    <row r="1516" spans="4:4" x14ac:dyDescent="0.3">
      <c r="D1516" s="104"/>
    </row>
    <row r="1517" spans="4:4" x14ac:dyDescent="0.3">
      <c r="D1517" s="104"/>
    </row>
    <row r="1518" spans="4:4" x14ac:dyDescent="0.3">
      <c r="D1518" s="104"/>
    </row>
    <row r="1519" spans="4:4" x14ac:dyDescent="0.3">
      <c r="D1519" s="104"/>
    </row>
    <row r="1520" spans="4:4" x14ac:dyDescent="0.3">
      <c r="D1520" s="104"/>
    </row>
    <row r="1521" spans="4:4" x14ac:dyDescent="0.3">
      <c r="D1521" s="104"/>
    </row>
    <row r="1522" spans="4:4" x14ac:dyDescent="0.3">
      <c r="D1522" s="104"/>
    </row>
    <row r="1523" spans="4:4" x14ac:dyDescent="0.3">
      <c r="D1523" s="104"/>
    </row>
    <row r="1524" spans="4:4" x14ac:dyDescent="0.3">
      <c r="D1524" s="104"/>
    </row>
    <row r="1525" spans="4:4" x14ac:dyDescent="0.3">
      <c r="D1525" s="104"/>
    </row>
    <row r="1526" spans="4:4" x14ac:dyDescent="0.3">
      <c r="D1526" s="104"/>
    </row>
    <row r="1527" spans="4:4" x14ac:dyDescent="0.3">
      <c r="D1527" s="104"/>
    </row>
    <row r="1528" spans="4:4" x14ac:dyDescent="0.3">
      <c r="D1528" s="104"/>
    </row>
    <row r="1529" spans="4:4" x14ac:dyDescent="0.3">
      <c r="D1529" s="104"/>
    </row>
    <row r="1530" spans="4:4" x14ac:dyDescent="0.3">
      <c r="D1530" s="104"/>
    </row>
    <row r="1531" spans="4:4" x14ac:dyDescent="0.3">
      <c r="D1531" s="104"/>
    </row>
    <row r="1532" spans="4:4" x14ac:dyDescent="0.3">
      <c r="D1532" s="104"/>
    </row>
    <row r="1533" spans="4:4" x14ac:dyDescent="0.3">
      <c r="D1533" s="104"/>
    </row>
    <row r="1534" spans="4:4" x14ac:dyDescent="0.3">
      <c r="D1534" s="104"/>
    </row>
    <row r="1535" spans="4:4" x14ac:dyDescent="0.3">
      <c r="D1535" s="104"/>
    </row>
    <row r="1536" spans="4:4" x14ac:dyDescent="0.3">
      <c r="D1536" s="104"/>
    </row>
    <row r="1537" spans="4:4" x14ac:dyDescent="0.3">
      <c r="D1537" s="104"/>
    </row>
    <row r="1538" spans="4:4" x14ac:dyDescent="0.3">
      <c r="D1538" s="104"/>
    </row>
    <row r="1539" spans="4:4" x14ac:dyDescent="0.3">
      <c r="D1539" s="104"/>
    </row>
    <row r="1540" spans="4:4" x14ac:dyDescent="0.3">
      <c r="D1540" s="104"/>
    </row>
    <row r="1541" spans="4:4" x14ac:dyDescent="0.3">
      <c r="D1541" s="104"/>
    </row>
    <row r="1542" spans="4:4" x14ac:dyDescent="0.3">
      <c r="D1542" s="104"/>
    </row>
    <row r="1543" spans="4:4" x14ac:dyDescent="0.3">
      <c r="D1543" s="104"/>
    </row>
    <row r="1544" spans="4:4" x14ac:dyDescent="0.3">
      <c r="D1544" s="104"/>
    </row>
    <row r="1545" spans="4:4" x14ac:dyDescent="0.3">
      <c r="D1545" s="104"/>
    </row>
    <row r="1546" spans="4:4" x14ac:dyDescent="0.3">
      <c r="D1546" s="104"/>
    </row>
    <row r="1547" spans="4:4" x14ac:dyDescent="0.3">
      <c r="D1547" s="104"/>
    </row>
    <row r="1548" spans="4:4" x14ac:dyDescent="0.3">
      <c r="D1548" s="104"/>
    </row>
    <row r="1549" spans="4:4" x14ac:dyDescent="0.3">
      <c r="D1549" s="104"/>
    </row>
    <row r="1550" spans="4:4" x14ac:dyDescent="0.3">
      <c r="D1550" s="104"/>
    </row>
    <row r="1551" spans="4:4" x14ac:dyDescent="0.3">
      <c r="D1551" s="104"/>
    </row>
    <row r="1552" spans="4:4" x14ac:dyDescent="0.3">
      <c r="D1552" s="104"/>
    </row>
    <row r="1553" spans="4:4" x14ac:dyDescent="0.3">
      <c r="D1553" s="104"/>
    </row>
    <row r="1554" spans="4:4" x14ac:dyDescent="0.3">
      <c r="D1554" s="104"/>
    </row>
    <row r="1555" spans="4:4" x14ac:dyDescent="0.3">
      <c r="D1555" s="104"/>
    </row>
    <row r="1556" spans="4:4" x14ac:dyDescent="0.3">
      <c r="D1556" s="104"/>
    </row>
    <row r="1557" spans="4:4" x14ac:dyDescent="0.3">
      <c r="D1557" s="104"/>
    </row>
    <row r="1558" spans="4:4" x14ac:dyDescent="0.3">
      <c r="D1558" s="104"/>
    </row>
    <row r="1559" spans="4:4" x14ac:dyDescent="0.3">
      <c r="D1559" s="104"/>
    </row>
    <row r="1560" spans="4:4" x14ac:dyDescent="0.3">
      <c r="D1560" s="104"/>
    </row>
    <row r="1561" spans="4:4" x14ac:dyDescent="0.3">
      <c r="D1561" s="104"/>
    </row>
    <row r="1562" spans="4:4" x14ac:dyDescent="0.3">
      <c r="D1562" s="104"/>
    </row>
    <row r="1563" spans="4:4" x14ac:dyDescent="0.3">
      <c r="D1563" s="104"/>
    </row>
    <row r="1564" spans="4:4" x14ac:dyDescent="0.3">
      <c r="D1564" s="104"/>
    </row>
    <row r="1565" spans="4:4" x14ac:dyDescent="0.3">
      <c r="D1565" s="104"/>
    </row>
    <row r="1566" spans="4:4" x14ac:dyDescent="0.3">
      <c r="D1566" s="104"/>
    </row>
    <row r="1567" spans="4:4" x14ac:dyDescent="0.3">
      <c r="D1567" s="104"/>
    </row>
    <row r="1568" spans="4:4" x14ac:dyDescent="0.3">
      <c r="D1568" s="104"/>
    </row>
    <row r="1569" spans="4:4" x14ac:dyDescent="0.3">
      <c r="D1569" s="104"/>
    </row>
    <row r="1570" spans="4:4" x14ac:dyDescent="0.3">
      <c r="D1570" s="104"/>
    </row>
    <row r="1571" spans="4:4" x14ac:dyDescent="0.3">
      <c r="D1571" s="104"/>
    </row>
    <row r="1572" spans="4:4" x14ac:dyDescent="0.3">
      <c r="D1572" s="104"/>
    </row>
    <row r="1573" spans="4:4" x14ac:dyDescent="0.3">
      <c r="D1573" s="104"/>
    </row>
    <row r="1574" spans="4:4" x14ac:dyDescent="0.3">
      <c r="D1574" s="104"/>
    </row>
    <row r="1575" spans="4:4" x14ac:dyDescent="0.3">
      <c r="D1575" s="104"/>
    </row>
    <row r="1576" spans="4:4" x14ac:dyDescent="0.3">
      <c r="D1576" s="104"/>
    </row>
    <row r="1577" spans="4:4" x14ac:dyDescent="0.3">
      <c r="D1577" s="104"/>
    </row>
    <row r="1578" spans="4:4" x14ac:dyDescent="0.3">
      <c r="D1578" s="104"/>
    </row>
    <row r="1579" spans="4:4" x14ac:dyDescent="0.3">
      <c r="D1579" s="104"/>
    </row>
    <row r="1580" spans="4:4" x14ac:dyDescent="0.3">
      <c r="D1580" s="104"/>
    </row>
    <row r="1581" spans="4:4" x14ac:dyDescent="0.3">
      <c r="D1581" s="104"/>
    </row>
    <row r="1582" spans="4:4" x14ac:dyDescent="0.3">
      <c r="D1582" s="104"/>
    </row>
    <row r="1583" spans="4:4" x14ac:dyDescent="0.3">
      <c r="D1583" s="104"/>
    </row>
    <row r="1584" spans="4:4" x14ac:dyDescent="0.3">
      <c r="D1584" s="104"/>
    </row>
    <row r="1585" spans="4:4" x14ac:dyDescent="0.3">
      <c r="D1585" s="104"/>
    </row>
    <row r="1586" spans="4:4" x14ac:dyDescent="0.3">
      <c r="D1586" s="104"/>
    </row>
    <row r="1587" spans="4:4" x14ac:dyDescent="0.3">
      <c r="D1587" s="104"/>
    </row>
    <row r="1588" spans="4:4" x14ac:dyDescent="0.3">
      <c r="D1588" s="104"/>
    </row>
    <row r="1589" spans="4:4" x14ac:dyDescent="0.3">
      <c r="D1589" s="104"/>
    </row>
    <row r="1590" spans="4:4" x14ac:dyDescent="0.3">
      <c r="D1590" s="104"/>
    </row>
    <row r="1591" spans="4:4" x14ac:dyDescent="0.3">
      <c r="D1591" s="104"/>
    </row>
    <row r="1592" spans="4:4" x14ac:dyDescent="0.3">
      <c r="D1592" s="104"/>
    </row>
    <row r="1593" spans="4:4" x14ac:dyDescent="0.3">
      <c r="D1593" s="104"/>
    </row>
    <row r="1594" spans="4:4" x14ac:dyDescent="0.3">
      <c r="D1594" s="104"/>
    </row>
    <row r="1595" spans="4:4" x14ac:dyDescent="0.3">
      <c r="D1595" s="104"/>
    </row>
    <row r="1596" spans="4:4" x14ac:dyDescent="0.3">
      <c r="D1596" s="104"/>
    </row>
    <row r="1597" spans="4:4" x14ac:dyDescent="0.3">
      <c r="D1597" s="104"/>
    </row>
    <row r="1598" spans="4:4" x14ac:dyDescent="0.3">
      <c r="D1598" s="104"/>
    </row>
    <row r="1599" spans="4:4" x14ac:dyDescent="0.3">
      <c r="D1599" s="104"/>
    </row>
    <row r="1600" spans="4:4" x14ac:dyDescent="0.3">
      <c r="D1600" s="104"/>
    </row>
    <row r="1601" spans="4:4" x14ac:dyDescent="0.3">
      <c r="D1601" s="104"/>
    </row>
    <row r="1602" spans="4:4" x14ac:dyDescent="0.3">
      <c r="D1602" s="104"/>
    </row>
    <row r="1603" spans="4:4" x14ac:dyDescent="0.3">
      <c r="D1603" s="104"/>
    </row>
    <row r="1604" spans="4:4" x14ac:dyDescent="0.3">
      <c r="D1604" s="104"/>
    </row>
    <row r="1605" spans="4:4" x14ac:dyDescent="0.3">
      <c r="D1605" s="104"/>
    </row>
    <row r="1606" spans="4:4" x14ac:dyDescent="0.3">
      <c r="D1606" s="104"/>
    </row>
    <row r="1607" spans="4:4" x14ac:dyDescent="0.3">
      <c r="D1607" s="104"/>
    </row>
    <row r="1608" spans="4:4" x14ac:dyDescent="0.3">
      <c r="D1608" s="104"/>
    </row>
    <row r="1609" spans="4:4" x14ac:dyDescent="0.3">
      <c r="D1609" s="104"/>
    </row>
    <row r="1610" spans="4:4" x14ac:dyDescent="0.3">
      <c r="D1610" s="104"/>
    </row>
    <row r="1611" spans="4:4" x14ac:dyDescent="0.3">
      <c r="D1611" s="104"/>
    </row>
    <row r="1612" spans="4:4" x14ac:dyDescent="0.3">
      <c r="D1612" s="104"/>
    </row>
    <row r="1613" spans="4:4" x14ac:dyDescent="0.3">
      <c r="D1613" s="104"/>
    </row>
    <row r="1614" spans="4:4" x14ac:dyDescent="0.3">
      <c r="D1614" s="104"/>
    </row>
    <row r="1615" spans="4:4" x14ac:dyDescent="0.3">
      <c r="D1615" s="104"/>
    </row>
    <row r="1616" spans="4:4" x14ac:dyDescent="0.3">
      <c r="D1616" s="104"/>
    </row>
    <row r="1617" spans="4:4" x14ac:dyDescent="0.3">
      <c r="D1617" s="104"/>
    </row>
    <row r="1618" spans="4:4" x14ac:dyDescent="0.3">
      <c r="D1618" s="104"/>
    </row>
    <row r="1619" spans="4:4" x14ac:dyDescent="0.3">
      <c r="D1619" s="104"/>
    </row>
    <row r="1620" spans="4:4" x14ac:dyDescent="0.3">
      <c r="D1620" s="104"/>
    </row>
    <row r="1621" spans="4:4" x14ac:dyDescent="0.3">
      <c r="D1621" s="104"/>
    </row>
    <row r="1622" spans="4:4" x14ac:dyDescent="0.3">
      <c r="D1622" s="104"/>
    </row>
    <row r="1623" spans="4:4" x14ac:dyDescent="0.3">
      <c r="D1623" s="104"/>
    </row>
    <row r="1624" spans="4:4" x14ac:dyDescent="0.3">
      <c r="D1624" s="104"/>
    </row>
    <row r="1625" spans="4:4" x14ac:dyDescent="0.3">
      <c r="D1625" s="104"/>
    </row>
    <row r="1626" spans="4:4" x14ac:dyDescent="0.3">
      <c r="D1626" s="104"/>
    </row>
    <row r="1627" spans="4:4" x14ac:dyDescent="0.3">
      <c r="D1627" s="104"/>
    </row>
    <row r="1628" spans="4:4" x14ac:dyDescent="0.3">
      <c r="D1628" s="104"/>
    </row>
    <row r="1629" spans="4:4" x14ac:dyDescent="0.3">
      <c r="D1629" s="104"/>
    </row>
    <row r="1630" spans="4:4" x14ac:dyDescent="0.3">
      <c r="D1630" s="104"/>
    </row>
    <row r="1631" spans="4:4" x14ac:dyDescent="0.3">
      <c r="D1631" s="104"/>
    </row>
    <row r="1632" spans="4:4" x14ac:dyDescent="0.3">
      <c r="D1632" s="104"/>
    </row>
    <row r="1633" spans="4:4" x14ac:dyDescent="0.3">
      <c r="D1633" s="104"/>
    </row>
    <row r="1634" spans="4:4" x14ac:dyDescent="0.3">
      <c r="D1634" s="104"/>
    </row>
    <row r="1635" spans="4:4" x14ac:dyDescent="0.3">
      <c r="D1635" s="104"/>
    </row>
    <row r="1636" spans="4:4" x14ac:dyDescent="0.3">
      <c r="D1636" s="104"/>
    </row>
    <row r="1637" spans="4:4" x14ac:dyDescent="0.3">
      <c r="D1637" s="104"/>
    </row>
    <row r="1638" spans="4:4" x14ac:dyDescent="0.3">
      <c r="D1638" s="104"/>
    </row>
    <row r="1639" spans="4:4" x14ac:dyDescent="0.3">
      <c r="D1639" s="104"/>
    </row>
    <row r="1640" spans="4:4" x14ac:dyDescent="0.3">
      <c r="D1640" s="104"/>
    </row>
    <row r="1641" spans="4:4" x14ac:dyDescent="0.3">
      <c r="D1641" s="104"/>
    </row>
    <row r="1642" spans="4:4" x14ac:dyDescent="0.3">
      <c r="D1642" s="104"/>
    </row>
    <row r="1643" spans="4:4" x14ac:dyDescent="0.3">
      <c r="D1643" s="104"/>
    </row>
    <row r="1644" spans="4:4" x14ac:dyDescent="0.3">
      <c r="D1644" s="104"/>
    </row>
    <row r="1645" spans="4:4" x14ac:dyDescent="0.3">
      <c r="D1645" s="104"/>
    </row>
    <row r="1646" spans="4:4" x14ac:dyDescent="0.3">
      <c r="D1646" s="104"/>
    </row>
    <row r="1647" spans="4:4" x14ac:dyDescent="0.3">
      <c r="D1647" s="104"/>
    </row>
    <row r="1648" spans="4:4" x14ac:dyDescent="0.3">
      <c r="D1648" s="104"/>
    </row>
    <row r="1649" spans="4:4" x14ac:dyDescent="0.3">
      <c r="D1649" s="104"/>
    </row>
    <row r="1650" spans="4:4" x14ac:dyDescent="0.3">
      <c r="D1650" s="104"/>
    </row>
    <row r="1651" spans="4:4" x14ac:dyDescent="0.3">
      <c r="D1651" s="104"/>
    </row>
    <row r="1652" spans="4:4" x14ac:dyDescent="0.3">
      <c r="D1652" s="104"/>
    </row>
    <row r="1653" spans="4:4" x14ac:dyDescent="0.3">
      <c r="D1653" s="104"/>
    </row>
    <row r="1654" spans="4:4" x14ac:dyDescent="0.3">
      <c r="D1654" s="104"/>
    </row>
    <row r="1655" spans="4:4" x14ac:dyDescent="0.3">
      <c r="D1655" s="104"/>
    </row>
    <row r="1656" spans="4:4" x14ac:dyDescent="0.3">
      <c r="D1656" s="104"/>
    </row>
    <row r="1657" spans="4:4" x14ac:dyDescent="0.3">
      <c r="D1657" s="104"/>
    </row>
    <row r="1658" spans="4:4" x14ac:dyDescent="0.3">
      <c r="D1658" s="104"/>
    </row>
    <row r="1659" spans="4:4" x14ac:dyDescent="0.3">
      <c r="D1659" s="104"/>
    </row>
    <row r="1660" spans="4:4" x14ac:dyDescent="0.3">
      <c r="D1660" s="104"/>
    </row>
    <row r="1661" spans="4:4" x14ac:dyDescent="0.3">
      <c r="D1661" s="104"/>
    </row>
    <row r="1662" spans="4:4" x14ac:dyDescent="0.3">
      <c r="D1662" s="104"/>
    </row>
    <row r="1663" spans="4:4" x14ac:dyDescent="0.3">
      <c r="D1663" s="104"/>
    </row>
    <row r="1664" spans="4:4" x14ac:dyDescent="0.3">
      <c r="D1664" s="104"/>
    </row>
    <row r="1665" spans="4:4" x14ac:dyDescent="0.3">
      <c r="D1665" s="104"/>
    </row>
    <row r="1666" spans="4:4" x14ac:dyDescent="0.3">
      <c r="D1666" s="104"/>
    </row>
    <row r="1667" spans="4:4" x14ac:dyDescent="0.3">
      <c r="D1667" s="104"/>
    </row>
    <row r="1668" spans="4:4" x14ac:dyDescent="0.3">
      <c r="D1668" s="104"/>
    </row>
    <row r="1669" spans="4:4" x14ac:dyDescent="0.3">
      <c r="D1669" s="104"/>
    </row>
    <row r="1670" spans="4:4" x14ac:dyDescent="0.3">
      <c r="D1670" s="104"/>
    </row>
    <row r="1671" spans="4:4" x14ac:dyDescent="0.3">
      <c r="D1671" s="104"/>
    </row>
    <row r="1672" spans="4:4" x14ac:dyDescent="0.3">
      <c r="D1672" s="104"/>
    </row>
    <row r="1673" spans="4:4" x14ac:dyDescent="0.3">
      <c r="D1673" s="104"/>
    </row>
    <row r="1674" spans="4:4" x14ac:dyDescent="0.3">
      <c r="D1674" s="104"/>
    </row>
    <row r="1675" spans="4:4" x14ac:dyDescent="0.3">
      <c r="D1675" s="104"/>
    </row>
    <row r="1676" spans="4:4" x14ac:dyDescent="0.3">
      <c r="D1676" s="104"/>
    </row>
    <row r="1677" spans="4:4" x14ac:dyDescent="0.3">
      <c r="D1677" s="104"/>
    </row>
    <row r="1678" spans="4:4" x14ac:dyDescent="0.3">
      <c r="D1678" s="104"/>
    </row>
    <row r="1679" spans="4:4" x14ac:dyDescent="0.3">
      <c r="D1679" s="104"/>
    </row>
    <row r="1680" spans="4:4" x14ac:dyDescent="0.3">
      <c r="D1680" s="104"/>
    </row>
    <row r="1681" spans="4:4" x14ac:dyDescent="0.3">
      <c r="D1681" s="104"/>
    </row>
    <row r="1682" spans="4:4" x14ac:dyDescent="0.3">
      <c r="D1682" s="104"/>
    </row>
    <row r="1683" spans="4:4" x14ac:dyDescent="0.3">
      <c r="D1683" s="104"/>
    </row>
    <row r="1684" spans="4:4" x14ac:dyDescent="0.3">
      <c r="D1684" s="104"/>
    </row>
    <row r="1685" spans="4:4" x14ac:dyDescent="0.3">
      <c r="D1685" s="104"/>
    </row>
    <row r="1686" spans="4:4" x14ac:dyDescent="0.3">
      <c r="D1686" s="104"/>
    </row>
    <row r="1687" spans="4:4" x14ac:dyDescent="0.3">
      <c r="D1687" s="104"/>
    </row>
    <row r="1688" spans="4:4" x14ac:dyDescent="0.3">
      <c r="D1688" s="104"/>
    </row>
    <row r="1689" spans="4:4" x14ac:dyDescent="0.3">
      <c r="D1689" s="104"/>
    </row>
    <row r="1690" spans="4:4" x14ac:dyDescent="0.3">
      <c r="D1690" s="104"/>
    </row>
    <row r="1691" spans="4:4" x14ac:dyDescent="0.3">
      <c r="D1691" s="104"/>
    </row>
    <row r="1692" spans="4:4" x14ac:dyDescent="0.3">
      <c r="D1692" s="104"/>
    </row>
    <row r="1693" spans="4:4" x14ac:dyDescent="0.3">
      <c r="D1693" s="104"/>
    </row>
    <row r="1694" spans="4:4" x14ac:dyDescent="0.3">
      <c r="D1694" s="104"/>
    </row>
    <row r="1695" spans="4:4" x14ac:dyDescent="0.3">
      <c r="D1695" s="104"/>
    </row>
    <row r="1696" spans="4:4" x14ac:dyDescent="0.3">
      <c r="D1696" s="104"/>
    </row>
    <row r="1697" spans="4:4" x14ac:dyDescent="0.3">
      <c r="D1697" s="104"/>
    </row>
    <row r="1698" spans="4:4" x14ac:dyDescent="0.3">
      <c r="D1698" s="104"/>
    </row>
    <row r="1699" spans="4:4" x14ac:dyDescent="0.3">
      <c r="D1699" s="104"/>
    </row>
    <row r="1700" spans="4:4" x14ac:dyDescent="0.3">
      <c r="D1700" s="104"/>
    </row>
    <row r="1701" spans="4:4" x14ac:dyDescent="0.3">
      <c r="D1701" s="104"/>
    </row>
    <row r="1702" spans="4:4" x14ac:dyDescent="0.3">
      <c r="D1702" s="104"/>
    </row>
    <row r="1703" spans="4:4" x14ac:dyDescent="0.3">
      <c r="D1703" s="104"/>
    </row>
    <row r="1704" spans="4:4" x14ac:dyDescent="0.3">
      <c r="D1704" s="104"/>
    </row>
    <row r="1705" spans="4:4" x14ac:dyDescent="0.3">
      <c r="D1705" s="104"/>
    </row>
    <row r="1706" spans="4:4" x14ac:dyDescent="0.3">
      <c r="D1706" s="104"/>
    </row>
    <row r="1707" spans="4:4" x14ac:dyDescent="0.3">
      <c r="D1707" s="104"/>
    </row>
    <row r="1708" spans="4:4" x14ac:dyDescent="0.3">
      <c r="D1708" s="104"/>
    </row>
    <row r="1709" spans="4:4" x14ac:dyDescent="0.3">
      <c r="D1709" s="104"/>
    </row>
    <row r="1710" spans="4:4" x14ac:dyDescent="0.3">
      <c r="D1710" s="104"/>
    </row>
    <row r="1711" spans="4:4" x14ac:dyDescent="0.3">
      <c r="D1711" s="104"/>
    </row>
    <row r="1712" spans="4:4" x14ac:dyDescent="0.3">
      <c r="D1712" s="104"/>
    </row>
    <row r="1713" spans="4:4" x14ac:dyDescent="0.3">
      <c r="D1713" s="104"/>
    </row>
    <row r="1714" spans="4:4" x14ac:dyDescent="0.3">
      <c r="D1714" s="104"/>
    </row>
    <row r="1715" spans="4:4" x14ac:dyDescent="0.3">
      <c r="D1715" s="104"/>
    </row>
    <row r="1716" spans="4:4" x14ac:dyDescent="0.3">
      <c r="D1716" s="104"/>
    </row>
    <row r="1717" spans="4:4" x14ac:dyDescent="0.3">
      <c r="D1717" s="104"/>
    </row>
    <row r="1718" spans="4:4" x14ac:dyDescent="0.3">
      <c r="D1718" s="104"/>
    </row>
    <row r="1719" spans="4:4" x14ac:dyDescent="0.3">
      <c r="D1719" s="104"/>
    </row>
    <row r="1720" spans="4:4" x14ac:dyDescent="0.3">
      <c r="D1720" s="104"/>
    </row>
    <row r="1721" spans="4:4" x14ac:dyDescent="0.3">
      <c r="D1721" s="104"/>
    </row>
    <row r="1722" spans="4:4" x14ac:dyDescent="0.3">
      <c r="D1722" s="104"/>
    </row>
    <row r="1723" spans="4:4" x14ac:dyDescent="0.3">
      <c r="D1723" s="104"/>
    </row>
    <row r="1724" spans="4:4" x14ac:dyDescent="0.3">
      <c r="D1724" s="104"/>
    </row>
    <row r="1725" spans="4:4" x14ac:dyDescent="0.3">
      <c r="D1725" s="104"/>
    </row>
    <row r="1726" spans="4:4" x14ac:dyDescent="0.3">
      <c r="D1726" s="104"/>
    </row>
    <row r="1727" spans="4:4" x14ac:dyDescent="0.3">
      <c r="D1727" s="104"/>
    </row>
    <row r="1728" spans="4:4" x14ac:dyDescent="0.3">
      <c r="D1728" s="104"/>
    </row>
    <row r="1729" spans="4:4" x14ac:dyDescent="0.3">
      <c r="D1729" s="104"/>
    </row>
    <row r="1730" spans="4:4" x14ac:dyDescent="0.3">
      <c r="D1730" s="104"/>
    </row>
    <row r="1731" spans="4:4" x14ac:dyDescent="0.3">
      <c r="D1731" s="104"/>
    </row>
    <row r="1732" spans="4:4" x14ac:dyDescent="0.3">
      <c r="D1732" s="104"/>
    </row>
    <row r="1733" spans="4:4" x14ac:dyDescent="0.3">
      <c r="D1733" s="104"/>
    </row>
    <row r="1734" spans="4:4" x14ac:dyDescent="0.3">
      <c r="D1734" s="104"/>
    </row>
    <row r="1735" spans="4:4" x14ac:dyDescent="0.3">
      <c r="D1735" s="104"/>
    </row>
    <row r="1736" spans="4:4" x14ac:dyDescent="0.3">
      <c r="D1736" s="104"/>
    </row>
    <row r="1737" spans="4:4" x14ac:dyDescent="0.3">
      <c r="D1737" s="104"/>
    </row>
    <row r="1738" spans="4:4" x14ac:dyDescent="0.3">
      <c r="D1738" s="104"/>
    </row>
    <row r="1739" spans="4:4" x14ac:dyDescent="0.3">
      <c r="D1739" s="104"/>
    </row>
    <row r="1740" spans="4:4" x14ac:dyDescent="0.3">
      <c r="D1740" s="104"/>
    </row>
    <row r="1741" spans="4:4" x14ac:dyDescent="0.3">
      <c r="D1741" s="104"/>
    </row>
    <row r="1742" spans="4:4" x14ac:dyDescent="0.3">
      <c r="D1742" s="104"/>
    </row>
    <row r="1743" spans="4:4" x14ac:dyDescent="0.3">
      <c r="D1743" s="104"/>
    </row>
    <row r="1744" spans="4:4" x14ac:dyDescent="0.3">
      <c r="D1744" s="104"/>
    </row>
    <row r="1745" spans="4:4" x14ac:dyDescent="0.3">
      <c r="D1745" s="104"/>
    </row>
    <row r="1746" spans="4:4" x14ac:dyDescent="0.3">
      <c r="D1746" s="104"/>
    </row>
    <row r="1747" spans="4:4" x14ac:dyDescent="0.3">
      <c r="D1747" s="104"/>
    </row>
    <row r="1748" spans="4:4" x14ac:dyDescent="0.3">
      <c r="D1748" s="104"/>
    </row>
    <row r="1749" spans="4:4" x14ac:dyDescent="0.3">
      <c r="D1749" s="104"/>
    </row>
    <row r="1750" spans="4:4" x14ac:dyDescent="0.3">
      <c r="D1750" s="104"/>
    </row>
    <row r="1751" spans="4:4" x14ac:dyDescent="0.3">
      <c r="D1751" s="104"/>
    </row>
    <row r="1752" spans="4:4" x14ac:dyDescent="0.3">
      <c r="D1752" s="104"/>
    </row>
    <row r="1753" spans="4:4" x14ac:dyDescent="0.3">
      <c r="D1753" s="104"/>
    </row>
    <row r="1754" spans="4:4" x14ac:dyDescent="0.3">
      <c r="D1754" s="104"/>
    </row>
    <row r="1755" spans="4:4" x14ac:dyDescent="0.3">
      <c r="D1755" s="104"/>
    </row>
    <row r="1756" spans="4:4" x14ac:dyDescent="0.3">
      <c r="D1756" s="104"/>
    </row>
    <row r="1757" spans="4:4" x14ac:dyDescent="0.3">
      <c r="D1757" s="104"/>
    </row>
    <row r="1758" spans="4:4" x14ac:dyDescent="0.3">
      <c r="D1758" s="104"/>
    </row>
    <row r="1759" spans="4:4" x14ac:dyDescent="0.3">
      <c r="D1759" s="104"/>
    </row>
    <row r="1760" spans="4:4" x14ac:dyDescent="0.3">
      <c r="D1760" s="104"/>
    </row>
    <row r="1761" spans="4:4" x14ac:dyDescent="0.3">
      <c r="D1761" s="104"/>
    </row>
    <row r="1762" spans="4:4" x14ac:dyDescent="0.3">
      <c r="D1762" s="104"/>
    </row>
    <row r="1763" spans="4:4" x14ac:dyDescent="0.3">
      <c r="D1763" s="104"/>
    </row>
    <row r="1764" spans="4:4" x14ac:dyDescent="0.3">
      <c r="D1764" s="104"/>
    </row>
    <row r="1765" spans="4:4" x14ac:dyDescent="0.3">
      <c r="D1765" s="104"/>
    </row>
    <row r="1766" spans="4:4" x14ac:dyDescent="0.3">
      <c r="D1766" s="104"/>
    </row>
    <row r="1767" spans="4:4" x14ac:dyDescent="0.3">
      <c r="D1767" s="104"/>
    </row>
    <row r="1768" spans="4:4" x14ac:dyDescent="0.3">
      <c r="D1768" s="104"/>
    </row>
    <row r="1769" spans="4:4" x14ac:dyDescent="0.3">
      <c r="D1769" s="104"/>
    </row>
    <row r="1770" spans="4:4" x14ac:dyDescent="0.3">
      <c r="D1770" s="104"/>
    </row>
    <row r="1771" spans="4:4" x14ac:dyDescent="0.3">
      <c r="D1771" s="104"/>
    </row>
    <row r="1772" spans="4:4" x14ac:dyDescent="0.3">
      <c r="D1772" s="104"/>
    </row>
    <row r="1773" spans="4:4" x14ac:dyDescent="0.3">
      <c r="D1773" s="104"/>
    </row>
    <row r="1774" spans="4:4" x14ac:dyDescent="0.3">
      <c r="D1774" s="104"/>
    </row>
    <row r="1775" spans="4:4" x14ac:dyDescent="0.3">
      <c r="D1775" s="104"/>
    </row>
    <row r="1776" spans="4:4" x14ac:dyDescent="0.3">
      <c r="D1776" s="104"/>
    </row>
    <row r="1777" spans="4:4" x14ac:dyDescent="0.3">
      <c r="D1777" s="104"/>
    </row>
    <row r="1778" spans="4:4" x14ac:dyDescent="0.3">
      <c r="D1778" s="104"/>
    </row>
    <row r="1779" spans="4:4" x14ac:dyDescent="0.3">
      <c r="D1779" s="104"/>
    </row>
    <row r="1780" spans="4:4" x14ac:dyDescent="0.3">
      <c r="D1780" s="104"/>
    </row>
    <row r="1781" spans="4:4" x14ac:dyDescent="0.3">
      <c r="D1781" s="104"/>
    </row>
    <row r="1782" spans="4:4" x14ac:dyDescent="0.3">
      <c r="D1782" s="104"/>
    </row>
    <row r="1783" spans="4:4" x14ac:dyDescent="0.3">
      <c r="D1783" s="104"/>
    </row>
    <row r="1784" spans="4:4" x14ac:dyDescent="0.3">
      <c r="D1784" s="104"/>
    </row>
    <row r="1785" spans="4:4" x14ac:dyDescent="0.3">
      <c r="D1785" s="104"/>
    </row>
    <row r="1786" spans="4:4" x14ac:dyDescent="0.3">
      <c r="D1786" s="104"/>
    </row>
    <row r="1787" spans="4:4" x14ac:dyDescent="0.3">
      <c r="D1787" s="104"/>
    </row>
    <row r="1788" spans="4:4" x14ac:dyDescent="0.3">
      <c r="D1788" s="104"/>
    </row>
    <row r="1789" spans="4:4" x14ac:dyDescent="0.3">
      <c r="D1789" s="104"/>
    </row>
    <row r="1790" spans="4:4" x14ac:dyDescent="0.3">
      <c r="D1790" s="104"/>
    </row>
    <row r="1791" spans="4:4" x14ac:dyDescent="0.3">
      <c r="D1791" s="104"/>
    </row>
    <row r="1792" spans="4:4" x14ac:dyDescent="0.3">
      <c r="D1792" s="104"/>
    </row>
    <row r="1793" spans="4:4" x14ac:dyDescent="0.3">
      <c r="D1793" s="104"/>
    </row>
    <row r="1794" spans="4:4" x14ac:dyDescent="0.3">
      <c r="D1794" s="104"/>
    </row>
    <row r="1795" spans="4:4" x14ac:dyDescent="0.3">
      <c r="D1795" s="104"/>
    </row>
    <row r="1796" spans="4:4" x14ac:dyDescent="0.3">
      <c r="D1796" s="104"/>
    </row>
    <row r="1797" spans="4:4" x14ac:dyDescent="0.3">
      <c r="D1797" s="104"/>
    </row>
    <row r="1798" spans="4:4" x14ac:dyDescent="0.3">
      <c r="D1798" s="104"/>
    </row>
    <row r="1799" spans="4:4" x14ac:dyDescent="0.3">
      <c r="D1799" s="104"/>
    </row>
    <row r="1800" spans="4:4" x14ac:dyDescent="0.3">
      <c r="D1800" s="104"/>
    </row>
    <row r="1801" spans="4:4" x14ac:dyDescent="0.3">
      <c r="D1801" s="104"/>
    </row>
    <row r="1802" spans="4:4" x14ac:dyDescent="0.3">
      <c r="D1802" s="104"/>
    </row>
    <row r="1803" spans="4:4" x14ac:dyDescent="0.3">
      <c r="D1803" s="104"/>
    </row>
    <row r="1804" spans="4:4" x14ac:dyDescent="0.3">
      <c r="D1804" s="104"/>
    </row>
    <row r="1805" spans="4:4" x14ac:dyDescent="0.3">
      <c r="D1805" s="104"/>
    </row>
    <row r="1806" spans="4:4" x14ac:dyDescent="0.3">
      <c r="D1806" s="104"/>
    </row>
    <row r="1807" spans="4:4" x14ac:dyDescent="0.3">
      <c r="D1807" s="104"/>
    </row>
    <row r="1808" spans="4:4" x14ac:dyDescent="0.3">
      <c r="D1808" s="104"/>
    </row>
    <row r="1809" spans="4:4" x14ac:dyDescent="0.3">
      <c r="D1809" s="104"/>
    </row>
    <row r="1810" spans="4:4" x14ac:dyDescent="0.3">
      <c r="D1810" s="104"/>
    </row>
    <row r="1811" spans="4:4" x14ac:dyDescent="0.3">
      <c r="D1811" s="104"/>
    </row>
    <row r="1812" spans="4:4" x14ac:dyDescent="0.3">
      <c r="D1812" s="104"/>
    </row>
    <row r="1813" spans="4:4" x14ac:dyDescent="0.3">
      <c r="D1813" s="104"/>
    </row>
    <row r="1814" spans="4:4" x14ac:dyDescent="0.3">
      <c r="D1814" s="104"/>
    </row>
    <row r="1815" spans="4:4" x14ac:dyDescent="0.3">
      <c r="D1815" s="104"/>
    </row>
    <row r="1816" spans="4:4" x14ac:dyDescent="0.3">
      <c r="D1816" s="104"/>
    </row>
    <row r="1817" spans="4:4" x14ac:dyDescent="0.3">
      <c r="D1817" s="104"/>
    </row>
    <row r="1818" spans="4:4" x14ac:dyDescent="0.3">
      <c r="D1818" s="104"/>
    </row>
    <row r="1819" spans="4:4" x14ac:dyDescent="0.3">
      <c r="D1819" s="104"/>
    </row>
    <row r="1820" spans="4:4" x14ac:dyDescent="0.3">
      <c r="D1820" s="104"/>
    </row>
    <row r="1821" spans="4:4" x14ac:dyDescent="0.3">
      <c r="D1821" s="104"/>
    </row>
    <row r="1822" spans="4:4" x14ac:dyDescent="0.3">
      <c r="D1822" s="104"/>
    </row>
    <row r="1823" spans="4:4" x14ac:dyDescent="0.3">
      <c r="D1823" s="104"/>
    </row>
    <row r="1824" spans="4:4" x14ac:dyDescent="0.3">
      <c r="D1824" s="104"/>
    </row>
    <row r="1825" spans="4:4" x14ac:dyDescent="0.3">
      <c r="D1825" s="104"/>
    </row>
    <row r="1826" spans="4:4" x14ac:dyDescent="0.3">
      <c r="D1826" s="104"/>
    </row>
    <row r="1827" spans="4:4" x14ac:dyDescent="0.3">
      <c r="D1827" s="104"/>
    </row>
    <row r="1828" spans="4:4" x14ac:dyDescent="0.3">
      <c r="D1828" s="104"/>
    </row>
    <row r="1829" spans="4:4" x14ac:dyDescent="0.3">
      <c r="D1829" s="104"/>
    </row>
    <row r="1830" spans="4:4" x14ac:dyDescent="0.3">
      <c r="D1830" s="104"/>
    </row>
    <row r="1831" spans="4:4" x14ac:dyDescent="0.3">
      <c r="D1831" s="104"/>
    </row>
    <row r="1832" spans="4:4" x14ac:dyDescent="0.3">
      <c r="D1832" s="104"/>
    </row>
    <row r="1833" spans="4:4" x14ac:dyDescent="0.3">
      <c r="D1833" s="104"/>
    </row>
    <row r="1834" spans="4:4" x14ac:dyDescent="0.3">
      <c r="D1834" s="104"/>
    </row>
    <row r="1835" spans="4:4" x14ac:dyDescent="0.3">
      <c r="D1835" s="104"/>
    </row>
    <row r="1836" spans="4:4" x14ac:dyDescent="0.3">
      <c r="D1836" s="104"/>
    </row>
    <row r="1837" spans="4:4" x14ac:dyDescent="0.3">
      <c r="D1837" s="104"/>
    </row>
    <row r="1838" spans="4:4" x14ac:dyDescent="0.3">
      <c r="D1838" s="104"/>
    </row>
    <row r="1839" spans="4:4" x14ac:dyDescent="0.3">
      <c r="D1839" s="104"/>
    </row>
    <row r="1840" spans="4:4" x14ac:dyDescent="0.3">
      <c r="D1840" s="104"/>
    </row>
    <row r="1841" spans="4:4" x14ac:dyDescent="0.3">
      <c r="D1841" s="104"/>
    </row>
    <row r="1842" spans="4:4" x14ac:dyDescent="0.3">
      <c r="D1842" s="104"/>
    </row>
    <row r="1843" spans="4:4" x14ac:dyDescent="0.3">
      <c r="D1843" s="104"/>
    </row>
    <row r="1844" spans="4:4" x14ac:dyDescent="0.3">
      <c r="D1844" s="104"/>
    </row>
    <row r="1845" spans="4:4" x14ac:dyDescent="0.3">
      <c r="D1845" s="104"/>
    </row>
    <row r="1846" spans="4:4" x14ac:dyDescent="0.3">
      <c r="D1846" s="104"/>
    </row>
    <row r="1847" spans="4:4" x14ac:dyDescent="0.3">
      <c r="D1847" s="104"/>
    </row>
    <row r="1848" spans="4:4" x14ac:dyDescent="0.3">
      <c r="D1848" s="104"/>
    </row>
    <row r="1849" spans="4:4" x14ac:dyDescent="0.3">
      <c r="D1849" s="104"/>
    </row>
    <row r="1850" spans="4:4" x14ac:dyDescent="0.3">
      <c r="D1850" s="104"/>
    </row>
    <row r="1851" spans="4:4" x14ac:dyDescent="0.3">
      <c r="D1851" s="104"/>
    </row>
    <row r="1852" spans="4:4" x14ac:dyDescent="0.3">
      <c r="D1852" s="104"/>
    </row>
    <row r="1853" spans="4:4" x14ac:dyDescent="0.3">
      <c r="D1853" s="104"/>
    </row>
    <row r="1854" spans="4:4" x14ac:dyDescent="0.3">
      <c r="D1854" s="104"/>
    </row>
    <row r="1855" spans="4:4" x14ac:dyDescent="0.3">
      <c r="D1855" s="104"/>
    </row>
    <row r="1856" spans="4:4" x14ac:dyDescent="0.3">
      <c r="D1856" s="104"/>
    </row>
    <row r="1857" spans="4:4" x14ac:dyDescent="0.3">
      <c r="D1857" s="104"/>
    </row>
    <row r="1858" spans="4:4" x14ac:dyDescent="0.3">
      <c r="D1858" s="104"/>
    </row>
    <row r="1859" spans="4:4" x14ac:dyDescent="0.3">
      <c r="D1859" s="104"/>
    </row>
    <row r="1860" spans="4:4" x14ac:dyDescent="0.3">
      <c r="D1860" s="104"/>
    </row>
    <row r="1861" spans="4:4" x14ac:dyDescent="0.3">
      <c r="D1861" s="104"/>
    </row>
    <row r="1862" spans="4:4" x14ac:dyDescent="0.3">
      <c r="D1862" s="104"/>
    </row>
    <row r="1863" spans="4:4" x14ac:dyDescent="0.3">
      <c r="D1863" s="104"/>
    </row>
    <row r="1864" spans="4:4" x14ac:dyDescent="0.3">
      <c r="D1864" s="104"/>
    </row>
    <row r="1865" spans="4:4" x14ac:dyDescent="0.3">
      <c r="D1865" s="104"/>
    </row>
    <row r="1866" spans="4:4" x14ac:dyDescent="0.3">
      <c r="D1866" s="104"/>
    </row>
    <row r="1867" spans="4:4" x14ac:dyDescent="0.3">
      <c r="D1867" s="104"/>
    </row>
    <row r="1868" spans="4:4" x14ac:dyDescent="0.3">
      <c r="D1868" s="104"/>
    </row>
    <row r="1869" spans="4:4" x14ac:dyDescent="0.3">
      <c r="D1869" s="104"/>
    </row>
    <row r="1870" spans="4:4" x14ac:dyDescent="0.3">
      <c r="D1870" s="104"/>
    </row>
    <row r="1871" spans="4:4" x14ac:dyDescent="0.3">
      <c r="D1871" s="104"/>
    </row>
    <row r="1872" spans="4:4" x14ac:dyDescent="0.3">
      <c r="D1872" s="104"/>
    </row>
    <row r="1873" spans="4:4" x14ac:dyDescent="0.3">
      <c r="D1873" s="104"/>
    </row>
    <row r="1874" spans="4:4" x14ac:dyDescent="0.3">
      <c r="D1874" s="104"/>
    </row>
    <row r="1875" spans="4:4" x14ac:dyDescent="0.3">
      <c r="D1875" s="104"/>
    </row>
    <row r="1876" spans="4:4" x14ac:dyDescent="0.3">
      <c r="D1876" s="104"/>
    </row>
    <row r="1877" spans="4:4" x14ac:dyDescent="0.3">
      <c r="D1877" s="104"/>
    </row>
    <row r="1878" spans="4:4" x14ac:dyDescent="0.3">
      <c r="D1878" s="104"/>
    </row>
    <row r="1879" spans="4:4" x14ac:dyDescent="0.3">
      <c r="D1879" s="104"/>
    </row>
    <row r="1880" spans="4:4" x14ac:dyDescent="0.3">
      <c r="D1880" s="104"/>
    </row>
    <row r="1881" spans="4:4" x14ac:dyDescent="0.3">
      <c r="D1881" s="104"/>
    </row>
    <row r="1882" spans="4:4" x14ac:dyDescent="0.3">
      <c r="D1882" s="104"/>
    </row>
    <row r="1883" spans="4:4" x14ac:dyDescent="0.3">
      <c r="D1883" s="104"/>
    </row>
    <row r="1884" spans="4:4" x14ac:dyDescent="0.3">
      <c r="D1884" s="104"/>
    </row>
    <row r="1885" spans="4:4" x14ac:dyDescent="0.3">
      <c r="D1885" s="104"/>
    </row>
    <row r="1886" spans="4:4" x14ac:dyDescent="0.3">
      <c r="D1886" s="104"/>
    </row>
    <row r="1887" spans="4:4" x14ac:dyDescent="0.3">
      <c r="D1887" s="104"/>
    </row>
    <row r="1888" spans="4:4" x14ac:dyDescent="0.3">
      <c r="D1888" s="104"/>
    </row>
    <row r="1889" spans="4:4" x14ac:dyDescent="0.3">
      <c r="D1889" s="104"/>
    </row>
    <row r="1890" spans="4:4" x14ac:dyDescent="0.3">
      <c r="D1890" s="104"/>
    </row>
    <row r="1891" spans="4:4" x14ac:dyDescent="0.3">
      <c r="D1891" s="104"/>
    </row>
    <row r="1892" spans="4:4" x14ac:dyDescent="0.3">
      <c r="D1892" s="104"/>
    </row>
    <row r="1893" spans="4:4" x14ac:dyDescent="0.3">
      <c r="D1893" s="104"/>
    </row>
    <row r="1894" spans="4:4" x14ac:dyDescent="0.3">
      <c r="D1894" s="104"/>
    </row>
    <row r="1895" spans="4:4" x14ac:dyDescent="0.3">
      <c r="D1895" s="104"/>
    </row>
    <row r="1896" spans="4:4" x14ac:dyDescent="0.3">
      <c r="D1896" s="104"/>
    </row>
    <row r="1897" spans="4:4" x14ac:dyDescent="0.3">
      <c r="D1897" s="104"/>
    </row>
    <row r="1898" spans="4:4" x14ac:dyDescent="0.3">
      <c r="D1898" s="104"/>
    </row>
    <row r="1899" spans="4:4" x14ac:dyDescent="0.3">
      <c r="D1899" s="104"/>
    </row>
    <row r="1900" spans="4:4" x14ac:dyDescent="0.3">
      <c r="D1900" s="104"/>
    </row>
    <row r="1901" spans="4:4" x14ac:dyDescent="0.3">
      <c r="D1901" s="104"/>
    </row>
    <row r="1902" spans="4:4" x14ac:dyDescent="0.3">
      <c r="D1902" s="104"/>
    </row>
    <row r="1903" spans="4:4" x14ac:dyDescent="0.3">
      <c r="D1903" s="104"/>
    </row>
    <row r="1904" spans="4:4" x14ac:dyDescent="0.3">
      <c r="D1904" s="104"/>
    </row>
    <row r="1905" spans="4:4" x14ac:dyDescent="0.3">
      <c r="D1905" s="104"/>
    </row>
    <row r="1906" spans="4:4" x14ac:dyDescent="0.3">
      <c r="D1906" s="104"/>
    </row>
    <row r="1907" spans="4:4" x14ac:dyDescent="0.3">
      <c r="D1907" s="104"/>
    </row>
    <row r="1908" spans="4:4" x14ac:dyDescent="0.3">
      <c r="D1908" s="104"/>
    </row>
    <row r="1909" spans="4:4" x14ac:dyDescent="0.3">
      <c r="D1909" s="104"/>
    </row>
    <row r="1910" spans="4:4" x14ac:dyDescent="0.3">
      <c r="D1910" s="104"/>
    </row>
    <row r="1911" spans="4:4" x14ac:dyDescent="0.3">
      <c r="D1911" s="104"/>
    </row>
    <row r="1912" spans="4:4" x14ac:dyDescent="0.3">
      <c r="D1912" s="104"/>
    </row>
    <row r="1913" spans="4:4" x14ac:dyDescent="0.3">
      <c r="D1913" s="104"/>
    </row>
    <row r="1914" spans="4:4" x14ac:dyDescent="0.3">
      <c r="D1914" s="104"/>
    </row>
    <row r="1915" spans="4:4" x14ac:dyDescent="0.3">
      <c r="D1915" s="104"/>
    </row>
    <row r="1916" spans="4:4" x14ac:dyDescent="0.3">
      <c r="D1916" s="104"/>
    </row>
    <row r="1917" spans="4:4" x14ac:dyDescent="0.3">
      <c r="D1917" s="104"/>
    </row>
    <row r="1918" spans="4:4" x14ac:dyDescent="0.3">
      <c r="D1918" s="104"/>
    </row>
    <row r="1919" spans="4:4" x14ac:dyDescent="0.3">
      <c r="D1919" s="104"/>
    </row>
    <row r="1920" spans="4:4" x14ac:dyDescent="0.3">
      <c r="D1920" s="104"/>
    </row>
    <row r="1921" spans="4:4" x14ac:dyDescent="0.3">
      <c r="D1921" s="104"/>
    </row>
    <row r="1922" spans="4:4" x14ac:dyDescent="0.3">
      <c r="D1922" s="104"/>
    </row>
    <row r="1923" spans="4:4" x14ac:dyDescent="0.3">
      <c r="D1923" s="104"/>
    </row>
    <row r="1924" spans="4:4" x14ac:dyDescent="0.3">
      <c r="D1924" s="104"/>
    </row>
    <row r="1925" spans="4:4" x14ac:dyDescent="0.3">
      <c r="D1925" s="104"/>
    </row>
    <row r="1926" spans="4:4" x14ac:dyDescent="0.3">
      <c r="D1926" s="104"/>
    </row>
    <row r="1927" spans="4:4" x14ac:dyDescent="0.3">
      <c r="D1927" s="104"/>
    </row>
    <row r="1928" spans="4:4" x14ac:dyDescent="0.3">
      <c r="D1928" s="104"/>
    </row>
    <row r="1929" spans="4:4" x14ac:dyDescent="0.3">
      <c r="D1929" s="104"/>
    </row>
    <row r="1930" spans="4:4" x14ac:dyDescent="0.3">
      <c r="D1930" s="104"/>
    </row>
    <row r="1931" spans="4:4" x14ac:dyDescent="0.3">
      <c r="D1931" s="104"/>
    </row>
    <row r="1932" spans="4:4" x14ac:dyDescent="0.3">
      <c r="D1932" s="104"/>
    </row>
    <row r="1933" spans="4:4" x14ac:dyDescent="0.3">
      <c r="D1933" s="104"/>
    </row>
    <row r="1934" spans="4:4" x14ac:dyDescent="0.3">
      <c r="D1934" s="104"/>
    </row>
    <row r="1935" spans="4:4" x14ac:dyDescent="0.3">
      <c r="D1935" s="104"/>
    </row>
    <row r="1936" spans="4:4" x14ac:dyDescent="0.3">
      <c r="D1936" s="104"/>
    </row>
    <row r="1937" spans="4:4" x14ac:dyDescent="0.3">
      <c r="D1937" s="104"/>
    </row>
    <row r="1938" spans="4:4" x14ac:dyDescent="0.3">
      <c r="D1938" s="104"/>
    </row>
    <row r="1939" spans="4:4" x14ac:dyDescent="0.3">
      <c r="D1939" s="104"/>
    </row>
    <row r="1940" spans="4:4" x14ac:dyDescent="0.3">
      <c r="D1940" s="104"/>
    </row>
    <row r="1941" spans="4:4" x14ac:dyDescent="0.3">
      <c r="D1941" s="104"/>
    </row>
    <row r="1942" spans="4:4" x14ac:dyDescent="0.3">
      <c r="D1942" s="104"/>
    </row>
    <row r="1943" spans="4:4" x14ac:dyDescent="0.3">
      <c r="D1943" s="104"/>
    </row>
    <row r="1944" spans="4:4" x14ac:dyDescent="0.3">
      <c r="D1944" s="104"/>
    </row>
    <row r="1945" spans="4:4" x14ac:dyDescent="0.3">
      <c r="D1945" s="104"/>
    </row>
    <row r="1946" spans="4:4" x14ac:dyDescent="0.3">
      <c r="D1946" s="104"/>
    </row>
    <row r="1947" spans="4:4" x14ac:dyDescent="0.3">
      <c r="D1947" s="104"/>
    </row>
    <row r="1948" spans="4:4" x14ac:dyDescent="0.3">
      <c r="D1948" s="104"/>
    </row>
    <row r="1949" spans="4:4" x14ac:dyDescent="0.3">
      <c r="D1949" s="104"/>
    </row>
    <row r="1950" spans="4:4" x14ac:dyDescent="0.3">
      <c r="D1950" s="104"/>
    </row>
    <row r="1951" spans="4:4" x14ac:dyDescent="0.3">
      <c r="D1951" s="104"/>
    </row>
    <row r="1952" spans="4:4" x14ac:dyDescent="0.3">
      <c r="D1952" s="104"/>
    </row>
    <row r="1953" spans="4:4" x14ac:dyDescent="0.3">
      <c r="D1953" s="104"/>
    </row>
    <row r="1954" spans="4:4" x14ac:dyDescent="0.3">
      <c r="D1954" s="104"/>
    </row>
    <row r="1955" spans="4:4" x14ac:dyDescent="0.3">
      <c r="D1955" s="104"/>
    </row>
    <row r="1956" spans="4:4" x14ac:dyDescent="0.3">
      <c r="D1956" s="104"/>
    </row>
    <row r="1957" spans="4:4" x14ac:dyDescent="0.3">
      <c r="D1957" s="104"/>
    </row>
    <row r="1958" spans="4:4" x14ac:dyDescent="0.3">
      <c r="D1958" s="104"/>
    </row>
    <row r="1959" spans="4:4" x14ac:dyDescent="0.3">
      <c r="D1959" s="104"/>
    </row>
    <row r="1960" spans="4:4" x14ac:dyDescent="0.3">
      <c r="D1960" s="104"/>
    </row>
    <row r="1961" spans="4:4" x14ac:dyDescent="0.3">
      <c r="D1961" s="104"/>
    </row>
    <row r="1962" spans="4:4" x14ac:dyDescent="0.3">
      <c r="D1962" s="104"/>
    </row>
    <row r="1963" spans="4:4" x14ac:dyDescent="0.3">
      <c r="D1963" s="104"/>
    </row>
    <row r="1964" spans="4:4" x14ac:dyDescent="0.3">
      <c r="D1964" s="104"/>
    </row>
    <row r="1965" spans="4:4" x14ac:dyDescent="0.3">
      <c r="D1965" s="104"/>
    </row>
    <row r="1966" spans="4:4" x14ac:dyDescent="0.3">
      <c r="D1966" s="104"/>
    </row>
    <row r="1967" spans="4:4" x14ac:dyDescent="0.3">
      <c r="D1967" s="104"/>
    </row>
    <row r="1968" spans="4:4" x14ac:dyDescent="0.3">
      <c r="D1968" s="104"/>
    </row>
    <row r="1969" spans="4:4" x14ac:dyDescent="0.3">
      <c r="D1969" s="104"/>
    </row>
    <row r="1970" spans="4:4" x14ac:dyDescent="0.3">
      <c r="D1970" s="104"/>
    </row>
    <row r="1971" spans="4:4" x14ac:dyDescent="0.3">
      <c r="D1971" s="104"/>
    </row>
    <row r="1972" spans="4:4" x14ac:dyDescent="0.3">
      <c r="D1972" s="104"/>
    </row>
    <row r="1973" spans="4:4" x14ac:dyDescent="0.3">
      <c r="D1973" s="104"/>
    </row>
    <row r="1974" spans="4:4" x14ac:dyDescent="0.3">
      <c r="D1974" s="104"/>
    </row>
    <row r="1975" spans="4:4" x14ac:dyDescent="0.3">
      <c r="D1975" s="104"/>
    </row>
    <row r="1976" spans="4:4" x14ac:dyDescent="0.3">
      <c r="D1976" s="104"/>
    </row>
    <row r="1977" spans="4:4" x14ac:dyDescent="0.3">
      <c r="D1977" s="104"/>
    </row>
    <row r="1978" spans="4:4" x14ac:dyDescent="0.3">
      <c r="D1978" s="104"/>
    </row>
    <row r="1979" spans="4:4" x14ac:dyDescent="0.3">
      <c r="D1979" s="104"/>
    </row>
    <row r="1980" spans="4:4" x14ac:dyDescent="0.3">
      <c r="D1980" s="104"/>
    </row>
    <row r="1981" spans="4:4" x14ac:dyDescent="0.3">
      <c r="D1981" s="104"/>
    </row>
    <row r="1982" spans="4:4" x14ac:dyDescent="0.3">
      <c r="D1982" s="104"/>
    </row>
    <row r="1983" spans="4:4" x14ac:dyDescent="0.3">
      <c r="D1983" s="104"/>
    </row>
    <row r="1984" spans="4:4" x14ac:dyDescent="0.3">
      <c r="D1984" s="104"/>
    </row>
    <row r="1985" spans="4:4" x14ac:dyDescent="0.3">
      <c r="D1985" s="104"/>
    </row>
    <row r="1986" spans="4:4" x14ac:dyDescent="0.3">
      <c r="D1986" s="104"/>
    </row>
    <row r="1987" spans="4:4" x14ac:dyDescent="0.3">
      <c r="D1987" s="104"/>
    </row>
    <row r="1988" spans="4:4" x14ac:dyDescent="0.3">
      <c r="D1988" s="104"/>
    </row>
    <row r="1989" spans="4:4" x14ac:dyDescent="0.3">
      <c r="D1989" s="104"/>
    </row>
    <row r="1990" spans="4:4" x14ac:dyDescent="0.3">
      <c r="D1990" s="104"/>
    </row>
    <row r="1991" spans="4:4" x14ac:dyDescent="0.3">
      <c r="D1991" s="104"/>
    </row>
    <row r="1992" spans="4:4" x14ac:dyDescent="0.3">
      <c r="D1992" s="104"/>
    </row>
    <row r="1993" spans="4:4" x14ac:dyDescent="0.3">
      <c r="D1993" s="104"/>
    </row>
    <row r="1994" spans="4:4" x14ac:dyDescent="0.3">
      <c r="D1994" s="104"/>
    </row>
    <row r="1995" spans="4:4" x14ac:dyDescent="0.3">
      <c r="D1995" s="104"/>
    </row>
    <row r="1996" spans="4:4" x14ac:dyDescent="0.3">
      <c r="D1996" s="104"/>
    </row>
    <row r="1997" spans="4:4" x14ac:dyDescent="0.3">
      <c r="D1997" s="104"/>
    </row>
    <row r="1998" spans="4:4" x14ac:dyDescent="0.3">
      <c r="D1998" s="104"/>
    </row>
    <row r="1999" spans="4:4" x14ac:dyDescent="0.3">
      <c r="D1999" s="104"/>
    </row>
    <row r="2000" spans="4:4" x14ac:dyDescent="0.3">
      <c r="D2000" s="104"/>
    </row>
    <row r="2001" spans="4:4" x14ac:dyDescent="0.3">
      <c r="D2001" s="104"/>
    </row>
    <row r="2002" spans="4:4" x14ac:dyDescent="0.3">
      <c r="D2002" s="104"/>
    </row>
    <row r="2003" spans="4:4" x14ac:dyDescent="0.3">
      <c r="D2003" s="104"/>
    </row>
    <row r="2004" spans="4:4" x14ac:dyDescent="0.3">
      <c r="D2004" s="104"/>
    </row>
    <row r="2005" spans="4:4" x14ac:dyDescent="0.3">
      <c r="D2005" s="104"/>
    </row>
    <row r="2006" spans="4:4" x14ac:dyDescent="0.3">
      <c r="D2006" s="104"/>
    </row>
    <row r="2007" spans="4:4" x14ac:dyDescent="0.3">
      <c r="D2007" s="104"/>
    </row>
    <row r="2008" spans="4:4" x14ac:dyDescent="0.3">
      <c r="D2008" s="104"/>
    </row>
    <row r="2009" spans="4:4" x14ac:dyDescent="0.3">
      <c r="D2009" s="104"/>
    </row>
    <row r="2010" spans="4:4" x14ac:dyDescent="0.3">
      <c r="D2010" s="104"/>
    </row>
    <row r="2011" spans="4:4" x14ac:dyDescent="0.3">
      <c r="D2011" s="104"/>
    </row>
    <row r="2012" spans="4:4" x14ac:dyDescent="0.3">
      <c r="D2012" s="104"/>
    </row>
    <row r="2013" spans="4:4" x14ac:dyDescent="0.3">
      <c r="D2013" s="104"/>
    </row>
    <row r="2014" spans="4:4" x14ac:dyDescent="0.3">
      <c r="D2014" s="104"/>
    </row>
    <row r="2015" spans="4:4" x14ac:dyDescent="0.3">
      <c r="D2015" s="104"/>
    </row>
    <row r="2016" spans="4:4" x14ac:dyDescent="0.3">
      <c r="D2016" s="104"/>
    </row>
    <row r="2017" spans="4:4" x14ac:dyDescent="0.3">
      <c r="D2017" s="104"/>
    </row>
    <row r="2018" spans="4:4" x14ac:dyDescent="0.3">
      <c r="D2018" s="104"/>
    </row>
    <row r="2019" spans="4:4" x14ac:dyDescent="0.3">
      <c r="D2019" s="104"/>
    </row>
    <row r="2020" spans="4:4" x14ac:dyDescent="0.3">
      <c r="D2020" s="104"/>
    </row>
    <row r="2021" spans="4:4" x14ac:dyDescent="0.3">
      <c r="D2021" s="104"/>
    </row>
    <row r="2022" spans="4:4" x14ac:dyDescent="0.3">
      <c r="D2022" s="104"/>
    </row>
    <row r="2023" spans="4:4" x14ac:dyDescent="0.3">
      <c r="D2023" s="104"/>
    </row>
    <row r="2024" spans="4:4" x14ac:dyDescent="0.3">
      <c r="D2024" s="104"/>
    </row>
    <row r="2025" spans="4:4" x14ac:dyDescent="0.3">
      <c r="D2025" s="104"/>
    </row>
    <row r="2026" spans="4:4" x14ac:dyDescent="0.3">
      <c r="D2026" s="104"/>
    </row>
    <row r="2027" spans="4:4" x14ac:dyDescent="0.3">
      <c r="D2027" s="104"/>
    </row>
    <row r="2028" spans="4:4" x14ac:dyDescent="0.3">
      <c r="D2028" s="104"/>
    </row>
    <row r="2029" spans="4:4" x14ac:dyDescent="0.3">
      <c r="D2029" s="104"/>
    </row>
    <row r="2030" spans="4:4" x14ac:dyDescent="0.3">
      <c r="D2030" s="104"/>
    </row>
    <row r="2031" spans="4:4" x14ac:dyDescent="0.3">
      <c r="D2031" s="104"/>
    </row>
    <row r="2032" spans="4:4" x14ac:dyDescent="0.3">
      <c r="D2032" s="104"/>
    </row>
    <row r="2033" spans="4:4" x14ac:dyDescent="0.3">
      <c r="D2033" s="104"/>
    </row>
    <row r="2034" spans="4:4" x14ac:dyDescent="0.3">
      <c r="D2034" s="104"/>
    </row>
    <row r="2035" spans="4:4" x14ac:dyDescent="0.3">
      <c r="D2035" s="104"/>
    </row>
    <row r="2036" spans="4:4" x14ac:dyDescent="0.3">
      <c r="D2036" s="104"/>
    </row>
    <row r="2037" spans="4:4" x14ac:dyDescent="0.3">
      <c r="D2037" s="104"/>
    </row>
    <row r="2038" spans="4:4" x14ac:dyDescent="0.3">
      <c r="D2038" s="104"/>
    </row>
    <row r="2039" spans="4:4" x14ac:dyDescent="0.3">
      <c r="D2039" s="104"/>
    </row>
    <row r="2040" spans="4:4" x14ac:dyDescent="0.3">
      <c r="D2040" s="104"/>
    </row>
    <row r="2041" spans="4:4" x14ac:dyDescent="0.3">
      <c r="D2041" s="104"/>
    </row>
    <row r="2042" spans="4:4" x14ac:dyDescent="0.3">
      <c r="D2042" s="104"/>
    </row>
    <row r="2043" spans="4:4" x14ac:dyDescent="0.3">
      <c r="D2043" s="104"/>
    </row>
    <row r="2044" spans="4:4" x14ac:dyDescent="0.3">
      <c r="D2044" s="104"/>
    </row>
    <row r="2045" spans="4:4" x14ac:dyDescent="0.3">
      <c r="D2045" s="104"/>
    </row>
    <row r="2046" spans="4:4" x14ac:dyDescent="0.3">
      <c r="D2046" s="104"/>
    </row>
    <row r="2047" spans="4:4" x14ac:dyDescent="0.3">
      <c r="D2047" s="104"/>
    </row>
    <row r="2048" spans="4:4" x14ac:dyDescent="0.3">
      <c r="D2048" s="104"/>
    </row>
    <row r="2049" spans="4:4" x14ac:dyDescent="0.3">
      <c r="D2049" s="104"/>
    </row>
    <row r="2050" spans="4:4" x14ac:dyDescent="0.3">
      <c r="D2050" s="104"/>
    </row>
    <row r="2051" spans="4:4" x14ac:dyDescent="0.3">
      <c r="D2051" s="104"/>
    </row>
    <row r="2052" spans="4:4" x14ac:dyDescent="0.3">
      <c r="D2052" s="104"/>
    </row>
    <row r="2053" spans="4:4" x14ac:dyDescent="0.3">
      <c r="D2053" s="104"/>
    </row>
    <row r="2054" spans="4:4" x14ac:dyDescent="0.3">
      <c r="D2054" s="104"/>
    </row>
    <row r="2055" spans="4:4" x14ac:dyDescent="0.3">
      <c r="D2055" s="104"/>
    </row>
    <row r="2056" spans="4:4" x14ac:dyDescent="0.3">
      <c r="D2056" s="104"/>
    </row>
    <row r="2057" spans="4:4" x14ac:dyDescent="0.3">
      <c r="D2057" s="104"/>
    </row>
    <row r="2058" spans="4:4" x14ac:dyDescent="0.3">
      <c r="D2058" s="104"/>
    </row>
    <row r="2059" spans="4:4" x14ac:dyDescent="0.3">
      <c r="D2059" s="104"/>
    </row>
    <row r="2060" spans="4:4" x14ac:dyDescent="0.3">
      <c r="D2060" s="104"/>
    </row>
    <row r="2061" spans="4:4" x14ac:dyDescent="0.3">
      <c r="D2061" s="104"/>
    </row>
    <row r="2062" spans="4:4" x14ac:dyDescent="0.3">
      <c r="D2062" s="104"/>
    </row>
    <row r="2063" spans="4:4" x14ac:dyDescent="0.3">
      <c r="D2063" s="104"/>
    </row>
    <row r="2064" spans="4:4" x14ac:dyDescent="0.3">
      <c r="D2064" s="104"/>
    </row>
    <row r="2065" spans="4:4" x14ac:dyDescent="0.3">
      <c r="D2065" s="104"/>
    </row>
    <row r="2066" spans="4:4" x14ac:dyDescent="0.3">
      <c r="D2066" s="104"/>
    </row>
    <row r="2067" spans="4:4" x14ac:dyDescent="0.3">
      <c r="D2067" s="104"/>
    </row>
    <row r="2068" spans="4:4" x14ac:dyDescent="0.3">
      <c r="D2068" s="104"/>
    </row>
    <row r="2069" spans="4:4" x14ac:dyDescent="0.3">
      <c r="D2069" s="104"/>
    </row>
    <row r="2070" spans="4:4" x14ac:dyDescent="0.3">
      <c r="D2070" s="104"/>
    </row>
    <row r="2071" spans="4:4" x14ac:dyDescent="0.3">
      <c r="D2071" s="104"/>
    </row>
    <row r="2072" spans="4:4" x14ac:dyDescent="0.3">
      <c r="D2072" s="104"/>
    </row>
    <row r="2073" spans="4:4" x14ac:dyDescent="0.3">
      <c r="D2073" s="104"/>
    </row>
    <row r="2074" spans="4:4" x14ac:dyDescent="0.3">
      <c r="D2074" s="104"/>
    </row>
    <row r="2075" spans="4:4" x14ac:dyDescent="0.3">
      <c r="D2075" s="104"/>
    </row>
    <row r="2076" spans="4:4" x14ac:dyDescent="0.3">
      <c r="D2076" s="104"/>
    </row>
    <row r="2077" spans="4:4" x14ac:dyDescent="0.3">
      <c r="D2077" s="104"/>
    </row>
    <row r="2078" spans="4:4" x14ac:dyDescent="0.3">
      <c r="D2078" s="104"/>
    </row>
    <row r="2079" spans="4:4" x14ac:dyDescent="0.3">
      <c r="D2079" s="104"/>
    </row>
    <row r="2080" spans="4:4" x14ac:dyDescent="0.3">
      <c r="D2080" s="104"/>
    </row>
    <row r="2081" spans="4:4" x14ac:dyDescent="0.3">
      <c r="D2081" s="104"/>
    </row>
    <row r="2082" spans="4:4" x14ac:dyDescent="0.3">
      <c r="D2082" s="104"/>
    </row>
    <row r="2083" spans="4:4" x14ac:dyDescent="0.3">
      <c r="D2083" s="104"/>
    </row>
    <row r="2084" spans="4:4" x14ac:dyDescent="0.3">
      <c r="D2084" s="104"/>
    </row>
    <row r="2085" spans="4:4" x14ac:dyDescent="0.3">
      <c r="D2085" s="104"/>
    </row>
    <row r="2086" spans="4:4" x14ac:dyDescent="0.3">
      <c r="D2086" s="104"/>
    </row>
    <row r="2087" spans="4:4" x14ac:dyDescent="0.3">
      <c r="D2087" s="104"/>
    </row>
    <row r="2088" spans="4:4" x14ac:dyDescent="0.3">
      <c r="D2088" s="104"/>
    </row>
    <row r="2089" spans="4:4" x14ac:dyDescent="0.3">
      <c r="D2089" s="104"/>
    </row>
    <row r="2090" spans="4:4" x14ac:dyDescent="0.3">
      <c r="D2090" s="104"/>
    </row>
    <row r="2091" spans="4:4" x14ac:dyDescent="0.3">
      <c r="D2091" s="104"/>
    </row>
    <row r="2092" spans="4:4" x14ac:dyDescent="0.3">
      <c r="D2092" s="104"/>
    </row>
    <row r="2093" spans="4:4" x14ac:dyDescent="0.3">
      <c r="D2093" s="104"/>
    </row>
    <row r="2094" spans="4:4" x14ac:dyDescent="0.3">
      <c r="D2094" s="104"/>
    </row>
    <row r="2095" spans="4:4" x14ac:dyDescent="0.3">
      <c r="D2095" s="104"/>
    </row>
    <row r="2096" spans="4:4" x14ac:dyDescent="0.3">
      <c r="D2096" s="104"/>
    </row>
    <row r="2097" spans="4:4" x14ac:dyDescent="0.3">
      <c r="D2097" s="104"/>
    </row>
    <row r="2098" spans="4:4" x14ac:dyDescent="0.3">
      <c r="D2098" s="104"/>
    </row>
    <row r="2099" spans="4:4" x14ac:dyDescent="0.3">
      <c r="D2099" s="104"/>
    </row>
    <row r="2100" spans="4:4" x14ac:dyDescent="0.3">
      <c r="D2100" s="104"/>
    </row>
    <row r="2101" spans="4:4" x14ac:dyDescent="0.3">
      <c r="D2101" s="104"/>
    </row>
    <row r="2102" spans="4:4" x14ac:dyDescent="0.3">
      <c r="D2102" s="104"/>
    </row>
    <row r="2103" spans="4:4" x14ac:dyDescent="0.3">
      <c r="D2103" s="104"/>
    </row>
    <row r="2104" spans="4:4" x14ac:dyDescent="0.3">
      <c r="D2104" s="104"/>
    </row>
    <row r="2105" spans="4:4" x14ac:dyDescent="0.3">
      <c r="D2105" s="104"/>
    </row>
    <row r="2106" spans="4:4" x14ac:dyDescent="0.3">
      <c r="D2106" s="104"/>
    </row>
    <row r="2107" spans="4:4" x14ac:dyDescent="0.3">
      <c r="D2107" s="104"/>
    </row>
    <row r="2108" spans="4:4" x14ac:dyDescent="0.3">
      <c r="D2108" s="104"/>
    </row>
    <row r="2109" spans="4:4" x14ac:dyDescent="0.3">
      <c r="D2109" s="104"/>
    </row>
    <row r="2110" spans="4:4" x14ac:dyDescent="0.3">
      <c r="D2110" s="104"/>
    </row>
    <row r="2111" spans="4:4" x14ac:dyDescent="0.3">
      <c r="D2111" s="104"/>
    </row>
    <row r="2112" spans="4:4" x14ac:dyDescent="0.3">
      <c r="D2112" s="104"/>
    </row>
    <row r="2113" spans="4:4" x14ac:dyDescent="0.3">
      <c r="D2113" s="104"/>
    </row>
    <row r="2114" spans="4:4" x14ac:dyDescent="0.3">
      <c r="D2114" s="104"/>
    </row>
    <row r="2115" spans="4:4" x14ac:dyDescent="0.3">
      <c r="D2115" s="104"/>
    </row>
    <row r="2116" spans="4:4" x14ac:dyDescent="0.3">
      <c r="D2116" s="104"/>
    </row>
    <row r="2117" spans="4:4" x14ac:dyDescent="0.3">
      <c r="D2117" s="104"/>
    </row>
    <row r="2118" spans="4:4" x14ac:dyDescent="0.3">
      <c r="D2118" s="104"/>
    </row>
    <row r="2119" spans="4:4" x14ac:dyDescent="0.3">
      <c r="D2119" s="104"/>
    </row>
    <row r="2120" spans="4:4" x14ac:dyDescent="0.3">
      <c r="D2120" s="104"/>
    </row>
    <row r="2121" spans="4:4" x14ac:dyDescent="0.3">
      <c r="D2121" s="104"/>
    </row>
    <row r="2122" spans="4:4" x14ac:dyDescent="0.3">
      <c r="D2122" s="104"/>
    </row>
    <row r="2123" spans="4:4" x14ac:dyDescent="0.3">
      <c r="D2123" s="104"/>
    </row>
    <row r="2124" spans="4:4" x14ac:dyDescent="0.3">
      <c r="D2124" s="104"/>
    </row>
    <row r="2125" spans="4:4" x14ac:dyDescent="0.3">
      <c r="D2125" s="104"/>
    </row>
    <row r="2126" spans="4:4" x14ac:dyDescent="0.3">
      <c r="D2126" s="104"/>
    </row>
    <row r="2127" spans="4:4" x14ac:dyDescent="0.3">
      <c r="D2127" s="104"/>
    </row>
    <row r="2128" spans="4:4" x14ac:dyDescent="0.3">
      <c r="D2128" s="104"/>
    </row>
    <row r="2129" spans="4:4" x14ac:dyDescent="0.3">
      <c r="D2129" s="104"/>
    </row>
    <row r="2130" spans="4:4" x14ac:dyDescent="0.3">
      <c r="D2130" s="104"/>
    </row>
    <row r="2131" spans="4:4" x14ac:dyDescent="0.3">
      <c r="D2131" s="104"/>
    </row>
    <row r="2132" spans="4:4" x14ac:dyDescent="0.3">
      <c r="D2132" s="104"/>
    </row>
    <row r="2133" spans="4:4" x14ac:dyDescent="0.3">
      <c r="D2133" s="104"/>
    </row>
    <row r="2134" spans="4:4" x14ac:dyDescent="0.3">
      <c r="D2134" s="104"/>
    </row>
    <row r="2135" spans="4:4" x14ac:dyDescent="0.3">
      <c r="D2135" s="104"/>
    </row>
    <row r="2136" spans="4:4" x14ac:dyDescent="0.3">
      <c r="D2136" s="104"/>
    </row>
    <row r="2137" spans="4:4" x14ac:dyDescent="0.3">
      <c r="D2137" s="104"/>
    </row>
    <row r="2138" spans="4:4" x14ac:dyDescent="0.3">
      <c r="D2138" s="104"/>
    </row>
    <row r="2139" spans="4:4" x14ac:dyDescent="0.3">
      <c r="D2139" s="104"/>
    </row>
    <row r="2140" spans="4:4" x14ac:dyDescent="0.3">
      <c r="D2140" s="104"/>
    </row>
    <row r="2141" spans="4:4" x14ac:dyDescent="0.3">
      <c r="D2141" s="104"/>
    </row>
    <row r="2142" spans="4:4" x14ac:dyDescent="0.3">
      <c r="D2142" s="104"/>
    </row>
    <row r="2143" spans="4:4" x14ac:dyDescent="0.3">
      <c r="D2143" s="104"/>
    </row>
    <row r="2144" spans="4:4" x14ac:dyDescent="0.3">
      <c r="D2144" s="104"/>
    </row>
    <row r="2145" spans="4:4" x14ac:dyDescent="0.3">
      <c r="D2145" s="104"/>
    </row>
    <row r="2146" spans="4:4" x14ac:dyDescent="0.3">
      <c r="D2146" s="104"/>
    </row>
    <row r="2147" spans="4:4" x14ac:dyDescent="0.3">
      <c r="D2147" s="104"/>
    </row>
    <row r="2148" spans="4:4" x14ac:dyDescent="0.3">
      <c r="D2148" s="104"/>
    </row>
    <row r="2149" spans="4:4" x14ac:dyDescent="0.3">
      <c r="D2149" s="104"/>
    </row>
    <row r="2150" spans="4:4" x14ac:dyDescent="0.3">
      <c r="D2150" s="104"/>
    </row>
    <row r="2151" spans="4:4" x14ac:dyDescent="0.3">
      <c r="D2151" s="104"/>
    </row>
    <row r="2152" spans="4:4" x14ac:dyDescent="0.3">
      <c r="D2152" s="104"/>
    </row>
    <row r="2153" spans="4:4" x14ac:dyDescent="0.3">
      <c r="D2153" s="104"/>
    </row>
    <row r="2154" spans="4:4" x14ac:dyDescent="0.3">
      <c r="D2154" s="104"/>
    </row>
    <row r="2155" spans="4:4" x14ac:dyDescent="0.3">
      <c r="D2155" s="104"/>
    </row>
    <row r="2156" spans="4:4" x14ac:dyDescent="0.3">
      <c r="D2156" s="104"/>
    </row>
    <row r="2157" spans="4:4" x14ac:dyDescent="0.3">
      <c r="D2157" s="104"/>
    </row>
    <row r="2158" spans="4:4" x14ac:dyDescent="0.3">
      <c r="D2158" s="104"/>
    </row>
    <row r="2159" spans="4:4" x14ac:dyDescent="0.3">
      <c r="D2159" s="104"/>
    </row>
    <row r="2160" spans="4:4" x14ac:dyDescent="0.3">
      <c r="D2160" s="104"/>
    </row>
    <row r="2161" spans="4:4" x14ac:dyDescent="0.3">
      <c r="D2161" s="104"/>
    </row>
    <row r="2162" spans="4:4" x14ac:dyDescent="0.3">
      <c r="D2162" s="104"/>
    </row>
    <row r="2163" spans="4:4" x14ac:dyDescent="0.3">
      <c r="D2163" s="104"/>
    </row>
    <row r="2164" spans="4:4" x14ac:dyDescent="0.3">
      <c r="D2164" s="104"/>
    </row>
    <row r="2165" spans="4:4" x14ac:dyDescent="0.3">
      <c r="D2165" s="104"/>
    </row>
    <row r="2166" spans="4:4" x14ac:dyDescent="0.3">
      <c r="D2166" s="104"/>
    </row>
    <row r="2167" spans="4:4" x14ac:dyDescent="0.3">
      <c r="D2167" s="104"/>
    </row>
    <row r="2168" spans="4:4" x14ac:dyDescent="0.3">
      <c r="D2168" s="104"/>
    </row>
    <row r="2169" spans="4:4" x14ac:dyDescent="0.3">
      <c r="D2169" s="104"/>
    </row>
    <row r="2170" spans="4:4" x14ac:dyDescent="0.3">
      <c r="D2170" s="104"/>
    </row>
    <row r="2171" spans="4:4" x14ac:dyDescent="0.3">
      <c r="D2171" s="104"/>
    </row>
    <row r="2172" spans="4:4" x14ac:dyDescent="0.3">
      <c r="D2172" s="104"/>
    </row>
    <row r="2173" spans="4:4" x14ac:dyDescent="0.3">
      <c r="D2173" s="104"/>
    </row>
    <row r="2174" spans="4:4" x14ac:dyDescent="0.3">
      <c r="D2174" s="104"/>
    </row>
    <row r="2175" spans="4:4" x14ac:dyDescent="0.3">
      <c r="D2175" s="104"/>
    </row>
    <row r="2176" spans="4:4" x14ac:dyDescent="0.3">
      <c r="D2176" s="104"/>
    </row>
    <row r="2177" spans="4:4" x14ac:dyDescent="0.3">
      <c r="D2177" s="104"/>
    </row>
    <row r="2178" spans="4:4" x14ac:dyDescent="0.3">
      <c r="D2178" s="104"/>
    </row>
    <row r="2179" spans="4:4" x14ac:dyDescent="0.3">
      <c r="D2179" s="104"/>
    </row>
    <row r="2180" spans="4:4" x14ac:dyDescent="0.3">
      <c r="D2180" s="104"/>
    </row>
    <row r="2181" spans="4:4" x14ac:dyDescent="0.3">
      <c r="D2181" s="104"/>
    </row>
    <row r="2182" spans="4:4" x14ac:dyDescent="0.3">
      <c r="D2182" s="104"/>
    </row>
    <row r="2183" spans="4:4" x14ac:dyDescent="0.3">
      <c r="D2183" s="104"/>
    </row>
    <row r="2184" spans="4:4" x14ac:dyDescent="0.3">
      <c r="D2184" s="104"/>
    </row>
    <row r="2185" spans="4:4" x14ac:dyDescent="0.3">
      <c r="D2185" s="104"/>
    </row>
    <row r="2186" spans="4:4" x14ac:dyDescent="0.3">
      <c r="D2186" s="104"/>
    </row>
    <row r="2187" spans="4:4" x14ac:dyDescent="0.3">
      <c r="D2187" s="104"/>
    </row>
    <row r="2188" spans="4:4" x14ac:dyDescent="0.3">
      <c r="D2188" s="104"/>
    </row>
    <row r="2189" spans="4:4" x14ac:dyDescent="0.3">
      <c r="D2189" s="104"/>
    </row>
    <row r="2190" spans="4:4" x14ac:dyDescent="0.3">
      <c r="D2190" s="104"/>
    </row>
    <row r="2191" spans="4:4" x14ac:dyDescent="0.3">
      <c r="D2191" s="104"/>
    </row>
    <row r="2192" spans="4:4" x14ac:dyDescent="0.3">
      <c r="D2192" s="104"/>
    </row>
    <row r="2193" spans="4:4" x14ac:dyDescent="0.3">
      <c r="D2193" s="104"/>
    </row>
    <row r="2194" spans="4:4" x14ac:dyDescent="0.3">
      <c r="D2194" s="104"/>
    </row>
    <row r="2195" spans="4:4" x14ac:dyDescent="0.3">
      <c r="D2195" s="104"/>
    </row>
    <row r="2196" spans="4:4" x14ac:dyDescent="0.3">
      <c r="D2196" s="104"/>
    </row>
    <row r="2197" spans="4:4" x14ac:dyDescent="0.3">
      <c r="D2197" s="104"/>
    </row>
    <row r="2198" spans="4:4" x14ac:dyDescent="0.3">
      <c r="D2198" s="104"/>
    </row>
    <row r="2199" spans="4:4" x14ac:dyDescent="0.3">
      <c r="D2199" s="104"/>
    </row>
    <row r="2200" spans="4:4" x14ac:dyDescent="0.3">
      <c r="D2200" s="104"/>
    </row>
    <row r="2201" spans="4:4" x14ac:dyDescent="0.3">
      <c r="D2201" s="104"/>
    </row>
    <row r="2202" spans="4:4" x14ac:dyDescent="0.3">
      <c r="D2202" s="104"/>
    </row>
    <row r="2203" spans="4:4" x14ac:dyDescent="0.3">
      <c r="D2203" s="104"/>
    </row>
    <row r="2204" spans="4:4" x14ac:dyDescent="0.3">
      <c r="D2204" s="104"/>
    </row>
    <row r="2205" spans="4:4" x14ac:dyDescent="0.3">
      <c r="D2205" s="104"/>
    </row>
    <row r="2206" spans="4:4" x14ac:dyDescent="0.3">
      <c r="D2206" s="104"/>
    </row>
    <row r="2207" spans="4:4" x14ac:dyDescent="0.3">
      <c r="D2207" s="104"/>
    </row>
    <row r="2208" spans="4:4" x14ac:dyDescent="0.3">
      <c r="D2208" s="104"/>
    </row>
    <row r="2209" spans="4:4" x14ac:dyDescent="0.3">
      <c r="D2209" s="104"/>
    </row>
    <row r="2210" spans="4:4" x14ac:dyDescent="0.3">
      <c r="D2210" s="104"/>
    </row>
    <row r="2211" spans="4:4" x14ac:dyDescent="0.3">
      <c r="D2211" s="104"/>
    </row>
    <row r="2212" spans="4:4" x14ac:dyDescent="0.3">
      <c r="D2212" s="104"/>
    </row>
    <row r="2213" spans="4:4" x14ac:dyDescent="0.3">
      <c r="D2213" s="104"/>
    </row>
    <row r="2214" spans="4:4" x14ac:dyDescent="0.3">
      <c r="D2214" s="104"/>
    </row>
    <row r="2215" spans="4:4" x14ac:dyDescent="0.3">
      <c r="D2215" s="104"/>
    </row>
    <row r="2216" spans="4:4" x14ac:dyDescent="0.3">
      <c r="D2216" s="104"/>
    </row>
    <row r="2217" spans="4:4" x14ac:dyDescent="0.3">
      <c r="D2217" s="104"/>
    </row>
    <row r="2218" spans="4:4" x14ac:dyDescent="0.3">
      <c r="D2218" s="104"/>
    </row>
    <row r="2219" spans="4:4" x14ac:dyDescent="0.3">
      <c r="D2219" s="104"/>
    </row>
    <row r="2220" spans="4:4" x14ac:dyDescent="0.3">
      <c r="D2220" s="104"/>
    </row>
    <row r="2221" spans="4:4" x14ac:dyDescent="0.3">
      <c r="D2221" s="104"/>
    </row>
    <row r="2222" spans="4:4" x14ac:dyDescent="0.3">
      <c r="D2222" s="104"/>
    </row>
    <row r="2223" spans="4:4" x14ac:dyDescent="0.3">
      <c r="D2223" s="104"/>
    </row>
    <row r="2224" spans="4:4" x14ac:dyDescent="0.3">
      <c r="D2224" s="104"/>
    </row>
    <row r="2225" spans="4:4" x14ac:dyDescent="0.3">
      <c r="D2225" s="104"/>
    </row>
    <row r="2226" spans="4:4" x14ac:dyDescent="0.3">
      <c r="D2226" s="104"/>
    </row>
    <row r="2227" spans="4:4" x14ac:dyDescent="0.3">
      <c r="D2227" s="104"/>
    </row>
    <row r="2228" spans="4:4" x14ac:dyDescent="0.3">
      <c r="D2228" s="104"/>
    </row>
    <row r="2229" spans="4:4" x14ac:dyDescent="0.3">
      <c r="D2229" s="104"/>
    </row>
    <row r="2230" spans="4:4" x14ac:dyDescent="0.3">
      <c r="D2230" s="104"/>
    </row>
    <row r="2231" spans="4:4" x14ac:dyDescent="0.3">
      <c r="D2231" s="104"/>
    </row>
    <row r="2232" spans="4:4" x14ac:dyDescent="0.3">
      <c r="D2232" s="104"/>
    </row>
    <row r="2233" spans="4:4" x14ac:dyDescent="0.3">
      <c r="D2233" s="104"/>
    </row>
    <row r="2234" spans="4:4" x14ac:dyDescent="0.3">
      <c r="D2234" s="104"/>
    </row>
    <row r="2235" spans="4:4" x14ac:dyDescent="0.3">
      <c r="D2235" s="104"/>
    </row>
    <row r="2236" spans="4:4" x14ac:dyDescent="0.3">
      <c r="D2236" s="104"/>
    </row>
    <row r="2237" spans="4:4" x14ac:dyDescent="0.3">
      <c r="D2237" s="104"/>
    </row>
    <row r="2238" spans="4:4" x14ac:dyDescent="0.3">
      <c r="D2238" s="104"/>
    </row>
    <row r="2239" spans="4:4" x14ac:dyDescent="0.3">
      <c r="D2239" s="104"/>
    </row>
    <row r="2240" spans="4:4" x14ac:dyDescent="0.3">
      <c r="D2240" s="104"/>
    </row>
    <row r="2241" spans="4:4" x14ac:dyDescent="0.3">
      <c r="D2241" s="104"/>
    </row>
    <row r="2242" spans="4:4" x14ac:dyDescent="0.3">
      <c r="D2242" s="104"/>
    </row>
    <row r="2243" spans="4:4" x14ac:dyDescent="0.3">
      <c r="D2243" s="104"/>
    </row>
    <row r="2244" spans="4:4" x14ac:dyDescent="0.3">
      <c r="D2244" s="104"/>
    </row>
    <row r="2245" spans="4:4" x14ac:dyDescent="0.3">
      <c r="D2245" s="104"/>
    </row>
    <row r="2246" spans="4:4" x14ac:dyDescent="0.3">
      <c r="D2246" s="104"/>
    </row>
    <row r="2247" spans="4:4" x14ac:dyDescent="0.3">
      <c r="D2247" s="104"/>
    </row>
    <row r="2248" spans="4:4" x14ac:dyDescent="0.3">
      <c r="D2248" s="104"/>
    </row>
    <row r="2249" spans="4:4" x14ac:dyDescent="0.3">
      <c r="D2249" s="104"/>
    </row>
    <row r="2250" spans="4:4" x14ac:dyDescent="0.3">
      <c r="D2250" s="104"/>
    </row>
    <row r="2251" spans="4:4" x14ac:dyDescent="0.3">
      <c r="D2251" s="104"/>
    </row>
    <row r="2252" spans="4:4" x14ac:dyDescent="0.3">
      <c r="D2252" s="104"/>
    </row>
    <row r="2253" spans="4:4" x14ac:dyDescent="0.3">
      <c r="D2253" s="104"/>
    </row>
    <row r="2254" spans="4:4" x14ac:dyDescent="0.3">
      <c r="D2254" s="104"/>
    </row>
    <row r="2255" spans="4:4" x14ac:dyDescent="0.3">
      <c r="D2255" s="104"/>
    </row>
    <row r="2256" spans="4:4" x14ac:dyDescent="0.3">
      <c r="D2256" s="104"/>
    </row>
    <row r="2257" spans="4:4" x14ac:dyDescent="0.3">
      <c r="D2257" s="104"/>
    </row>
    <row r="2258" spans="4:4" x14ac:dyDescent="0.3">
      <c r="D2258" s="104"/>
    </row>
    <row r="2259" spans="4:4" x14ac:dyDescent="0.3">
      <c r="D2259" s="104"/>
    </row>
    <row r="2260" spans="4:4" x14ac:dyDescent="0.3">
      <c r="D2260" s="104"/>
    </row>
    <row r="2261" spans="4:4" x14ac:dyDescent="0.3">
      <c r="D2261" s="104"/>
    </row>
    <row r="2262" spans="4:4" x14ac:dyDescent="0.3">
      <c r="D2262" s="104"/>
    </row>
    <row r="2263" spans="4:4" x14ac:dyDescent="0.3">
      <c r="D2263" s="104"/>
    </row>
    <row r="2264" spans="4:4" x14ac:dyDescent="0.3">
      <c r="D2264" s="104"/>
    </row>
    <row r="2265" spans="4:4" x14ac:dyDescent="0.3">
      <c r="D2265" s="104"/>
    </row>
    <row r="2266" spans="4:4" x14ac:dyDescent="0.3">
      <c r="D2266" s="104"/>
    </row>
    <row r="2267" spans="4:4" x14ac:dyDescent="0.3">
      <c r="D2267" s="104"/>
    </row>
    <row r="2268" spans="4:4" x14ac:dyDescent="0.3">
      <c r="D2268" s="104"/>
    </row>
    <row r="2269" spans="4:4" x14ac:dyDescent="0.3">
      <c r="D2269" s="104"/>
    </row>
    <row r="2270" spans="4:4" x14ac:dyDescent="0.3">
      <c r="D2270" s="104"/>
    </row>
    <row r="2271" spans="4:4" x14ac:dyDescent="0.3">
      <c r="D2271" s="104"/>
    </row>
    <row r="2272" spans="4:4" x14ac:dyDescent="0.3">
      <c r="D2272" s="104"/>
    </row>
    <row r="2273" spans="4:4" x14ac:dyDescent="0.3">
      <c r="D2273" s="104"/>
    </row>
    <row r="2274" spans="4:4" x14ac:dyDescent="0.3">
      <c r="D2274" s="104"/>
    </row>
    <row r="2275" spans="4:4" x14ac:dyDescent="0.3">
      <c r="D2275" s="104"/>
    </row>
    <row r="2276" spans="4:4" x14ac:dyDescent="0.3">
      <c r="D2276" s="104"/>
    </row>
    <row r="2277" spans="4:4" x14ac:dyDescent="0.3">
      <c r="D2277" s="104"/>
    </row>
    <row r="2278" spans="4:4" x14ac:dyDescent="0.3">
      <c r="D2278" s="104"/>
    </row>
    <row r="2279" spans="4:4" x14ac:dyDescent="0.3">
      <c r="D2279" s="104"/>
    </row>
    <row r="2280" spans="4:4" x14ac:dyDescent="0.3">
      <c r="D2280" s="104"/>
    </row>
    <row r="2281" spans="4:4" x14ac:dyDescent="0.3">
      <c r="D2281" s="104"/>
    </row>
    <row r="2282" spans="4:4" x14ac:dyDescent="0.3">
      <c r="D2282" s="104"/>
    </row>
    <row r="2283" spans="4:4" x14ac:dyDescent="0.3">
      <c r="D2283" s="104"/>
    </row>
    <row r="2284" spans="4:4" x14ac:dyDescent="0.3">
      <c r="D2284" s="104"/>
    </row>
    <row r="2285" spans="4:4" x14ac:dyDescent="0.3">
      <c r="D2285" s="104"/>
    </row>
    <row r="2286" spans="4:4" x14ac:dyDescent="0.3">
      <c r="D2286" s="104"/>
    </row>
    <row r="2287" spans="4:4" x14ac:dyDescent="0.3">
      <c r="D2287" s="104"/>
    </row>
    <row r="2288" spans="4:4" x14ac:dyDescent="0.3">
      <c r="D2288" s="104"/>
    </row>
    <row r="2289" spans="4:4" x14ac:dyDescent="0.3">
      <c r="D2289" s="104"/>
    </row>
    <row r="2290" spans="4:4" x14ac:dyDescent="0.3">
      <c r="D2290" s="104"/>
    </row>
    <row r="2291" spans="4:4" x14ac:dyDescent="0.3">
      <c r="D2291" s="104"/>
    </row>
    <row r="2292" spans="4:4" x14ac:dyDescent="0.3">
      <c r="D2292" s="104"/>
    </row>
    <row r="2293" spans="4:4" x14ac:dyDescent="0.3">
      <c r="D2293" s="104"/>
    </row>
    <row r="2294" spans="4:4" x14ac:dyDescent="0.3">
      <c r="D2294" s="104"/>
    </row>
    <row r="2295" spans="4:4" x14ac:dyDescent="0.3">
      <c r="D2295" s="104"/>
    </row>
    <row r="2296" spans="4:4" x14ac:dyDescent="0.3">
      <c r="D2296" s="104"/>
    </row>
    <row r="2297" spans="4:4" x14ac:dyDescent="0.3">
      <c r="D2297" s="104"/>
    </row>
    <row r="2298" spans="4:4" x14ac:dyDescent="0.3">
      <c r="D2298" s="104"/>
    </row>
    <row r="2299" spans="4:4" x14ac:dyDescent="0.3">
      <c r="D2299" s="104"/>
    </row>
    <row r="2300" spans="4:4" x14ac:dyDescent="0.3">
      <c r="D2300" s="104"/>
    </row>
    <row r="2301" spans="4:4" x14ac:dyDescent="0.3">
      <c r="D2301" s="104"/>
    </row>
    <row r="2302" spans="4:4" x14ac:dyDescent="0.3">
      <c r="D2302" s="104"/>
    </row>
    <row r="2303" spans="4:4" x14ac:dyDescent="0.3">
      <c r="D2303" s="104"/>
    </row>
    <row r="2304" spans="4:4" x14ac:dyDescent="0.3">
      <c r="D2304" s="104"/>
    </row>
    <row r="2305" spans="4:4" x14ac:dyDescent="0.3">
      <c r="D2305" s="104"/>
    </row>
    <row r="2306" spans="4:4" x14ac:dyDescent="0.3">
      <c r="D2306" s="104"/>
    </row>
    <row r="2307" spans="4:4" x14ac:dyDescent="0.3">
      <c r="D2307" s="104"/>
    </row>
    <row r="2308" spans="4:4" x14ac:dyDescent="0.3">
      <c r="D2308" s="104"/>
    </row>
    <row r="2309" spans="4:4" x14ac:dyDescent="0.3">
      <c r="D2309" s="104"/>
    </row>
    <row r="2310" spans="4:4" x14ac:dyDescent="0.3">
      <c r="D2310" s="104"/>
    </row>
    <row r="2311" spans="4:4" x14ac:dyDescent="0.3">
      <c r="D2311" s="104"/>
    </row>
    <row r="2312" spans="4:4" x14ac:dyDescent="0.3">
      <c r="D2312" s="104"/>
    </row>
    <row r="2313" spans="4:4" x14ac:dyDescent="0.3">
      <c r="D2313" s="104"/>
    </row>
    <row r="2314" spans="4:4" x14ac:dyDescent="0.3">
      <c r="D2314" s="104"/>
    </row>
    <row r="2315" spans="4:4" x14ac:dyDescent="0.3">
      <c r="D2315" s="104"/>
    </row>
    <row r="2316" spans="4:4" x14ac:dyDescent="0.3">
      <c r="D2316" s="104"/>
    </row>
    <row r="2317" spans="4:4" x14ac:dyDescent="0.3">
      <c r="D2317" s="104"/>
    </row>
    <row r="2318" spans="4:4" x14ac:dyDescent="0.3">
      <c r="D2318" s="104"/>
    </row>
    <row r="2319" spans="4:4" x14ac:dyDescent="0.3">
      <c r="D2319" s="104"/>
    </row>
    <row r="2320" spans="4:4" x14ac:dyDescent="0.3">
      <c r="D2320" s="104"/>
    </row>
    <row r="2321" spans="4:4" x14ac:dyDescent="0.3">
      <c r="D2321" s="104"/>
    </row>
    <row r="2322" spans="4:4" x14ac:dyDescent="0.3">
      <c r="D2322" s="104"/>
    </row>
    <row r="2323" spans="4:4" x14ac:dyDescent="0.3">
      <c r="D2323" s="104"/>
    </row>
    <row r="2324" spans="4:4" x14ac:dyDescent="0.3">
      <c r="D2324" s="104"/>
    </row>
    <row r="2325" spans="4:4" x14ac:dyDescent="0.3">
      <c r="D2325" s="104"/>
    </row>
    <row r="2326" spans="4:4" x14ac:dyDescent="0.3">
      <c r="D2326" s="104"/>
    </row>
    <row r="2327" spans="4:4" x14ac:dyDescent="0.3">
      <c r="D2327" s="104"/>
    </row>
    <row r="2328" spans="4:4" x14ac:dyDescent="0.3">
      <c r="D2328" s="104"/>
    </row>
    <row r="2329" spans="4:4" x14ac:dyDescent="0.3">
      <c r="D2329" s="104"/>
    </row>
    <row r="2330" spans="4:4" x14ac:dyDescent="0.3">
      <c r="D2330" s="104"/>
    </row>
    <row r="2331" spans="4:4" x14ac:dyDescent="0.3">
      <c r="D2331" s="104"/>
    </row>
    <row r="2332" spans="4:4" x14ac:dyDescent="0.3">
      <c r="D2332" s="104"/>
    </row>
    <row r="2333" spans="4:4" x14ac:dyDescent="0.3">
      <c r="D2333" s="104"/>
    </row>
    <row r="2334" spans="4:4" x14ac:dyDescent="0.3">
      <c r="D2334" s="104"/>
    </row>
    <row r="2335" spans="4:4" x14ac:dyDescent="0.3">
      <c r="D2335" s="104"/>
    </row>
    <row r="2336" spans="4:4" x14ac:dyDescent="0.3">
      <c r="D2336" s="104"/>
    </row>
    <row r="2337" spans="4:4" x14ac:dyDescent="0.3">
      <c r="D2337" s="104"/>
    </row>
    <row r="2338" spans="4:4" x14ac:dyDescent="0.3">
      <c r="D2338" s="104"/>
    </row>
    <row r="2339" spans="4:4" x14ac:dyDescent="0.3">
      <c r="D2339" s="104"/>
    </row>
    <row r="2340" spans="4:4" x14ac:dyDescent="0.3">
      <c r="D2340" s="104"/>
    </row>
    <row r="2341" spans="4:4" x14ac:dyDescent="0.3">
      <c r="D2341" s="104"/>
    </row>
    <row r="2342" spans="4:4" x14ac:dyDescent="0.3">
      <c r="D2342" s="104"/>
    </row>
    <row r="2343" spans="4:4" x14ac:dyDescent="0.3">
      <c r="D2343" s="104"/>
    </row>
    <row r="2344" spans="4:4" x14ac:dyDescent="0.3">
      <c r="D2344" s="104"/>
    </row>
    <row r="2345" spans="4:4" x14ac:dyDescent="0.3">
      <c r="D2345" s="104"/>
    </row>
    <row r="2346" spans="4:4" x14ac:dyDescent="0.3">
      <c r="D2346" s="104"/>
    </row>
    <row r="2347" spans="4:4" x14ac:dyDescent="0.3">
      <c r="D2347" s="104"/>
    </row>
    <row r="2348" spans="4:4" x14ac:dyDescent="0.3">
      <c r="D2348" s="104"/>
    </row>
    <row r="2349" spans="4:4" x14ac:dyDescent="0.3">
      <c r="D2349" s="104"/>
    </row>
    <row r="2350" spans="4:4" x14ac:dyDescent="0.3">
      <c r="D2350" s="104"/>
    </row>
    <row r="2351" spans="4:4" x14ac:dyDescent="0.3">
      <c r="D2351" s="104"/>
    </row>
    <row r="2352" spans="4:4" x14ac:dyDescent="0.3">
      <c r="D2352" s="104"/>
    </row>
    <row r="2353" spans="4:4" x14ac:dyDescent="0.3">
      <c r="D2353" s="104"/>
    </row>
    <row r="2354" spans="4:4" x14ac:dyDescent="0.3">
      <c r="D2354" s="104"/>
    </row>
    <row r="2355" spans="4:4" x14ac:dyDescent="0.3">
      <c r="D2355" s="104"/>
    </row>
    <row r="2356" spans="4:4" x14ac:dyDescent="0.3">
      <c r="D2356" s="104"/>
    </row>
    <row r="2357" spans="4:4" x14ac:dyDescent="0.3">
      <c r="D2357" s="104"/>
    </row>
    <row r="2358" spans="4:4" x14ac:dyDescent="0.3">
      <c r="D2358" s="104"/>
    </row>
    <row r="2359" spans="4:4" x14ac:dyDescent="0.3">
      <c r="D2359" s="104"/>
    </row>
    <row r="2360" spans="4:4" x14ac:dyDescent="0.3">
      <c r="D2360" s="104"/>
    </row>
    <row r="2361" spans="4:4" x14ac:dyDescent="0.3">
      <c r="D2361" s="104"/>
    </row>
    <row r="2362" spans="4:4" x14ac:dyDescent="0.3">
      <c r="D2362" s="104"/>
    </row>
    <row r="2363" spans="4:4" x14ac:dyDescent="0.3">
      <c r="D2363" s="104"/>
    </row>
    <row r="2364" spans="4:4" x14ac:dyDescent="0.3">
      <c r="D2364" s="104"/>
    </row>
    <row r="2365" spans="4:4" x14ac:dyDescent="0.3">
      <c r="D2365" s="104"/>
    </row>
    <row r="2366" spans="4:4" x14ac:dyDescent="0.3">
      <c r="D2366" s="104"/>
    </row>
    <row r="2367" spans="4:4" x14ac:dyDescent="0.3">
      <c r="D2367" s="104"/>
    </row>
    <row r="2368" spans="4:4" x14ac:dyDescent="0.3">
      <c r="D2368" s="104"/>
    </row>
    <row r="2369" spans="4:4" x14ac:dyDescent="0.3">
      <c r="D2369" s="104"/>
    </row>
    <row r="2370" spans="4:4" x14ac:dyDescent="0.3">
      <c r="D2370" s="104"/>
    </row>
    <row r="2371" spans="4:4" x14ac:dyDescent="0.3">
      <c r="D2371" s="104"/>
    </row>
    <row r="2372" spans="4:4" x14ac:dyDescent="0.3">
      <c r="D2372" s="104"/>
    </row>
    <row r="2373" spans="4:4" x14ac:dyDescent="0.3">
      <c r="D2373" s="104"/>
    </row>
    <row r="2374" spans="4:4" x14ac:dyDescent="0.3">
      <c r="D2374" s="104"/>
    </row>
    <row r="2375" spans="4:4" x14ac:dyDescent="0.3">
      <c r="D2375" s="104"/>
    </row>
    <row r="2376" spans="4:4" x14ac:dyDescent="0.3">
      <c r="D2376" s="104"/>
    </row>
    <row r="2377" spans="4:4" x14ac:dyDescent="0.3">
      <c r="D2377" s="104"/>
    </row>
    <row r="2378" spans="4:4" x14ac:dyDescent="0.3">
      <c r="D2378" s="104"/>
    </row>
    <row r="2379" spans="4:4" x14ac:dyDescent="0.3">
      <c r="D2379" s="104"/>
    </row>
    <row r="2380" spans="4:4" x14ac:dyDescent="0.3">
      <c r="D2380" s="104"/>
    </row>
    <row r="2381" spans="4:4" x14ac:dyDescent="0.3">
      <c r="D2381" s="104"/>
    </row>
    <row r="2382" spans="4:4" x14ac:dyDescent="0.3">
      <c r="D2382" s="104"/>
    </row>
    <row r="2383" spans="4:4" x14ac:dyDescent="0.3">
      <c r="D2383" s="104"/>
    </row>
    <row r="2384" spans="4:4" x14ac:dyDescent="0.3">
      <c r="D2384" s="104"/>
    </row>
    <row r="2385" spans="4:4" x14ac:dyDescent="0.3">
      <c r="D2385" s="104"/>
    </row>
    <row r="2386" spans="4:4" x14ac:dyDescent="0.3">
      <c r="D2386" s="104"/>
    </row>
    <row r="2387" spans="4:4" x14ac:dyDescent="0.3">
      <c r="D2387" s="104"/>
    </row>
    <row r="2388" spans="4:4" x14ac:dyDescent="0.3">
      <c r="D2388" s="104"/>
    </row>
    <row r="2389" spans="4:4" x14ac:dyDescent="0.3">
      <c r="D2389" s="104"/>
    </row>
    <row r="2390" spans="4:4" x14ac:dyDescent="0.3">
      <c r="D2390" s="104"/>
    </row>
    <row r="2391" spans="4:4" x14ac:dyDescent="0.3">
      <c r="D2391" s="104"/>
    </row>
    <row r="2392" spans="4:4" x14ac:dyDescent="0.3">
      <c r="D2392" s="104"/>
    </row>
    <row r="2393" spans="4:4" x14ac:dyDescent="0.3">
      <c r="D2393" s="104"/>
    </row>
    <row r="2394" spans="4:4" x14ac:dyDescent="0.3">
      <c r="D2394" s="104"/>
    </row>
    <row r="2395" spans="4:4" x14ac:dyDescent="0.3">
      <c r="D2395" s="104"/>
    </row>
    <row r="2396" spans="4:4" x14ac:dyDescent="0.3">
      <c r="D2396" s="104"/>
    </row>
    <row r="2397" spans="4:4" x14ac:dyDescent="0.3">
      <c r="D2397" s="104"/>
    </row>
    <row r="2398" spans="4:4" x14ac:dyDescent="0.3">
      <c r="D2398" s="104"/>
    </row>
    <row r="2399" spans="4:4" x14ac:dyDescent="0.3">
      <c r="D2399" s="104"/>
    </row>
    <row r="2400" spans="4:4" x14ac:dyDescent="0.3">
      <c r="D2400" s="104"/>
    </row>
    <row r="2401" spans="4:4" x14ac:dyDescent="0.3">
      <c r="D2401" s="104"/>
    </row>
    <row r="2402" spans="4:4" x14ac:dyDescent="0.3">
      <c r="D2402" s="104"/>
    </row>
    <row r="2403" spans="4:4" x14ac:dyDescent="0.3">
      <c r="D2403" s="104"/>
    </row>
    <row r="2404" spans="4:4" x14ac:dyDescent="0.3">
      <c r="D2404" s="104"/>
    </row>
    <row r="2405" spans="4:4" x14ac:dyDescent="0.3">
      <c r="D2405" s="104"/>
    </row>
    <row r="2406" spans="4:4" x14ac:dyDescent="0.3">
      <c r="D2406" s="104"/>
    </row>
    <row r="2407" spans="4:4" x14ac:dyDescent="0.3">
      <c r="D2407" s="104"/>
    </row>
    <row r="2408" spans="4:4" x14ac:dyDescent="0.3">
      <c r="D2408" s="104"/>
    </row>
    <row r="2409" spans="4:4" x14ac:dyDescent="0.3">
      <c r="D2409" s="104"/>
    </row>
    <row r="2410" spans="4:4" x14ac:dyDescent="0.3">
      <c r="D2410" s="104"/>
    </row>
    <row r="2411" spans="4:4" x14ac:dyDescent="0.3">
      <c r="D2411" s="104"/>
    </row>
    <row r="2412" spans="4:4" x14ac:dyDescent="0.3">
      <c r="D2412" s="104"/>
    </row>
    <row r="2413" spans="4:4" x14ac:dyDescent="0.3">
      <c r="D2413" s="104"/>
    </row>
    <row r="2414" spans="4:4" x14ac:dyDescent="0.3">
      <c r="D2414" s="104"/>
    </row>
    <row r="2415" spans="4:4" x14ac:dyDescent="0.3">
      <c r="D2415" s="104"/>
    </row>
    <row r="2416" spans="4:4" x14ac:dyDescent="0.3">
      <c r="D2416" s="104"/>
    </row>
    <row r="2417" spans="4:4" x14ac:dyDescent="0.3">
      <c r="D2417" s="104"/>
    </row>
    <row r="2418" spans="4:4" x14ac:dyDescent="0.3">
      <c r="D2418" s="104"/>
    </row>
    <row r="2419" spans="4:4" x14ac:dyDescent="0.3">
      <c r="D2419" s="104"/>
    </row>
    <row r="2420" spans="4:4" x14ac:dyDescent="0.3">
      <c r="D2420" s="104"/>
    </row>
    <row r="2421" spans="4:4" x14ac:dyDescent="0.3">
      <c r="D2421" s="104"/>
    </row>
    <row r="2422" spans="4:4" x14ac:dyDescent="0.3">
      <c r="D2422" s="104"/>
    </row>
    <row r="2423" spans="4:4" x14ac:dyDescent="0.3">
      <c r="D2423" s="104"/>
    </row>
    <row r="2424" spans="4:4" x14ac:dyDescent="0.3">
      <c r="D2424" s="104"/>
    </row>
    <row r="2425" spans="4:4" x14ac:dyDescent="0.3">
      <c r="D2425" s="104"/>
    </row>
    <row r="2426" spans="4:4" x14ac:dyDescent="0.3">
      <c r="D2426" s="104"/>
    </row>
    <row r="2427" spans="4:4" x14ac:dyDescent="0.3">
      <c r="D2427" s="104"/>
    </row>
    <row r="2428" spans="4:4" x14ac:dyDescent="0.3">
      <c r="D2428" s="104"/>
    </row>
    <row r="2429" spans="4:4" x14ac:dyDescent="0.3">
      <c r="D2429" s="104"/>
    </row>
    <row r="2430" spans="4:4" x14ac:dyDescent="0.3">
      <c r="D2430" s="104"/>
    </row>
    <row r="2431" spans="4:4" x14ac:dyDescent="0.3">
      <c r="D2431" s="104"/>
    </row>
    <row r="2432" spans="4:4" x14ac:dyDescent="0.3">
      <c r="D2432" s="104"/>
    </row>
    <row r="2433" spans="4:4" x14ac:dyDescent="0.3">
      <c r="D2433" s="104"/>
    </row>
    <row r="2434" spans="4:4" x14ac:dyDescent="0.3">
      <c r="D2434" s="104"/>
    </row>
    <row r="2435" spans="4:4" x14ac:dyDescent="0.3">
      <c r="D2435" s="104"/>
    </row>
    <row r="2436" spans="4:4" x14ac:dyDescent="0.3">
      <c r="D2436" s="104"/>
    </row>
    <row r="2437" spans="4:4" x14ac:dyDescent="0.3">
      <c r="D2437" s="104"/>
    </row>
    <row r="2438" spans="4:4" x14ac:dyDescent="0.3">
      <c r="D2438" s="104"/>
    </row>
    <row r="2439" spans="4:4" x14ac:dyDescent="0.3">
      <c r="D2439" s="104"/>
    </row>
    <row r="2440" spans="4:4" x14ac:dyDescent="0.3">
      <c r="D2440" s="104"/>
    </row>
    <row r="2441" spans="4:4" x14ac:dyDescent="0.3">
      <c r="D2441" s="104"/>
    </row>
    <row r="2442" spans="4:4" x14ac:dyDescent="0.3">
      <c r="D2442" s="104"/>
    </row>
    <row r="2443" spans="4:4" x14ac:dyDescent="0.3">
      <c r="D2443" s="104"/>
    </row>
    <row r="2444" spans="4:4" x14ac:dyDescent="0.3">
      <c r="D2444" s="104"/>
    </row>
    <row r="2445" spans="4:4" x14ac:dyDescent="0.3">
      <c r="D2445" s="104"/>
    </row>
    <row r="2446" spans="4:4" x14ac:dyDescent="0.3">
      <c r="D2446" s="104"/>
    </row>
    <row r="2447" spans="4:4" x14ac:dyDescent="0.3">
      <c r="D2447" s="104"/>
    </row>
    <row r="2448" spans="4:4" x14ac:dyDescent="0.3">
      <c r="D2448" s="104"/>
    </row>
    <row r="2449" spans="4:4" x14ac:dyDescent="0.3">
      <c r="D2449" s="104"/>
    </row>
    <row r="2450" spans="4:4" x14ac:dyDescent="0.3">
      <c r="D2450" s="104"/>
    </row>
    <row r="2451" spans="4:4" x14ac:dyDescent="0.3">
      <c r="D2451" s="104"/>
    </row>
    <row r="2452" spans="4:4" x14ac:dyDescent="0.3">
      <c r="D2452" s="104"/>
    </row>
    <row r="2453" spans="4:4" x14ac:dyDescent="0.3">
      <c r="D2453" s="104"/>
    </row>
    <row r="2454" spans="4:4" x14ac:dyDescent="0.3">
      <c r="D2454" s="104"/>
    </row>
    <row r="2455" spans="4:4" x14ac:dyDescent="0.3">
      <c r="D2455" s="104"/>
    </row>
    <row r="2456" spans="4:4" x14ac:dyDescent="0.3">
      <c r="D2456" s="104"/>
    </row>
    <row r="2457" spans="4:4" x14ac:dyDescent="0.3">
      <c r="D2457" s="104"/>
    </row>
    <row r="2458" spans="4:4" x14ac:dyDescent="0.3">
      <c r="D2458" s="104"/>
    </row>
    <row r="2459" spans="4:4" x14ac:dyDescent="0.3">
      <c r="D2459" s="104"/>
    </row>
    <row r="2460" spans="4:4" x14ac:dyDescent="0.3">
      <c r="D2460" s="104"/>
    </row>
    <row r="2461" spans="4:4" x14ac:dyDescent="0.3">
      <c r="D2461" s="104"/>
    </row>
    <row r="2462" spans="4:4" x14ac:dyDescent="0.3">
      <c r="D2462" s="104"/>
    </row>
    <row r="2463" spans="4:4" x14ac:dyDescent="0.3">
      <c r="D2463" s="104"/>
    </row>
    <row r="2464" spans="4:4" x14ac:dyDescent="0.3">
      <c r="D2464" s="104"/>
    </row>
    <row r="2465" spans="4:4" x14ac:dyDescent="0.3">
      <c r="D2465" s="104"/>
    </row>
    <row r="2466" spans="4:4" x14ac:dyDescent="0.3">
      <c r="D2466" s="104"/>
    </row>
    <row r="2467" spans="4:4" x14ac:dyDescent="0.3">
      <c r="D2467" s="104"/>
    </row>
    <row r="2468" spans="4:4" x14ac:dyDescent="0.3">
      <c r="D2468" s="104"/>
    </row>
    <row r="2469" spans="4:4" x14ac:dyDescent="0.3">
      <c r="D2469" s="104"/>
    </row>
    <row r="2470" spans="4:4" x14ac:dyDescent="0.3">
      <c r="D2470" s="104"/>
    </row>
    <row r="2471" spans="4:4" x14ac:dyDescent="0.3">
      <c r="D2471" s="104"/>
    </row>
    <row r="2472" spans="4:4" x14ac:dyDescent="0.3">
      <c r="D2472" s="104"/>
    </row>
    <row r="2473" spans="4:4" x14ac:dyDescent="0.3">
      <c r="D2473" s="104"/>
    </row>
    <row r="2474" spans="4:4" x14ac:dyDescent="0.3">
      <c r="D2474" s="104"/>
    </row>
    <row r="2475" spans="4:4" x14ac:dyDescent="0.3">
      <c r="D2475" s="104"/>
    </row>
    <row r="2476" spans="4:4" x14ac:dyDescent="0.3">
      <c r="D2476" s="104"/>
    </row>
    <row r="2477" spans="4:4" x14ac:dyDescent="0.3">
      <c r="D2477" s="104"/>
    </row>
    <row r="2478" spans="4:4" x14ac:dyDescent="0.3">
      <c r="D2478" s="104"/>
    </row>
    <row r="2479" spans="4:4" x14ac:dyDescent="0.3">
      <c r="D2479" s="104"/>
    </row>
    <row r="2480" spans="4:4" x14ac:dyDescent="0.3">
      <c r="D2480" s="104"/>
    </row>
    <row r="2481" spans="4:4" x14ac:dyDescent="0.3">
      <c r="D2481" s="104"/>
    </row>
    <row r="2482" spans="4:4" x14ac:dyDescent="0.3">
      <c r="D2482" s="104"/>
    </row>
    <row r="2483" spans="4:4" x14ac:dyDescent="0.3">
      <c r="D2483" s="104"/>
    </row>
    <row r="2484" spans="4:4" x14ac:dyDescent="0.3">
      <c r="D2484" s="104"/>
    </row>
    <row r="2485" spans="4:4" x14ac:dyDescent="0.3">
      <c r="D2485" s="104"/>
    </row>
    <row r="2486" spans="4:4" x14ac:dyDescent="0.3">
      <c r="D2486" s="104"/>
    </row>
    <row r="2487" spans="4:4" x14ac:dyDescent="0.3">
      <c r="D2487" s="104"/>
    </row>
    <row r="2488" spans="4:4" x14ac:dyDescent="0.3">
      <c r="D2488" s="104"/>
    </row>
    <row r="2489" spans="4:4" x14ac:dyDescent="0.3">
      <c r="D2489" s="104"/>
    </row>
    <row r="2490" spans="4:4" x14ac:dyDescent="0.3">
      <c r="D2490" s="104"/>
    </row>
    <row r="2491" spans="4:4" x14ac:dyDescent="0.3">
      <c r="D2491" s="104"/>
    </row>
    <row r="2492" spans="4:4" x14ac:dyDescent="0.3">
      <c r="D2492" s="104"/>
    </row>
    <row r="2493" spans="4:4" x14ac:dyDescent="0.3">
      <c r="D2493" s="104"/>
    </row>
    <row r="2494" spans="4:4" x14ac:dyDescent="0.3">
      <c r="D2494" s="104"/>
    </row>
    <row r="2495" spans="4:4" x14ac:dyDescent="0.3">
      <c r="D2495" s="104"/>
    </row>
    <row r="2496" spans="4:4" x14ac:dyDescent="0.3">
      <c r="D2496" s="104"/>
    </row>
    <row r="2497" spans="4:4" x14ac:dyDescent="0.3">
      <c r="D2497" s="104"/>
    </row>
    <row r="2498" spans="4:4" x14ac:dyDescent="0.3">
      <c r="D2498" s="104"/>
    </row>
    <row r="2499" spans="4:4" x14ac:dyDescent="0.3">
      <c r="D2499" s="104"/>
    </row>
    <row r="2500" spans="4:4" x14ac:dyDescent="0.3">
      <c r="D2500" s="104"/>
    </row>
    <row r="2501" spans="4:4" x14ac:dyDescent="0.3">
      <c r="D2501" s="104"/>
    </row>
    <row r="2502" spans="4:4" x14ac:dyDescent="0.3">
      <c r="D2502" s="104"/>
    </row>
    <row r="2503" spans="4:4" x14ac:dyDescent="0.3">
      <c r="D2503" s="104"/>
    </row>
    <row r="2504" spans="4:4" x14ac:dyDescent="0.3">
      <c r="D2504" s="104"/>
    </row>
    <row r="2505" spans="4:4" x14ac:dyDescent="0.3">
      <c r="D2505" s="104"/>
    </row>
    <row r="2506" spans="4:4" x14ac:dyDescent="0.3">
      <c r="D2506" s="104"/>
    </row>
    <row r="2507" spans="4:4" x14ac:dyDescent="0.3">
      <c r="D2507" s="104"/>
    </row>
    <row r="2508" spans="4:4" x14ac:dyDescent="0.3">
      <c r="D2508" s="104"/>
    </row>
    <row r="2509" spans="4:4" x14ac:dyDescent="0.3">
      <c r="D2509" s="104"/>
    </row>
    <row r="2510" spans="4:4" x14ac:dyDescent="0.3">
      <c r="D2510" s="104"/>
    </row>
    <row r="2511" spans="4:4" x14ac:dyDescent="0.3">
      <c r="D2511" s="104"/>
    </row>
    <row r="2512" spans="4:4" x14ac:dyDescent="0.3">
      <c r="D2512" s="104"/>
    </row>
    <row r="2513" spans="4:4" x14ac:dyDescent="0.3">
      <c r="D2513" s="104"/>
    </row>
    <row r="2514" spans="4:4" x14ac:dyDescent="0.3">
      <c r="D2514" s="104"/>
    </row>
    <row r="2515" spans="4:4" x14ac:dyDescent="0.3">
      <c r="D2515" s="104"/>
    </row>
    <row r="2516" spans="4:4" x14ac:dyDescent="0.3">
      <c r="D2516" s="104"/>
    </row>
    <row r="2517" spans="4:4" x14ac:dyDescent="0.3">
      <c r="D2517" s="104"/>
    </row>
    <row r="2518" spans="4:4" x14ac:dyDescent="0.3">
      <c r="D2518" s="104"/>
    </row>
    <row r="2519" spans="4:4" x14ac:dyDescent="0.3">
      <c r="D2519" s="104"/>
    </row>
    <row r="2520" spans="4:4" x14ac:dyDescent="0.3">
      <c r="D2520" s="104"/>
    </row>
    <row r="2521" spans="4:4" x14ac:dyDescent="0.3">
      <c r="D2521" s="104"/>
    </row>
    <row r="2522" spans="4:4" x14ac:dyDescent="0.3">
      <c r="D2522" s="104"/>
    </row>
    <row r="2523" spans="4:4" x14ac:dyDescent="0.3">
      <c r="D2523" s="104"/>
    </row>
    <row r="2524" spans="4:4" x14ac:dyDescent="0.3">
      <c r="D2524" s="104"/>
    </row>
    <row r="2525" spans="4:4" x14ac:dyDescent="0.3">
      <c r="D2525" s="104"/>
    </row>
    <row r="2526" spans="4:4" x14ac:dyDescent="0.3">
      <c r="D2526" s="104"/>
    </row>
    <row r="2527" spans="4:4" x14ac:dyDescent="0.3">
      <c r="D2527" s="104"/>
    </row>
    <row r="2528" spans="4:4" x14ac:dyDescent="0.3">
      <c r="D2528" s="104"/>
    </row>
    <row r="2529" spans="4:4" x14ac:dyDescent="0.3">
      <c r="D2529" s="104"/>
    </row>
    <row r="2530" spans="4:4" x14ac:dyDescent="0.3">
      <c r="D2530" s="104"/>
    </row>
    <row r="2531" spans="4:4" x14ac:dyDescent="0.3">
      <c r="D2531" s="104"/>
    </row>
    <row r="2532" spans="4:4" x14ac:dyDescent="0.3">
      <c r="D2532" s="104"/>
    </row>
    <row r="2533" spans="4:4" x14ac:dyDescent="0.3">
      <c r="D2533" s="104"/>
    </row>
    <row r="2534" spans="4:4" x14ac:dyDescent="0.3">
      <c r="D2534" s="104"/>
    </row>
    <row r="2535" spans="4:4" x14ac:dyDescent="0.3">
      <c r="D2535" s="104"/>
    </row>
    <row r="2536" spans="4:4" x14ac:dyDescent="0.3">
      <c r="D2536" s="104"/>
    </row>
    <row r="2537" spans="4:4" x14ac:dyDescent="0.3">
      <c r="D2537" s="104"/>
    </row>
    <row r="2538" spans="4:4" x14ac:dyDescent="0.3">
      <c r="D2538" s="104"/>
    </row>
    <row r="2539" spans="4:4" x14ac:dyDescent="0.3">
      <c r="D2539" s="104"/>
    </row>
    <row r="2540" spans="4:4" x14ac:dyDescent="0.3">
      <c r="D2540" s="104"/>
    </row>
    <row r="2541" spans="4:4" x14ac:dyDescent="0.3">
      <c r="D2541" s="104"/>
    </row>
    <row r="2542" spans="4:4" x14ac:dyDescent="0.3">
      <c r="D2542" s="104"/>
    </row>
    <row r="2543" spans="4:4" x14ac:dyDescent="0.3">
      <c r="D2543" s="104"/>
    </row>
    <row r="2544" spans="4:4" x14ac:dyDescent="0.3">
      <c r="D2544" s="104"/>
    </row>
    <row r="2545" spans="4:4" x14ac:dyDescent="0.3">
      <c r="D2545" s="104"/>
    </row>
    <row r="2546" spans="4:4" x14ac:dyDescent="0.3">
      <c r="D2546" s="104"/>
    </row>
    <row r="2547" spans="4:4" x14ac:dyDescent="0.3">
      <c r="D2547" s="104"/>
    </row>
    <row r="2548" spans="4:4" x14ac:dyDescent="0.3">
      <c r="D2548" s="104"/>
    </row>
    <row r="2549" spans="4:4" x14ac:dyDescent="0.3">
      <c r="D2549" s="104"/>
    </row>
    <row r="2550" spans="4:4" x14ac:dyDescent="0.3">
      <c r="D2550" s="104"/>
    </row>
    <row r="2551" spans="4:4" x14ac:dyDescent="0.3">
      <c r="D2551" s="104"/>
    </row>
    <row r="2552" spans="4:4" x14ac:dyDescent="0.3">
      <c r="D2552" s="104"/>
    </row>
    <row r="2553" spans="4:4" x14ac:dyDescent="0.3">
      <c r="D2553" s="104"/>
    </row>
    <row r="2554" spans="4:4" x14ac:dyDescent="0.3">
      <c r="D2554" s="104"/>
    </row>
    <row r="2555" spans="4:4" x14ac:dyDescent="0.3">
      <c r="D2555" s="104"/>
    </row>
    <row r="2556" spans="4:4" x14ac:dyDescent="0.3">
      <c r="D2556" s="104"/>
    </row>
    <row r="2557" spans="4:4" x14ac:dyDescent="0.3">
      <c r="D2557" s="104"/>
    </row>
    <row r="2558" spans="4:4" x14ac:dyDescent="0.3">
      <c r="D2558" s="104"/>
    </row>
    <row r="2559" spans="4:4" x14ac:dyDescent="0.3">
      <c r="D2559" s="104"/>
    </row>
    <row r="2560" spans="4:4" x14ac:dyDescent="0.3">
      <c r="D2560" s="104"/>
    </row>
    <row r="2561" spans="4:4" x14ac:dyDescent="0.3">
      <c r="D2561" s="104"/>
    </row>
    <row r="2562" spans="4:4" x14ac:dyDescent="0.3">
      <c r="D2562" s="104"/>
    </row>
    <row r="2563" spans="4:4" x14ac:dyDescent="0.3">
      <c r="D2563" s="104"/>
    </row>
    <row r="2564" spans="4:4" x14ac:dyDescent="0.3">
      <c r="D2564" s="104"/>
    </row>
    <row r="2565" spans="4:4" x14ac:dyDescent="0.3">
      <c r="D2565" s="104"/>
    </row>
    <row r="2566" spans="4:4" x14ac:dyDescent="0.3">
      <c r="D2566" s="104"/>
    </row>
    <row r="2567" spans="4:4" x14ac:dyDescent="0.3">
      <c r="D2567" s="104"/>
    </row>
    <row r="2568" spans="4:4" x14ac:dyDescent="0.3">
      <c r="D2568" s="104"/>
    </row>
    <row r="2569" spans="4:4" x14ac:dyDescent="0.3">
      <c r="D2569" s="104"/>
    </row>
    <row r="2570" spans="4:4" x14ac:dyDescent="0.3">
      <c r="D2570" s="104"/>
    </row>
    <row r="2571" spans="4:4" x14ac:dyDescent="0.3">
      <c r="D2571" s="104"/>
    </row>
    <row r="2572" spans="4:4" x14ac:dyDescent="0.3">
      <c r="D2572" s="104"/>
    </row>
    <row r="2573" spans="4:4" x14ac:dyDescent="0.3">
      <c r="D2573" s="104"/>
    </row>
    <row r="2574" spans="4:4" x14ac:dyDescent="0.3">
      <c r="D2574" s="104"/>
    </row>
    <row r="2575" spans="4:4" x14ac:dyDescent="0.3">
      <c r="D2575" s="104"/>
    </row>
    <row r="2576" spans="4:4" x14ac:dyDescent="0.3">
      <c r="D2576" s="104"/>
    </row>
    <row r="2577" spans="4:4" x14ac:dyDescent="0.3">
      <c r="D2577" s="104"/>
    </row>
    <row r="2578" spans="4:4" x14ac:dyDescent="0.3">
      <c r="D2578" s="104"/>
    </row>
    <row r="2579" spans="4:4" x14ac:dyDescent="0.3">
      <c r="D2579" s="104"/>
    </row>
    <row r="2580" spans="4:4" x14ac:dyDescent="0.3">
      <c r="D2580" s="104"/>
    </row>
    <row r="2581" spans="4:4" x14ac:dyDescent="0.3">
      <c r="D2581" s="104"/>
    </row>
    <row r="2582" spans="4:4" x14ac:dyDescent="0.3">
      <c r="D2582" s="104"/>
    </row>
    <row r="2583" spans="4:4" x14ac:dyDescent="0.3">
      <c r="D2583" s="104"/>
    </row>
    <row r="2584" spans="4:4" x14ac:dyDescent="0.3">
      <c r="D2584" s="104"/>
    </row>
    <row r="2585" spans="4:4" x14ac:dyDescent="0.3">
      <c r="D2585" s="104"/>
    </row>
    <row r="2586" spans="4:4" x14ac:dyDescent="0.3">
      <c r="D2586" s="104"/>
    </row>
    <row r="2587" spans="4:4" x14ac:dyDescent="0.3">
      <c r="D2587" s="104"/>
    </row>
    <row r="2588" spans="4:4" x14ac:dyDescent="0.3">
      <c r="D2588" s="104"/>
    </row>
    <row r="2589" spans="4:4" x14ac:dyDescent="0.3">
      <c r="D2589" s="104"/>
    </row>
    <row r="2590" spans="4:4" x14ac:dyDescent="0.3">
      <c r="D2590" s="104"/>
    </row>
    <row r="2591" spans="4:4" x14ac:dyDescent="0.3">
      <c r="D2591" s="104"/>
    </row>
    <row r="2592" spans="4:4" x14ac:dyDescent="0.3">
      <c r="D2592" s="104"/>
    </row>
    <row r="2593" spans="4:4" x14ac:dyDescent="0.3">
      <c r="D2593" s="104"/>
    </row>
    <row r="2594" spans="4:4" x14ac:dyDescent="0.3">
      <c r="D2594" s="104"/>
    </row>
    <row r="2595" spans="4:4" x14ac:dyDescent="0.3">
      <c r="D2595" s="104"/>
    </row>
    <row r="2596" spans="4:4" x14ac:dyDescent="0.3">
      <c r="D2596" s="104"/>
    </row>
    <row r="2597" spans="4:4" x14ac:dyDescent="0.3">
      <c r="D2597" s="104"/>
    </row>
    <row r="2598" spans="4:4" x14ac:dyDescent="0.3">
      <c r="D2598" s="104"/>
    </row>
    <row r="2599" spans="4:4" x14ac:dyDescent="0.3">
      <c r="D2599" s="104"/>
    </row>
    <row r="2600" spans="4:4" x14ac:dyDescent="0.3">
      <c r="D2600" s="104"/>
    </row>
    <row r="2601" spans="4:4" x14ac:dyDescent="0.3">
      <c r="D2601" s="104"/>
    </row>
    <row r="2602" spans="4:4" x14ac:dyDescent="0.3">
      <c r="D2602" s="104"/>
    </row>
    <row r="2603" spans="4:4" x14ac:dyDescent="0.3">
      <c r="D2603" s="104"/>
    </row>
    <row r="2604" spans="4:4" x14ac:dyDescent="0.3">
      <c r="D2604" s="104"/>
    </row>
    <row r="2605" spans="4:4" x14ac:dyDescent="0.3">
      <c r="D2605" s="104"/>
    </row>
    <row r="2606" spans="4:4" x14ac:dyDescent="0.3">
      <c r="D2606" s="104"/>
    </row>
    <row r="2607" spans="4:4" x14ac:dyDescent="0.3">
      <c r="D2607" s="104"/>
    </row>
    <row r="2608" spans="4:4" x14ac:dyDescent="0.3">
      <c r="D2608" s="104"/>
    </row>
    <row r="2609" spans="4:4" x14ac:dyDescent="0.3">
      <c r="D2609" s="104"/>
    </row>
    <row r="2610" spans="4:4" x14ac:dyDescent="0.3">
      <c r="D2610" s="104"/>
    </row>
    <row r="2611" spans="4:4" x14ac:dyDescent="0.3">
      <c r="D2611" s="104"/>
    </row>
    <row r="2612" spans="4:4" x14ac:dyDescent="0.3">
      <c r="D2612" s="104"/>
    </row>
    <row r="2613" spans="4:4" x14ac:dyDescent="0.3">
      <c r="D2613" s="104"/>
    </row>
    <row r="2614" spans="4:4" x14ac:dyDescent="0.3">
      <c r="D2614" s="104"/>
    </row>
    <row r="2615" spans="4:4" x14ac:dyDescent="0.3">
      <c r="D2615" s="104"/>
    </row>
    <row r="2616" spans="4:4" x14ac:dyDescent="0.3">
      <c r="D2616" s="104"/>
    </row>
    <row r="2617" spans="4:4" x14ac:dyDescent="0.3">
      <c r="D2617" s="104"/>
    </row>
    <row r="2618" spans="4:4" x14ac:dyDescent="0.3">
      <c r="D2618" s="104"/>
    </row>
    <row r="2619" spans="4:4" x14ac:dyDescent="0.3">
      <c r="D2619" s="104"/>
    </row>
    <row r="2620" spans="4:4" x14ac:dyDescent="0.3">
      <c r="D2620" s="104"/>
    </row>
    <row r="2621" spans="4:4" x14ac:dyDescent="0.3">
      <c r="D2621" s="104"/>
    </row>
    <row r="2622" spans="4:4" x14ac:dyDescent="0.3">
      <c r="D2622" s="104"/>
    </row>
    <row r="2623" spans="4:4" x14ac:dyDescent="0.3">
      <c r="D2623" s="104"/>
    </row>
    <row r="2624" spans="4:4" x14ac:dyDescent="0.3">
      <c r="D2624" s="104"/>
    </row>
    <row r="2625" spans="4:4" x14ac:dyDescent="0.3">
      <c r="D2625" s="104"/>
    </row>
    <row r="2626" spans="4:4" x14ac:dyDescent="0.3">
      <c r="D2626" s="104"/>
    </row>
    <row r="2627" spans="4:4" x14ac:dyDescent="0.3">
      <c r="D2627" s="104"/>
    </row>
    <row r="2628" spans="4:4" x14ac:dyDescent="0.3">
      <c r="D2628" s="104"/>
    </row>
    <row r="2629" spans="4:4" x14ac:dyDescent="0.3">
      <c r="D2629" s="104"/>
    </row>
    <row r="2630" spans="4:4" x14ac:dyDescent="0.3">
      <c r="D2630" s="104"/>
    </row>
    <row r="2631" spans="4:4" x14ac:dyDescent="0.3">
      <c r="D2631" s="104"/>
    </row>
    <row r="2632" spans="4:4" x14ac:dyDescent="0.3">
      <c r="D2632" s="104"/>
    </row>
    <row r="2633" spans="4:4" x14ac:dyDescent="0.3">
      <c r="D2633" s="104"/>
    </row>
    <row r="2634" spans="4:4" x14ac:dyDescent="0.3">
      <c r="D2634" s="104"/>
    </row>
    <row r="2635" spans="4:4" x14ac:dyDescent="0.3">
      <c r="D2635" s="104"/>
    </row>
    <row r="2636" spans="4:4" x14ac:dyDescent="0.3">
      <c r="D2636" s="104"/>
    </row>
    <row r="2637" spans="4:4" x14ac:dyDescent="0.3">
      <c r="D2637" s="104"/>
    </row>
    <row r="2638" spans="4:4" x14ac:dyDescent="0.3">
      <c r="D2638" s="104"/>
    </row>
    <row r="2639" spans="4:4" x14ac:dyDescent="0.3">
      <c r="D2639" s="104"/>
    </row>
    <row r="2640" spans="4:4" x14ac:dyDescent="0.3">
      <c r="D2640" s="104"/>
    </row>
    <row r="2641" spans="4:4" x14ac:dyDescent="0.3">
      <c r="D2641" s="104"/>
    </row>
    <row r="2642" spans="4:4" x14ac:dyDescent="0.3">
      <c r="D2642" s="104"/>
    </row>
    <row r="2643" spans="4:4" x14ac:dyDescent="0.3">
      <c r="D2643" s="104"/>
    </row>
    <row r="2644" spans="4:4" x14ac:dyDescent="0.3">
      <c r="D2644" s="104"/>
    </row>
    <row r="2645" spans="4:4" x14ac:dyDescent="0.3">
      <c r="D2645" s="104"/>
    </row>
    <row r="2646" spans="4:4" x14ac:dyDescent="0.3">
      <c r="D2646" s="104"/>
    </row>
    <row r="2647" spans="4:4" x14ac:dyDescent="0.3">
      <c r="D2647" s="104"/>
    </row>
    <row r="2648" spans="4:4" x14ac:dyDescent="0.3">
      <c r="D2648" s="104"/>
    </row>
    <row r="2649" spans="4:4" x14ac:dyDescent="0.3">
      <c r="D2649" s="104"/>
    </row>
    <row r="2650" spans="4:4" x14ac:dyDescent="0.3">
      <c r="D2650" s="104"/>
    </row>
    <row r="2651" spans="4:4" x14ac:dyDescent="0.3">
      <c r="D2651" s="104"/>
    </row>
    <row r="2652" spans="4:4" x14ac:dyDescent="0.3">
      <c r="D2652" s="104"/>
    </row>
    <row r="2653" spans="4:4" x14ac:dyDescent="0.3">
      <c r="D2653" s="104"/>
    </row>
    <row r="2654" spans="4:4" x14ac:dyDescent="0.3">
      <c r="D2654" s="104"/>
    </row>
    <row r="2655" spans="4:4" x14ac:dyDescent="0.3">
      <c r="D2655" s="104"/>
    </row>
    <row r="2656" spans="4:4" x14ac:dyDescent="0.3">
      <c r="D2656" s="104"/>
    </row>
    <row r="2657" spans="4:4" x14ac:dyDescent="0.3">
      <c r="D2657" s="104"/>
    </row>
    <row r="2658" spans="4:4" x14ac:dyDescent="0.3">
      <c r="D2658" s="104"/>
    </row>
    <row r="2659" spans="4:4" x14ac:dyDescent="0.3">
      <c r="D2659" s="104"/>
    </row>
    <row r="2660" spans="4:4" x14ac:dyDescent="0.3">
      <c r="D2660" s="104"/>
    </row>
    <row r="2661" spans="4:4" x14ac:dyDescent="0.3">
      <c r="D2661" s="104"/>
    </row>
    <row r="2662" spans="4:4" x14ac:dyDescent="0.3">
      <c r="D2662" s="104"/>
    </row>
    <row r="2663" spans="4:4" x14ac:dyDescent="0.3">
      <c r="D2663" s="104"/>
    </row>
    <row r="2664" spans="4:4" x14ac:dyDescent="0.3">
      <c r="D2664" s="104"/>
    </row>
    <row r="2665" spans="4:4" x14ac:dyDescent="0.3">
      <c r="D2665" s="104"/>
    </row>
    <row r="2666" spans="4:4" x14ac:dyDescent="0.3">
      <c r="D2666" s="104"/>
    </row>
    <row r="2667" spans="4:4" x14ac:dyDescent="0.3">
      <c r="D2667" s="104"/>
    </row>
    <row r="2668" spans="4:4" x14ac:dyDescent="0.3">
      <c r="D2668" s="104"/>
    </row>
    <row r="2669" spans="4:4" x14ac:dyDescent="0.3">
      <c r="D2669" s="104"/>
    </row>
    <row r="2670" spans="4:4" x14ac:dyDescent="0.3">
      <c r="D2670" s="104"/>
    </row>
    <row r="2671" spans="4:4" x14ac:dyDescent="0.3">
      <c r="D2671" s="104"/>
    </row>
    <row r="2672" spans="4:4" x14ac:dyDescent="0.3">
      <c r="D2672" s="104"/>
    </row>
    <row r="2673" spans="4:4" x14ac:dyDescent="0.3">
      <c r="D2673" s="104"/>
    </row>
    <row r="2674" spans="4:4" x14ac:dyDescent="0.3">
      <c r="D2674" s="104"/>
    </row>
    <row r="2675" spans="4:4" x14ac:dyDescent="0.3">
      <c r="D2675" s="104"/>
    </row>
    <row r="2676" spans="4:4" x14ac:dyDescent="0.3">
      <c r="D2676" s="104"/>
    </row>
  </sheetData>
  <protectedRanges>
    <protectedRange sqref="B4:E317" name="Rango3"/>
    <protectedRange sqref="J5:K7" name="Rango2"/>
  </protectedRanges>
  <mergeCells count="1">
    <mergeCell ref="B2:E2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A443-D878-40F1-A100-915BBA5C4658}">
  <sheetPr codeName="Hoja3">
    <pageSetUpPr fitToPage="1"/>
  </sheetPr>
  <dimension ref="B1:N272"/>
  <sheetViews>
    <sheetView workbookViewId="0">
      <pane ySplit="4" topLeftCell="A5" activePane="bottomLeft" state="frozen"/>
      <selection pane="bottomLeft" activeCell="D1" sqref="D1"/>
    </sheetView>
  </sheetViews>
  <sheetFormatPr baseColWidth="10" defaultColWidth="11.5546875" defaultRowHeight="14.4" x14ac:dyDescent="0.3"/>
  <cols>
    <col min="1" max="1" width="11.5546875" style="105"/>
    <col min="2" max="2" width="27.6640625" style="103" bestFit="1" customWidth="1"/>
    <col min="3" max="3" width="49.6640625" style="105" customWidth="1"/>
    <col min="4" max="4" width="19" style="105" customWidth="1"/>
    <col min="5" max="5" width="23.6640625" style="103" customWidth="1"/>
    <col min="6" max="6" width="31.6640625" style="103" hidden="1" customWidth="1"/>
    <col min="7" max="13" width="11.5546875" style="105"/>
    <col min="14" max="14" width="29.88671875" style="105" hidden="1" customWidth="1"/>
    <col min="15" max="16384" width="11.5546875" style="105"/>
  </cols>
  <sheetData>
    <row r="1" spans="2:14" x14ac:dyDescent="0.3">
      <c r="C1" s="139"/>
      <c r="D1" s="103"/>
    </row>
    <row r="2" spans="2:14" ht="22.95" customHeight="1" x14ac:dyDescent="0.45">
      <c r="B2" s="164" t="s">
        <v>3</v>
      </c>
      <c r="C2" s="164"/>
      <c r="D2" s="164"/>
      <c r="E2" s="164"/>
      <c r="F2" s="164"/>
    </row>
    <row r="4" spans="2:14" s="116" customFormat="1" ht="28.95" customHeight="1" x14ac:dyDescent="0.3">
      <c r="B4" s="149" t="s">
        <v>1</v>
      </c>
      <c r="C4" s="149" t="s">
        <v>0</v>
      </c>
      <c r="D4" s="150" t="str">
        <f>[1]!'@PERIODO[A]'</f>
        <v>Abril/2026</v>
      </c>
      <c r="E4" s="149" t="s">
        <v>11</v>
      </c>
      <c r="F4" s="141" t="s">
        <v>30</v>
      </c>
      <c r="N4" s="133" t="s">
        <v>15</v>
      </c>
    </row>
    <row r="5" spans="2:14" x14ac:dyDescent="0.3">
      <c r="B5" s="126" t="str">
        <f t="array" ref="B5">IFERROR(INDEX(BD[],_xlfn.AGGREGATE(15,6,IF(BD[CLASIFICACIÓN]=$B$2,ROW(BD[CLASIFICACIÓN])-ROW('PT2 (FILTRAR)'!$E$5)+1,NA()),ROWS($B$5:B5)),COLUMNS($B$5:B5)),"")</f>
        <v>104-006-003</v>
      </c>
      <c r="C5" s="127" t="str">
        <f t="array" ref="C5">IFERROR(INDEX(BD[],_xlfn.AGGREGATE(15,6,IF(BD[CLASIFICACIÓN]=$B$2,ROW(BD[CLASIFICACIÓN])-ROW('PT2 (FILTRAR)'!$E$5)+1,NA()),ROWS($B$5:C5)),COLUMNS($B$5:C5)),"")</f>
        <v>C3-211 ISAAC ZAYATH</v>
      </c>
      <c r="D5" s="142">
        <f t="array" ref="D5">IFERROR(INDEX(BD[],_xlfn.AGGREGATE(15,6,IF(BD[CLASIFICACIÓN]=$B$2,ROW(BD[CLASIFICACIÓN])-ROW('PT2 (FILTRAR)'!$E$5)+1,NA()),ROWS($B$5:D5)),COLUMNS($B$5:D5)),"")</f>
        <v>112266</v>
      </c>
      <c r="E5" s="126" t="str">
        <f t="array" ref="E5">IFERROR(INDEX(BD[],_xlfn.AGGREGATE(15,6,IF(BD[CLASIFICACIÓN]=$B$2,ROW(BD[CLASIFICACIÓN])-ROW('PT2 (FILTRAR)'!$E$5)+1,NA()),ROWS($B$5:E5)),COLUMNS($B$5:E5)),"")</f>
        <v>COBRANZA JUDICIAL</v>
      </c>
      <c r="F5" s="126" t="s">
        <v>24</v>
      </c>
      <c r="N5" s="137" t="s">
        <v>21</v>
      </c>
    </row>
    <row r="6" spans="2:14" x14ac:dyDescent="0.3">
      <c r="B6" s="126" t="str">
        <f t="array" ref="B6">IFERROR(INDEX(BD[],_xlfn.AGGREGATE(15,6,IF(BD[CLASIFICACIÓN]=$B$2,ROW(BD[CLASIFICACIÓN])-ROW('PT2 (FILTRAR)'!$E$5)+1,NA()),ROWS($B$5:B6)),COLUMNS($B$5:B6)),"")</f>
        <v>104-002-047</v>
      </c>
      <c r="C6" s="127" t="str">
        <f t="array" ref="C6">IFERROR(INDEX(BD[],_xlfn.AGGREGATE(15,6,IF(BD[CLASIFICACIÓN]=$B$2,ROW(BD[CLASIFICACIÓN])-ROW('PT2 (FILTRAR)'!$E$5)+1,NA()),ROWS($B$5:C6)),COLUMNS($B$5:C6)),"")</f>
        <v>O1-2403 SCOTIABANK INVERLAT S.A.</v>
      </c>
      <c r="D6" s="142">
        <f t="array" ref="D6">IFERROR(INDEX(BD[],_xlfn.AGGREGATE(15,6,IF(BD[CLASIFICACIÓN]=$B$2,ROW(BD[CLASIFICACIÓN])-ROW('PT2 (FILTRAR)'!$E$5)+1,NA()),ROWS($B$5:D6)),COLUMNS($B$5:D6)),"")</f>
        <v>180472</v>
      </c>
      <c r="E6" s="126" t="str">
        <f t="array" ref="E6">IFERROR(INDEX(BD[],_xlfn.AGGREGATE(15,6,IF(BD[CLASIFICACIÓN]=$B$2,ROW(BD[CLASIFICACIÓN])-ROW('PT2 (FILTRAR)'!$E$5)+1,NA()),ROWS($B$5:E6)),COLUMNS($B$5:E6)),"")</f>
        <v>COBRANZA JUDICIAL</v>
      </c>
      <c r="F6" s="126" t="s">
        <v>21</v>
      </c>
      <c r="N6" s="137" t="s">
        <v>24</v>
      </c>
    </row>
    <row r="7" spans="2:14" x14ac:dyDescent="0.3">
      <c r="B7" s="126" t="str">
        <f t="array" ref="B7">IFERROR(INDEX(BD[],_xlfn.AGGREGATE(15,6,IF(BD[CLASIFICACIÓN]=$B$2,ROW(BD[CLASIFICACIÓN])-ROW('PT2 (FILTRAR)'!$E$5)+1,NA()),ROWS($B$5:B7)),COLUMNS($B$5:B7)),"")</f>
        <v>104-003-019</v>
      </c>
      <c r="C7" s="127" t="str">
        <f t="array" ref="C7">IFERROR(INDEX(BD[],_xlfn.AGGREGATE(15,6,IF(BD[CLASIFICACIÓN]=$B$2,ROW(BD[CLASIFICACIÓN])-ROW('PT2 (FILTRAR)'!$E$5)+1,NA()),ROWS($B$5:C7)),COLUMNS($B$5:C7)),"")</f>
        <v>O2-1005 JOSE SACAL</v>
      </c>
      <c r="D7" s="142">
        <f t="array" ref="D7">IFERROR(INDEX(BD[],_xlfn.AGGREGATE(15,6,IF(BD[CLASIFICACIÓN]=$B$2,ROW(BD[CLASIFICACIÓN])-ROW('PT2 (FILTRAR)'!$E$5)+1,NA()),ROWS($B$5:D7)),COLUMNS($B$5:D7)),"")</f>
        <v>93327.999999999971</v>
      </c>
      <c r="E7" s="126" t="str">
        <f t="array" ref="E7">IFERROR(INDEX(BD[],_xlfn.AGGREGATE(15,6,IF(BD[CLASIFICACIÓN]=$B$2,ROW(BD[CLASIFICACIÓN])-ROW('PT2 (FILTRAR)'!$E$5)+1,NA()),ROWS($B$5:E7)),COLUMNS($B$5:E7)),"")</f>
        <v>COBRANZA JUDICIAL</v>
      </c>
      <c r="F7" s="126" t="s">
        <v>21</v>
      </c>
      <c r="N7" s="137" t="s">
        <v>25</v>
      </c>
    </row>
    <row r="8" spans="2:14" x14ac:dyDescent="0.3">
      <c r="B8" s="126" t="str">
        <f t="array" ref="B8">IFERROR(INDEX(BD[],_xlfn.AGGREGATE(15,6,IF(BD[CLASIFICACIÓN]=$B$2,ROW(BD[CLASIFICACIÓN])-ROW('PT2 (FILTRAR)'!$E$5)+1,NA()),ROWS($B$5:B8)),COLUMNS($B$5:B8)),"")</f>
        <v/>
      </c>
      <c r="C8" s="127" t="str">
        <f t="array" ref="C8">IFERROR(INDEX(BD[],_xlfn.AGGREGATE(15,6,IF(BD[CLASIFICACIÓN]=$B$2,ROW(BD[CLASIFICACIÓN])-ROW('PT2 (FILTRAR)'!$E$5)+1,NA()),ROWS($B$5:C8)),COLUMNS($B$5:C8)),"")</f>
        <v/>
      </c>
      <c r="D8" s="142" t="str">
        <f t="array" ref="D8">IFERROR(INDEX(BD[],_xlfn.AGGREGATE(15,6,IF(BD[CLASIFICACIÓN]=$B$2,ROW(BD[CLASIFICACIÓN])-ROW('PT2 (FILTRAR)'!$E$5)+1,NA()),ROWS($B$5:D8)),COLUMNS($B$5:D8)),"")</f>
        <v/>
      </c>
      <c r="E8" s="126" t="str">
        <f t="array" ref="E8">IFERROR(INDEX(BD[],_xlfn.AGGREGATE(15,6,IF(BD[CLASIFICACIÓN]=$B$2,ROW(BD[CLASIFICACIÓN])-ROW('PT2 (FILTRAR)'!$E$5)+1,NA()),ROWS($B$5:E8)),COLUMNS($B$5:E8)),"")</f>
        <v/>
      </c>
      <c r="F8" s="126" t="s">
        <v>21</v>
      </c>
      <c r="N8" s="137" t="s">
        <v>26</v>
      </c>
    </row>
    <row r="9" spans="2:14" x14ac:dyDescent="0.3">
      <c r="B9" s="126" t="str">
        <f t="array" ref="B9">IFERROR(INDEX(BD[],_xlfn.AGGREGATE(15,6,IF(BD[CLASIFICACIÓN]=$B$2,ROW(BD[CLASIFICACIÓN])-ROW('PT2 (FILTRAR)'!$E$5)+1,NA()),ROWS($B$5:B9)),COLUMNS($B$5:B9)),"")</f>
        <v/>
      </c>
      <c r="C9" s="127" t="str">
        <f t="array" ref="C9">IFERROR(INDEX(BD[],_xlfn.AGGREGATE(15,6,IF(BD[CLASIFICACIÓN]=$B$2,ROW(BD[CLASIFICACIÓN])-ROW('PT2 (FILTRAR)'!$E$5)+1,NA()),ROWS($B$5:C9)),COLUMNS($B$5:C9)),"")</f>
        <v/>
      </c>
      <c r="D9" s="142" t="str">
        <f t="array" ref="D9">IFERROR(INDEX(BD[],_xlfn.AGGREGATE(15,6,IF(BD[CLASIFICACIÓN]=$B$2,ROW(BD[CLASIFICACIÓN])-ROW('PT2 (FILTRAR)'!$E$5)+1,NA()),ROWS($B$5:D9)),COLUMNS($B$5:D9)),"")</f>
        <v/>
      </c>
      <c r="E9" s="126" t="str">
        <f t="array" ref="E9">IFERROR(INDEX(BD[],_xlfn.AGGREGATE(15,6,IF(BD[CLASIFICACIÓN]=$B$2,ROW(BD[CLASIFICACIÓN])-ROW('PT2 (FILTRAR)'!$E$5)+1,NA()),ROWS($B$5:E9)),COLUMNS($B$5:E9)),"")</f>
        <v/>
      </c>
      <c r="F9" s="126" t="s">
        <v>21</v>
      </c>
      <c r="N9" s="137" t="s">
        <v>27</v>
      </c>
    </row>
    <row r="10" spans="2:14" x14ac:dyDescent="0.3">
      <c r="B10" s="126" t="str">
        <f t="array" ref="B10">IFERROR(INDEX(BD[],_xlfn.AGGREGATE(15,6,IF(BD[CLASIFICACIÓN]=$B$2,ROW(BD[CLASIFICACIÓN])-ROW('PT2 (FILTRAR)'!$E$5)+1,NA()),ROWS($B$5:B10)),COLUMNS($B$5:B10)),"")</f>
        <v/>
      </c>
      <c r="C10" s="127" t="str">
        <f t="array" ref="C10">IFERROR(INDEX(BD[],_xlfn.AGGREGATE(15,6,IF(BD[CLASIFICACIÓN]=$B$2,ROW(BD[CLASIFICACIÓN])-ROW('PT2 (FILTRAR)'!$E$5)+1,NA()),ROWS($B$5:C10)),COLUMNS($B$5:C10)),"")</f>
        <v/>
      </c>
      <c r="D10" s="142" t="str">
        <f t="array" ref="D10">IFERROR(INDEX(BD[],_xlfn.AGGREGATE(15,6,IF(BD[CLASIFICACIÓN]=$B$2,ROW(BD[CLASIFICACIÓN])-ROW('PT2 (FILTRAR)'!$E$5)+1,NA()),ROWS($B$5:D10)),COLUMNS($B$5:D10)),"")</f>
        <v/>
      </c>
      <c r="E10" s="126" t="str">
        <f t="array" ref="E10">IFERROR(INDEX(BD[],_xlfn.AGGREGATE(15,6,IF(BD[CLASIFICACIÓN]=$B$2,ROW(BD[CLASIFICACIÓN])-ROW('PT2 (FILTRAR)'!$E$5)+1,NA()),ROWS($B$5:E10)),COLUMNS($B$5:E10)),"")</f>
        <v/>
      </c>
      <c r="F10" s="126" t="s">
        <v>21</v>
      </c>
      <c r="N10" s="137" t="s">
        <v>28</v>
      </c>
    </row>
    <row r="11" spans="2:14" x14ac:dyDescent="0.3">
      <c r="B11" s="126" t="str">
        <f t="array" ref="B11">IFERROR(INDEX(BD[],_xlfn.AGGREGATE(15,6,IF(BD[CLASIFICACIÓN]=$B$2,ROW(BD[CLASIFICACIÓN])-ROW('PT2 (FILTRAR)'!$E$5)+1,NA()),ROWS($B$5:B11)),COLUMNS($B$5:B11)),"")</f>
        <v/>
      </c>
      <c r="C11" s="127" t="str">
        <f t="array" ref="C11">IFERROR(INDEX(BD[],_xlfn.AGGREGATE(15,6,IF(BD[CLASIFICACIÓN]=$B$2,ROW(BD[CLASIFICACIÓN])-ROW('PT2 (FILTRAR)'!$E$5)+1,NA()),ROWS($B$5:C11)),COLUMNS($B$5:C11)),"")</f>
        <v/>
      </c>
      <c r="D11" s="142" t="str">
        <f t="array" ref="D11">IFERROR(INDEX(BD[],_xlfn.AGGREGATE(15,6,IF(BD[CLASIFICACIÓN]=$B$2,ROW(BD[CLASIFICACIÓN])-ROW('PT2 (FILTRAR)'!$E$5)+1,NA()),ROWS($B$5:D11)),COLUMNS($B$5:D11)),"")</f>
        <v/>
      </c>
      <c r="E11" s="126" t="str">
        <f t="array" ref="E11">IFERROR(INDEX(BD[],_xlfn.AGGREGATE(15,6,IF(BD[CLASIFICACIÓN]=$B$2,ROW(BD[CLASIFICACIÓN])-ROW('PT2 (FILTRAR)'!$E$5)+1,NA()),ROWS($B$5:E11)),COLUMNS($B$5:E11)),"")</f>
        <v/>
      </c>
      <c r="F11" s="126" t="s">
        <v>21</v>
      </c>
      <c r="N11" s="137" t="s">
        <v>29</v>
      </c>
    </row>
    <row r="12" spans="2:14" x14ac:dyDescent="0.3">
      <c r="B12" s="126" t="str">
        <f t="array" ref="B12">IFERROR(INDEX(BD[],_xlfn.AGGREGATE(15,6,IF(BD[CLASIFICACIÓN]=$B$2,ROW(BD[CLASIFICACIÓN])-ROW('PT2 (FILTRAR)'!$E$5)+1,NA()),ROWS($B$5:B12)),COLUMNS($B$5:B12)),"")</f>
        <v/>
      </c>
      <c r="C12" s="127" t="str">
        <f t="array" ref="C12">IFERROR(INDEX(BD[],_xlfn.AGGREGATE(15,6,IF(BD[CLASIFICACIÓN]=$B$2,ROW(BD[CLASIFICACIÓN])-ROW('PT2 (FILTRAR)'!$E$5)+1,NA()),ROWS($B$5:C12)),COLUMNS($B$5:C12)),"")</f>
        <v/>
      </c>
      <c r="D12" s="142" t="str">
        <f t="array" ref="D12">IFERROR(INDEX(BD[],_xlfn.AGGREGATE(15,6,IF(BD[CLASIFICACIÓN]=$B$2,ROW(BD[CLASIFICACIÓN])-ROW('PT2 (FILTRAR)'!$E$5)+1,NA()),ROWS($B$5:D12)),COLUMNS($B$5:D12)),"")</f>
        <v/>
      </c>
      <c r="E12" s="126" t="str">
        <f t="array" ref="E12">IFERROR(INDEX(BD[],_xlfn.AGGREGATE(15,6,IF(BD[CLASIFICACIÓN]=$B$2,ROW(BD[CLASIFICACIÓN])-ROW('PT2 (FILTRAR)'!$E$5)+1,NA()),ROWS($B$5:E12)),COLUMNS($B$5:E12)),"")</f>
        <v/>
      </c>
      <c r="F12" s="126" t="s">
        <v>21</v>
      </c>
      <c r="N12" s="137" t="s">
        <v>34</v>
      </c>
    </row>
    <row r="13" spans="2:14" x14ac:dyDescent="0.3">
      <c r="B13" s="126" t="str">
        <f t="array" ref="B13">IFERROR(INDEX(BD[],_xlfn.AGGREGATE(15,6,IF(BD[CLASIFICACIÓN]=$B$2,ROW(BD[CLASIFICACIÓN])-ROW('PT2 (FILTRAR)'!$E$5)+1,NA()),ROWS($B$5:B13)),COLUMNS($B$5:B13)),"")</f>
        <v/>
      </c>
      <c r="C13" s="127" t="str">
        <f t="array" ref="C13">IFERROR(INDEX(BD[],_xlfn.AGGREGATE(15,6,IF(BD[CLASIFICACIÓN]=$B$2,ROW(BD[CLASIFICACIÓN])-ROW('PT2 (FILTRAR)'!$E$5)+1,NA()),ROWS($B$5:C13)),COLUMNS($B$5:C13)),"")</f>
        <v/>
      </c>
      <c r="D13" s="142" t="str">
        <f t="array" ref="D13">IFERROR(INDEX(BD[],_xlfn.AGGREGATE(15,6,IF(BD[CLASIFICACIÓN]=$B$2,ROW(BD[CLASIFICACIÓN])-ROW('PT2 (FILTRAR)'!$E$5)+1,NA()),ROWS($B$5:D13)),COLUMNS($B$5:D13)),"")</f>
        <v/>
      </c>
      <c r="E13" s="126" t="str">
        <f t="array" ref="E13">IFERROR(INDEX(BD[],_xlfn.AGGREGATE(15,6,IF(BD[CLASIFICACIÓN]=$B$2,ROW(BD[CLASIFICACIÓN])-ROW('PT2 (FILTRAR)'!$E$5)+1,NA()),ROWS($B$5:E13)),COLUMNS($B$5:E13)),"")</f>
        <v/>
      </c>
      <c r="F13" s="126" t="s">
        <v>21</v>
      </c>
    </row>
    <row r="14" spans="2:14" x14ac:dyDescent="0.3">
      <c r="B14" s="126" t="str">
        <f t="array" ref="B14">IFERROR(INDEX(BD[],_xlfn.AGGREGATE(15,6,IF(BD[CLASIFICACIÓN]=$B$2,ROW(BD[CLASIFICACIÓN])-ROW('PT2 (FILTRAR)'!$E$5)+1,NA()),ROWS($B$5:B14)),COLUMNS($B$5:B14)),"")</f>
        <v/>
      </c>
      <c r="C14" s="127" t="str">
        <f t="array" ref="C14">IFERROR(INDEX(BD[],_xlfn.AGGREGATE(15,6,IF(BD[CLASIFICACIÓN]=$B$2,ROW(BD[CLASIFICACIÓN])-ROW('PT2 (FILTRAR)'!$E$5)+1,NA()),ROWS($B$5:C14)),COLUMNS($B$5:C14)),"")</f>
        <v/>
      </c>
      <c r="D14" s="142" t="str">
        <f t="array" ref="D14">IFERROR(INDEX(BD[],_xlfn.AGGREGATE(15,6,IF(BD[CLASIFICACIÓN]=$B$2,ROW(BD[CLASIFICACIÓN])-ROW('PT2 (FILTRAR)'!$E$5)+1,NA()),ROWS($B$5:D14)),COLUMNS($B$5:D14)),"")</f>
        <v/>
      </c>
      <c r="E14" s="126" t="str">
        <f t="array" ref="E14">IFERROR(INDEX(BD[],_xlfn.AGGREGATE(15,6,IF(BD[CLASIFICACIÓN]=$B$2,ROW(BD[CLASIFICACIÓN])-ROW('PT2 (FILTRAR)'!$E$5)+1,NA()),ROWS($B$5:E14)),COLUMNS($B$5:E14)),"")</f>
        <v/>
      </c>
      <c r="F14" s="126" t="s">
        <v>21</v>
      </c>
    </row>
    <row r="15" spans="2:14" x14ac:dyDescent="0.3">
      <c r="B15" s="126" t="str">
        <f t="array" ref="B15">IFERROR(INDEX(BD[],_xlfn.AGGREGATE(15,6,IF(BD[CLASIFICACIÓN]=$B$2,ROW(BD[CLASIFICACIÓN])-ROW('PT2 (FILTRAR)'!$E$5)+1,NA()),ROWS($B$5:B15)),COLUMNS($B$5:B15)),"")</f>
        <v/>
      </c>
      <c r="C15" s="127" t="str">
        <f t="array" ref="C15">IFERROR(INDEX(BD[],_xlfn.AGGREGATE(15,6,IF(BD[CLASIFICACIÓN]=$B$2,ROW(BD[CLASIFICACIÓN])-ROW('PT2 (FILTRAR)'!$E$5)+1,NA()),ROWS($B$5:C15)),COLUMNS($B$5:C15)),"")</f>
        <v/>
      </c>
      <c r="D15" s="142" t="str">
        <f t="array" ref="D15">IFERROR(INDEX(BD[],_xlfn.AGGREGATE(15,6,IF(BD[CLASIFICACIÓN]=$B$2,ROW(BD[CLASIFICACIÓN])-ROW('PT2 (FILTRAR)'!$E$5)+1,NA()),ROWS($B$5:D15)),COLUMNS($B$5:D15)),"")</f>
        <v/>
      </c>
      <c r="E15" s="126" t="str">
        <f t="array" ref="E15">IFERROR(INDEX(BD[],_xlfn.AGGREGATE(15,6,IF(BD[CLASIFICACIÓN]=$B$2,ROW(BD[CLASIFICACIÓN])-ROW('PT2 (FILTRAR)'!$E$5)+1,NA()),ROWS($B$5:E15)),COLUMNS($B$5:E15)),"")</f>
        <v/>
      </c>
      <c r="F15" s="126" t="s">
        <v>21</v>
      </c>
    </row>
    <row r="16" spans="2:14" x14ac:dyDescent="0.3">
      <c r="B16" s="126" t="str">
        <f t="array" ref="B16">IFERROR(INDEX(BD[],_xlfn.AGGREGATE(15,6,IF(BD[CLASIFICACIÓN]=$B$2,ROW(BD[CLASIFICACIÓN])-ROW('PT2 (FILTRAR)'!$E$5)+1,NA()),ROWS($B$5:B16)),COLUMNS($B$5:B16)),"")</f>
        <v/>
      </c>
      <c r="C16" s="127" t="str">
        <f t="array" ref="C16">IFERROR(INDEX(BD[],_xlfn.AGGREGATE(15,6,IF(BD[CLASIFICACIÓN]=$B$2,ROW(BD[CLASIFICACIÓN])-ROW('PT2 (FILTRAR)'!$E$5)+1,NA()),ROWS($B$5:C16)),COLUMNS($B$5:C16)),"")</f>
        <v/>
      </c>
      <c r="D16" s="142" t="str">
        <f t="array" ref="D16">IFERROR(INDEX(BD[],_xlfn.AGGREGATE(15,6,IF(BD[CLASIFICACIÓN]=$B$2,ROW(BD[CLASIFICACIÓN])-ROW('PT2 (FILTRAR)'!$E$5)+1,NA()),ROWS($B$5:D16)),COLUMNS($B$5:D16)),"")</f>
        <v/>
      </c>
      <c r="E16" s="126" t="str">
        <f t="array" ref="E16">IFERROR(INDEX(BD[],_xlfn.AGGREGATE(15,6,IF(BD[CLASIFICACIÓN]=$B$2,ROW(BD[CLASIFICACIÓN])-ROW('PT2 (FILTRAR)'!$E$5)+1,NA()),ROWS($B$5:E16)),COLUMNS($B$5:E16)),"")</f>
        <v/>
      </c>
      <c r="F16" s="126" t="s">
        <v>21</v>
      </c>
    </row>
    <row r="17" spans="2:6" x14ac:dyDescent="0.3">
      <c r="B17" s="126" t="str">
        <f t="array" ref="B17">IFERROR(INDEX(BD[],_xlfn.AGGREGATE(15,6,IF(BD[CLASIFICACIÓN]=$B$2,ROW(BD[CLASIFICACIÓN])-ROW('PT2 (FILTRAR)'!$E$5)+1,NA()),ROWS($B$5:B17)),COLUMNS($B$5:B17)),"")</f>
        <v/>
      </c>
      <c r="C17" s="127" t="str">
        <f t="array" ref="C17">IFERROR(INDEX(BD[],_xlfn.AGGREGATE(15,6,IF(BD[CLASIFICACIÓN]=$B$2,ROW(BD[CLASIFICACIÓN])-ROW('PT2 (FILTRAR)'!$E$5)+1,NA()),ROWS($B$5:C17)),COLUMNS($B$5:C17)),"")</f>
        <v/>
      </c>
      <c r="D17" s="142" t="str">
        <f t="array" ref="D17">IFERROR(INDEX(BD[],_xlfn.AGGREGATE(15,6,IF(BD[CLASIFICACIÓN]=$B$2,ROW(BD[CLASIFICACIÓN])-ROW('PT2 (FILTRAR)'!$E$5)+1,NA()),ROWS($B$5:D17)),COLUMNS($B$5:D17)),"")</f>
        <v/>
      </c>
      <c r="E17" s="126" t="str">
        <f t="array" ref="E17">IFERROR(INDEX(BD[],_xlfn.AGGREGATE(15,6,IF(BD[CLASIFICACIÓN]=$B$2,ROW(BD[CLASIFICACIÓN])-ROW('PT2 (FILTRAR)'!$E$5)+1,NA()),ROWS($B$5:E17)),COLUMNS($B$5:E17)),"")</f>
        <v/>
      </c>
      <c r="F17" s="126" t="s">
        <v>21</v>
      </c>
    </row>
    <row r="18" spans="2:6" x14ac:dyDescent="0.3">
      <c r="B18" s="126" t="str">
        <f t="array" ref="B18">IFERROR(INDEX(BD[],_xlfn.AGGREGATE(15,6,IF(BD[CLASIFICACIÓN]=$B$2,ROW(BD[CLASIFICACIÓN])-ROW('PT2 (FILTRAR)'!$E$5)+1,NA()),ROWS($B$5:B18)),COLUMNS($B$5:B18)),"")</f>
        <v/>
      </c>
      <c r="C18" s="127" t="str">
        <f t="array" ref="C18">IFERROR(INDEX(BD[],_xlfn.AGGREGATE(15,6,IF(BD[CLASIFICACIÓN]=$B$2,ROW(BD[CLASIFICACIÓN])-ROW('PT2 (FILTRAR)'!$E$5)+1,NA()),ROWS($B$5:C18)),COLUMNS($B$5:C18)),"")</f>
        <v/>
      </c>
      <c r="D18" s="142" t="str">
        <f t="array" ref="D18">IFERROR(INDEX(BD[],_xlfn.AGGREGATE(15,6,IF(BD[CLASIFICACIÓN]=$B$2,ROW(BD[CLASIFICACIÓN])-ROW('PT2 (FILTRAR)'!$E$5)+1,NA()),ROWS($B$5:D18)),COLUMNS($B$5:D18)),"")</f>
        <v/>
      </c>
      <c r="E18" s="126" t="str">
        <f t="array" ref="E18">IFERROR(INDEX(BD[],_xlfn.AGGREGATE(15,6,IF(BD[CLASIFICACIÓN]=$B$2,ROW(BD[CLASIFICACIÓN])-ROW('PT2 (FILTRAR)'!$E$5)+1,NA()),ROWS($B$5:E18)),COLUMNS($B$5:E18)),"")</f>
        <v/>
      </c>
      <c r="F18" s="126" t="s">
        <v>21</v>
      </c>
    </row>
    <row r="19" spans="2:6" x14ac:dyDescent="0.3">
      <c r="B19" s="126" t="str">
        <f t="array" ref="B19">IFERROR(INDEX(BD[],_xlfn.AGGREGATE(15,6,IF(BD[CLASIFICACIÓN]=$B$2,ROW(BD[CLASIFICACIÓN])-ROW('PT2 (FILTRAR)'!$E$5)+1,NA()),ROWS($B$5:B19)),COLUMNS($B$5:B19)),"")</f>
        <v/>
      </c>
      <c r="C19" s="127" t="str">
        <f t="array" ref="C19">IFERROR(INDEX(BD[],_xlfn.AGGREGATE(15,6,IF(BD[CLASIFICACIÓN]=$B$2,ROW(BD[CLASIFICACIÓN])-ROW('PT2 (FILTRAR)'!$E$5)+1,NA()),ROWS($B$5:C19)),COLUMNS($B$5:C19)),"")</f>
        <v/>
      </c>
      <c r="D19" s="142" t="str">
        <f t="array" ref="D19">IFERROR(INDEX(BD[],_xlfn.AGGREGATE(15,6,IF(BD[CLASIFICACIÓN]=$B$2,ROW(BD[CLASIFICACIÓN])-ROW('PT2 (FILTRAR)'!$E$5)+1,NA()),ROWS($B$5:D19)),COLUMNS($B$5:D19)),"")</f>
        <v/>
      </c>
      <c r="E19" s="126" t="str">
        <f t="array" ref="E19">IFERROR(INDEX(BD[],_xlfn.AGGREGATE(15,6,IF(BD[CLASIFICACIÓN]=$B$2,ROW(BD[CLASIFICACIÓN])-ROW('PT2 (FILTRAR)'!$E$5)+1,NA()),ROWS($B$5:E19)),COLUMNS($B$5:E19)),"")</f>
        <v/>
      </c>
      <c r="F19" s="126" t="s">
        <v>21</v>
      </c>
    </row>
    <row r="20" spans="2:6" x14ac:dyDescent="0.3">
      <c r="B20" s="126" t="str">
        <f t="array" ref="B20">IFERROR(INDEX(BD[],_xlfn.AGGREGATE(15,6,IF(BD[CLASIFICACIÓN]=$B$2,ROW(BD[CLASIFICACIÓN])-ROW('PT2 (FILTRAR)'!$E$5)+1,NA()),ROWS($B$5:B20)),COLUMNS($B$5:B20)),"")</f>
        <v/>
      </c>
      <c r="C20" s="127" t="str">
        <f t="array" ref="C20">IFERROR(INDEX(BD[],_xlfn.AGGREGATE(15,6,IF(BD[CLASIFICACIÓN]=$B$2,ROW(BD[CLASIFICACIÓN])-ROW('PT2 (FILTRAR)'!$E$5)+1,NA()),ROWS($B$5:C20)),COLUMNS($B$5:C20)),"")</f>
        <v/>
      </c>
      <c r="D20" s="142" t="str">
        <f t="array" ref="D20">IFERROR(INDEX(BD[],_xlfn.AGGREGATE(15,6,IF(BD[CLASIFICACIÓN]=$B$2,ROW(BD[CLASIFICACIÓN])-ROW('PT2 (FILTRAR)'!$E$5)+1,NA()),ROWS($B$5:D20)),COLUMNS($B$5:D20)),"")</f>
        <v/>
      </c>
      <c r="E20" s="126" t="str">
        <f t="array" ref="E20">IFERROR(INDEX(BD[],_xlfn.AGGREGATE(15,6,IF(BD[CLASIFICACIÓN]=$B$2,ROW(BD[CLASIFICACIÓN])-ROW('PT2 (FILTRAR)'!$E$5)+1,NA()),ROWS($B$5:E20)),COLUMNS($B$5:E20)),"")</f>
        <v/>
      </c>
      <c r="F20" s="126"/>
    </row>
    <row r="21" spans="2:6" x14ac:dyDescent="0.3">
      <c r="B21" s="126" t="str">
        <f t="array" ref="B21">IFERROR(INDEX(BD[],_xlfn.AGGREGATE(15,6,IF(BD[CLASIFICACIÓN]=$B$2,ROW(BD[CLASIFICACIÓN])-ROW('PT2 (FILTRAR)'!$E$5)+1,NA()),ROWS($B$5:B21)),COLUMNS($B$5:B21)),"")</f>
        <v/>
      </c>
      <c r="C21" s="127" t="str">
        <f t="array" ref="C21">IFERROR(INDEX(BD[],_xlfn.AGGREGATE(15,6,IF(BD[CLASIFICACIÓN]=$B$2,ROW(BD[CLASIFICACIÓN])-ROW('PT2 (FILTRAR)'!$E$5)+1,NA()),ROWS($B$5:C21)),COLUMNS($B$5:C21)),"")</f>
        <v/>
      </c>
      <c r="D21" s="142" t="str">
        <f t="array" ref="D21">IFERROR(INDEX(BD[],_xlfn.AGGREGATE(15,6,IF(BD[CLASIFICACIÓN]=$B$2,ROW(BD[CLASIFICACIÓN])-ROW('PT2 (FILTRAR)'!$E$5)+1,NA()),ROWS($B$5:D21)),COLUMNS($B$5:D21)),"")</f>
        <v/>
      </c>
      <c r="E21" s="126" t="str">
        <f t="array" ref="E21">IFERROR(INDEX(BD[],_xlfn.AGGREGATE(15,6,IF(BD[CLASIFICACIÓN]=$B$2,ROW(BD[CLASIFICACIÓN])-ROW('PT2 (FILTRAR)'!$E$5)+1,NA()),ROWS($B$5:E21)),COLUMNS($B$5:E21)),"")</f>
        <v/>
      </c>
      <c r="F21" s="126"/>
    </row>
    <row r="22" spans="2:6" x14ac:dyDescent="0.3">
      <c r="B22" s="126" t="str">
        <f t="array" ref="B22">IFERROR(INDEX(BD[],_xlfn.AGGREGATE(15,6,IF(BD[CLASIFICACIÓN]=$B$2,ROW(BD[CLASIFICACIÓN])-ROW('PT2 (FILTRAR)'!$E$5)+1,NA()),ROWS($B$5:B22)),COLUMNS($B$5:B22)),"")</f>
        <v/>
      </c>
      <c r="C22" s="127" t="str">
        <f t="array" ref="C22">IFERROR(INDEX(BD[],_xlfn.AGGREGATE(15,6,IF(BD[CLASIFICACIÓN]=$B$2,ROW(BD[CLASIFICACIÓN])-ROW('PT2 (FILTRAR)'!$E$5)+1,NA()),ROWS($B$5:C22)),COLUMNS($B$5:C22)),"")</f>
        <v/>
      </c>
      <c r="D22" s="142" t="str">
        <f t="array" ref="D22">IFERROR(INDEX(BD[],_xlfn.AGGREGATE(15,6,IF(BD[CLASIFICACIÓN]=$B$2,ROW(BD[CLASIFICACIÓN])-ROW('PT2 (FILTRAR)'!$E$5)+1,NA()),ROWS($B$5:D22)),COLUMNS($B$5:D22)),"")</f>
        <v/>
      </c>
      <c r="E22" s="126" t="str">
        <f t="array" ref="E22">IFERROR(INDEX(BD[],_xlfn.AGGREGATE(15,6,IF(BD[CLASIFICACIÓN]=$B$2,ROW(BD[CLASIFICACIÓN])-ROW('PT2 (FILTRAR)'!$E$5)+1,NA()),ROWS($B$5:E22)),COLUMNS($B$5:E22)),"")</f>
        <v/>
      </c>
      <c r="F22" s="126"/>
    </row>
    <row r="23" spans="2:6" x14ac:dyDescent="0.3">
      <c r="B23" s="126" t="str">
        <f t="array" ref="B23">IFERROR(INDEX(BD[],_xlfn.AGGREGATE(15,6,IF(BD[CLASIFICACIÓN]=$B$2,ROW(BD[CLASIFICACIÓN])-ROW('PT2 (FILTRAR)'!$E$5)+1,NA()),ROWS($B$5:B23)),COLUMNS($B$5:B23)),"")</f>
        <v/>
      </c>
      <c r="C23" s="127" t="str">
        <f t="array" ref="C23">IFERROR(INDEX(BD[],_xlfn.AGGREGATE(15,6,IF(BD[CLASIFICACIÓN]=$B$2,ROW(BD[CLASIFICACIÓN])-ROW('PT2 (FILTRAR)'!$E$5)+1,NA()),ROWS($B$5:C23)),COLUMNS($B$5:C23)),"")</f>
        <v/>
      </c>
      <c r="D23" s="142" t="str">
        <f t="array" ref="D23">IFERROR(INDEX(BD[],_xlfn.AGGREGATE(15,6,IF(BD[CLASIFICACIÓN]=$B$2,ROW(BD[CLASIFICACIÓN])-ROW('PT2 (FILTRAR)'!$E$5)+1,NA()),ROWS($B$5:D23)),COLUMNS($B$5:D23)),"")</f>
        <v/>
      </c>
      <c r="E23" s="126" t="str">
        <f t="array" ref="E23">IFERROR(INDEX(BD[],_xlfn.AGGREGATE(15,6,IF(BD[CLASIFICACIÓN]=$B$2,ROW(BD[CLASIFICACIÓN])-ROW('PT2 (FILTRAR)'!$E$5)+1,NA()),ROWS($B$5:E23)),COLUMNS($B$5:E23)),"")</f>
        <v/>
      </c>
      <c r="F23" s="126"/>
    </row>
    <row r="24" spans="2:6" x14ac:dyDescent="0.3">
      <c r="B24" s="126" t="str">
        <f t="array" ref="B24">IFERROR(INDEX(BD[],_xlfn.AGGREGATE(15,6,IF(BD[CLASIFICACIÓN]=$B$2,ROW(BD[CLASIFICACIÓN])-ROW('PT2 (FILTRAR)'!$E$5)+1,NA()),ROWS($B$5:B24)),COLUMNS($B$5:B24)),"")</f>
        <v/>
      </c>
      <c r="C24" s="127" t="str">
        <f t="array" ref="C24">IFERROR(INDEX(BD[],_xlfn.AGGREGATE(15,6,IF(BD[CLASIFICACIÓN]=$B$2,ROW(BD[CLASIFICACIÓN])-ROW('PT2 (FILTRAR)'!$E$5)+1,NA()),ROWS($B$5:C24)),COLUMNS($B$5:C24)),"")</f>
        <v/>
      </c>
      <c r="D24" s="142" t="str">
        <f t="array" ref="D24">IFERROR(INDEX(BD[],_xlfn.AGGREGATE(15,6,IF(BD[CLASIFICACIÓN]=$B$2,ROW(BD[CLASIFICACIÓN])-ROW('PT2 (FILTRAR)'!$E$5)+1,NA()),ROWS($B$5:D24)),COLUMNS($B$5:D24)),"")</f>
        <v/>
      </c>
      <c r="E24" s="126" t="str">
        <f t="array" ref="E24">IFERROR(INDEX(BD[],_xlfn.AGGREGATE(15,6,IF(BD[CLASIFICACIÓN]=$B$2,ROW(BD[CLASIFICACIÓN])-ROW('PT2 (FILTRAR)'!$E$5)+1,NA()),ROWS($B$5:E24)),COLUMNS($B$5:E24)),"")</f>
        <v/>
      </c>
      <c r="F24" s="126"/>
    </row>
    <row r="25" spans="2:6" x14ac:dyDescent="0.3">
      <c r="B25" s="126" t="str">
        <f t="array" ref="B25">IFERROR(INDEX(BD[],_xlfn.AGGREGATE(15,6,IF(BD[CLASIFICACIÓN]=$B$2,ROW(BD[CLASIFICACIÓN])-ROW('PT2 (FILTRAR)'!$E$5)+1,NA()),ROWS($B$5:B25)),COLUMNS($B$5:B25)),"")</f>
        <v/>
      </c>
      <c r="C25" s="127" t="str">
        <f t="array" ref="C25">IFERROR(INDEX(BD[],_xlfn.AGGREGATE(15,6,IF(BD[CLASIFICACIÓN]=$B$2,ROW(BD[CLASIFICACIÓN])-ROW('PT2 (FILTRAR)'!$E$5)+1,NA()),ROWS($B$5:C25)),COLUMNS($B$5:C25)),"")</f>
        <v/>
      </c>
      <c r="D25" s="142" t="str">
        <f t="array" ref="D25">IFERROR(INDEX(BD[],_xlfn.AGGREGATE(15,6,IF(BD[CLASIFICACIÓN]=$B$2,ROW(BD[CLASIFICACIÓN])-ROW('PT2 (FILTRAR)'!$E$5)+1,NA()),ROWS($B$5:D25)),COLUMNS($B$5:D25)),"")</f>
        <v/>
      </c>
      <c r="E25" s="126" t="str">
        <f t="array" ref="E25">IFERROR(INDEX(BD[],_xlfn.AGGREGATE(15,6,IF(BD[CLASIFICACIÓN]=$B$2,ROW(BD[CLASIFICACIÓN])-ROW('PT2 (FILTRAR)'!$E$5)+1,NA()),ROWS($B$5:E25)),COLUMNS($B$5:E25)),"")</f>
        <v/>
      </c>
      <c r="F25" s="126"/>
    </row>
    <row r="26" spans="2:6" x14ac:dyDescent="0.3">
      <c r="B26" s="126" t="str">
        <f t="array" ref="B26">IFERROR(INDEX(BD[],_xlfn.AGGREGATE(15,6,IF(BD[CLASIFICACIÓN]=$B$2,ROW(BD[CLASIFICACIÓN])-ROW('PT2 (FILTRAR)'!$E$5)+1,NA()),ROWS($B$5:B26)),COLUMNS($B$5:B26)),"")</f>
        <v/>
      </c>
      <c r="C26" s="127" t="str">
        <f t="array" ref="C26">IFERROR(INDEX(BD[],_xlfn.AGGREGATE(15,6,IF(BD[CLASIFICACIÓN]=$B$2,ROW(BD[CLASIFICACIÓN])-ROW('PT2 (FILTRAR)'!$E$5)+1,NA()),ROWS($B$5:C26)),COLUMNS($B$5:C26)),"")</f>
        <v/>
      </c>
      <c r="D26" s="142" t="str">
        <f t="array" ref="D26">IFERROR(INDEX(BD[],_xlfn.AGGREGATE(15,6,IF(BD[CLASIFICACIÓN]=$B$2,ROW(BD[CLASIFICACIÓN])-ROW('PT2 (FILTRAR)'!$E$5)+1,NA()),ROWS($B$5:D26)),COLUMNS($B$5:D26)),"")</f>
        <v/>
      </c>
      <c r="E26" s="126" t="str">
        <f t="array" ref="E26">IFERROR(INDEX(BD[],_xlfn.AGGREGATE(15,6,IF(BD[CLASIFICACIÓN]=$B$2,ROW(BD[CLASIFICACIÓN])-ROW('PT2 (FILTRAR)'!$E$5)+1,NA()),ROWS($B$5:E26)),COLUMNS($B$5:E26)),"")</f>
        <v/>
      </c>
      <c r="F26" s="126"/>
    </row>
    <row r="27" spans="2:6" x14ac:dyDescent="0.3">
      <c r="B27" s="126" t="str">
        <f t="array" ref="B27">IFERROR(INDEX(BD[],_xlfn.AGGREGATE(15,6,IF(BD[CLASIFICACIÓN]=$B$2,ROW(BD[CLASIFICACIÓN])-ROW('PT2 (FILTRAR)'!$E$5)+1,NA()),ROWS($B$5:B27)),COLUMNS($B$5:B27)),"")</f>
        <v/>
      </c>
      <c r="C27" s="127" t="str">
        <f t="array" ref="C27">IFERROR(INDEX(BD[],_xlfn.AGGREGATE(15,6,IF(BD[CLASIFICACIÓN]=$B$2,ROW(BD[CLASIFICACIÓN])-ROW('PT2 (FILTRAR)'!$E$5)+1,NA()),ROWS($B$5:C27)),COLUMNS($B$5:C27)),"")</f>
        <v/>
      </c>
      <c r="D27" s="142" t="str">
        <f t="array" ref="D27">IFERROR(INDEX(BD[],_xlfn.AGGREGATE(15,6,IF(BD[CLASIFICACIÓN]=$B$2,ROW(BD[CLASIFICACIÓN])-ROW('PT2 (FILTRAR)'!$E$5)+1,NA()),ROWS($B$5:D27)),COLUMNS($B$5:D27)),"")</f>
        <v/>
      </c>
      <c r="E27" s="126" t="str">
        <f t="array" ref="E27">IFERROR(INDEX(BD[],_xlfn.AGGREGATE(15,6,IF(BD[CLASIFICACIÓN]=$B$2,ROW(BD[CLASIFICACIÓN])-ROW('PT2 (FILTRAR)'!$E$5)+1,NA()),ROWS($B$5:E27)),COLUMNS($B$5:E27)),"")</f>
        <v/>
      </c>
      <c r="F27" s="126"/>
    </row>
    <row r="28" spans="2:6" x14ac:dyDescent="0.3">
      <c r="B28" s="126" t="str">
        <f t="array" ref="B28">IFERROR(INDEX(BD[],_xlfn.AGGREGATE(15,6,IF(BD[CLASIFICACIÓN]=$B$2,ROW(BD[CLASIFICACIÓN])-ROW('PT2 (FILTRAR)'!$E$5)+1,NA()),ROWS($B$5:B28)),COLUMNS($B$5:B28)),"")</f>
        <v/>
      </c>
      <c r="C28" s="127" t="str">
        <f t="array" ref="C28">IFERROR(INDEX(BD[],_xlfn.AGGREGATE(15,6,IF(BD[CLASIFICACIÓN]=$B$2,ROW(BD[CLASIFICACIÓN])-ROW('PT2 (FILTRAR)'!$E$5)+1,NA()),ROWS($B$5:C28)),COLUMNS($B$5:C28)),"")</f>
        <v/>
      </c>
      <c r="D28" s="142" t="str">
        <f t="array" ref="D28">IFERROR(INDEX(BD[],_xlfn.AGGREGATE(15,6,IF(BD[CLASIFICACIÓN]=$B$2,ROW(BD[CLASIFICACIÓN])-ROW('PT2 (FILTRAR)'!$E$5)+1,NA()),ROWS($B$5:D28)),COLUMNS($B$5:D28)),"")</f>
        <v/>
      </c>
      <c r="E28" s="126" t="str">
        <f t="array" ref="E28">IFERROR(INDEX(BD[],_xlfn.AGGREGATE(15,6,IF(BD[CLASIFICACIÓN]=$B$2,ROW(BD[CLASIFICACIÓN])-ROW('PT2 (FILTRAR)'!$E$5)+1,NA()),ROWS($B$5:E28)),COLUMNS($B$5:E28)),"")</f>
        <v/>
      </c>
      <c r="F28" s="126"/>
    </row>
    <row r="29" spans="2:6" x14ac:dyDescent="0.3">
      <c r="B29" s="126" t="str">
        <f t="array" ref="B29">IFERROR(INDEX(BD[],_xlfn.AGGREGATE(15,6,IF(BD[CLASIFICACIÓN]=$B$2,ROW(BD[CLASIFICACIÓN])-ROW('PT2 (FILTRAR)'!$E$5)+1,NA()),ROWS($B$5:B29)),COLUMNS($B$5:B29)),"")</f>
        <v/>
      </c>
      <c r="C29" s="127" t="str">
        <f t="array" ref="C29">IFERROR(INDEX(BD[],_xlfn.AGGREGATE(15,6,IF(BD[CLASIFICACIÓN]=$B$2,ROW(BD[CLASIFICACIÓN])-ROW('PT2 (FILTRAR)'!$E$5)+1,NA()),ROWS($B$5:C29)),COLUMNS($B$5:C29)),"")</f>
        <v/>
      </c>
      <c r="D29" s="142" t="str">
        <f t="array" ref="D29">IFERROR(INDEX(BD[],_xlfn.AGGREGATE(15,6,IF(BD[CLASIFICACIÓN]=$B$2,ROW(BD[CLASIFICACIÓN])-ROW('PT2 (FILTRAR)'!$E$5)+1,NA()),ROWS($B$5:D29)),COLUMNS($B$5:D29)),"")</f>
        <v/>
      </c>
      <c r="E29" s="126" t="str">
        <f t="array" ref="E29">IFERROR(INDEX(BD[],_xlfn.AGGREGATE(15,6,IF(BD[CLASIFICACIÓN]=$B$2,ROW(BD[CLASIFICACIÓN])-ROW('PT2 (FILTRAR)'!$E$5)+1,NA()),ROWS($B$5:E29)),COLUMNS($B$5:E29)),"")</f>
        <v/>
      </c>
      <c r="F29" s="126"/>
    </row>
    <row r="30" spans="2:6" x14ac:dyDescent="0.3">
      <c r="B30" s="126" t="str">
        <f t="array" ref="B30">IFERROR(INDEX(BD[],_xlfn.AGGREGATE(15,6,IF(BD[CLASIFICACIÓN]=$B$2,ROW(BD[CLASIFICACIÓN])-ROW('PT2 (FILTRAR)'!$E$5)+1,NA()),ROWS($B$5:B30)),COLUMNS($B$5:B30)),"")</f>
        <v/>
      </c>
      <c r="C30" s="127" t="str">
        <f t="array" ref="C30">IFERROR(INDEX(BD[],_xlfn.AGGREGATE(15,6,IF(BD[CLASIFICACIÓN]=$B$2,ROW(BD[CLASIFICACIÓN])-ROW('PT2 (FILTRAR)'!$E$5)+1,NA()),ROWS($B$5:C30)),COLUMNS($B$5:C30)),"")</f>
        <v/>
      </c>
      <c r="D30" s="142" t="str">
        <f t="array" ref="D30">IFERROR(INDEX(BD[],_xlfn.AGGREGATE(15,6,IF(BD[CLASIFICACIÓN]=$B$2,ROW(BD[CLASIFICACIÓN])-ROW('PT2 (FILTRAR)'!$E$5)+1,NA()),ROWS($B$5:D30)),COLUMNS($B$5:D30)),"")</f>
        <v/>
      </c>
      <c r="E30" s="126" t="str">
        <f t="array" ref="E30">IFERROR(INDEX(BD[],_xlfn.AGGREGATE(15,6,IF(BD[CLASIFICACIÓN]=$B$2,ROW(BD[CLASIFICACIÓN])-ROW('PT2 (FILTRAR)'!$E$5)+1,NA()),ROWS($B$5:E30)),COLUMNS($B$5:E30)),"")</f>
        <v/>
      </c>
      <c r="F30" s="126"/>
    </row>
    <row r="31" spans="2:6" x14ac:dyDescent="0.3">
      <c r="B31" s="126" t="str">
        <f t="array" ref="B31">IFERROR(INDEX(BD[],_xlfn.AGGREGATE(15,6,IF(BD[CLASIFICACIÓN]=$B$2,ROW(BD[CLASIFICACIÓN])-ROW('PT2 (FILTRAR)'!$E$5)+1,NA()),ROWS($B$5:B31)),COLUMNS($B$5:B31)),"")</f>
        <v/>
      </c>
      <c r="C31" s="127" t="str">
        <f t="array" ref="C31">IFERROR(INDEX(BD[],_xlfn.AGGREGATE(15,6,IF(BD[CLASIFICACIÓN]=$B$2,ROW(BD[CLASIFICACIÓN])-ROW('PT2 (FILTRAR)'!$E$5)+1,NA()),ROWS($B$5:C31)),COLUMNS($B$5:C31)),"")</f>
        <v/>
      </c>
      <c r="D31" s="142" t="str">
        <f t="array" ref="D31">IFERROR(INDEX(BD[],_xlfn.AGGREGATE(15,6,IF(BD[CLASIFICACIÓN]=$B$2,ROW(BD[CLASIFICACIÓN])-ROW('PT2 (FILTRAR)'!$E$5)+1,NA()),ROWS($B$5:D31)),COLUMNS($B$5:D31)),"")</f>
        <v/>
      </c>
      <c r="E31" s="126" t="str">
        <f t="array" ref="E31">IFERROR(INDEX(BD[],_xlfn.AGGREGATE(15,6,IF(BD[CLASIFICACIÓN]=$B$2,ROW(BD[CLASIFICACIÓN])-ROW('PT2 (FILTRAR)'!$E$5)+1,NA()),ROWS($B$5:E31)),COLUMNS($B$5:E31)),"")</f>
        <v/>
      </c>
      <c r="F31" s="126"/>
    </row>
    <row r="32" spans="2:6" x14ac:dyDescent="0.3">
      <c r="B32" s="126" t="str">
        <f t="array" ref="B32">IFERROR(INDEX(BD[],_xlfn.AGGREGATE(15,6,IF(BD[CLASIFICACIÓN]=$B$2,ROW(BD[CLASIFICACIÓN])-ROW('PT2 (FILTRAR)'!$E$5)+1,NA()),ROWS($B$5:B32)),COLUMNS($B$5:B32)),"")</f>
        <v/>
      </c>
      <c r="C32" s="127" t="str">
        <f t="array" ref="C32">IFERROR(INDEX(BD[],_xlfn.AGGREGATE(15,6,IF(BD[CLASIFICACIÓN]=$B$2,ROW(BD[CLASIFICACIÓN])-ROW('PT2 (FILTRAR)'!$E$5)+1,NA()),ROWS($B$5:C32)),COLUMNS($B$5:C32)),"")</f>
        <v/>
      </c>
      <c r="D32" s="142" t="str">
        <f t="array" ref="D32">IFERROR(INDEX(BD[],_xlfn.AGGREGATE(15,6,IF(BD[CLASIFICACIÓN]=$B$2,ROW(BD[CLASIFICACIÓN])-ROW('PT2 (FILTRAR)'!$E$5)+1,NA()),ROWS($B$5:D32)),COLUMNS($B$5:D32)),"")</f>
        <v/>
      </c>
      <c r="E32" s="126" t="str">
        <f t="array" ref="E32">IFERROR(INDEX(BD[],_xlfn.AGGREGATE(15,6,IF(BD[CLASIFICACIÓN]=$B$2,ROW(BD[CLASIFICACIÓN])-ROW('PT2 (FILTRAR)'!$E$5)+1,NA()),ROWS($B$5:E32)),COLUMNS($B$5:E32)),"")</f>
        <v/>
      </c>
      <c r="F32" s="126"/>
    </row>
    <row r="33" spans="2:6" x14ac:dyDescent="0.3">
      <c r="B33" s="126" t="str">
        <f t="array" ref="B33">IFERROR(INDEX(BD[],_xlfn.AGGREGATE(15,6,IF(BD[CLASIFICACIÓN]=$B$2,ROW(BD[CLASIFICACIÓN])-ROW('PT2 (FILTRAR)'!$E$5)+1,NA()),ROWS($B$5:B33)),COLUMNS($B$5:B33)),"")</f>
        <v/>
      </c>
      <c r="C33" s="127" t="str">
        <f t="array" ref="C33">IFERROR(INDEX(BD[],_xlfn.AGGREGATE(15,6,IF(BD[CLASIFICACIÓN]=$B$2,ROW(BD[CLASIFICACIÓN])-ROW('PT2 (FILTRAR)'!$E$5)+1,NA()),ROWS($B$5:C33)),COLUMNS($B$5:C33)),"")</f>
        <v/>
      </c>
      <c r="D33" s="142" t="str">
        <f t="array" ref="D33">IFERROR(INDEX(BD[],_xlfn.AGGREGATE(15,6,IF(BD[CLASIFICACIÓN]=$B$2,ROW(BD[CLASIFICACIÓN])-ROW('PT2 (FILTRAR)'!$E$5)+1,NA()),ROWS($B$5:D33)),COLUMNS($B$5:D33)),"")</f>
        <v/>
      </c>
      <c r="E33" s="126" t="str">
        <f t="array" ref="E33">IFERROR(INDEX(BD[],_xlfn.AGGREGATE(15,6,IF(BD[CLASIFICACIÓN]=$B$2,ROW(BD[CLASIFICACIÓN])-ROW('PT2 (FILTRAR)'!$E$5)+1,NA()),ROWS($B$5:E33)),COLUMNS($B$5:E33)),"")</f>
        <v/>
      </c>
      <c r="F33" s="126"/>
    </row>
    <row r="34" spans="2:6" x14ac:dyDescent="0.3">
      <c r="B34" s="126" t="str">
        <f t="array" ref="B34">IFERROR(INDEX(BD[],_xlfn.AGGREGATE(15,6,IF(BD[CLASIFICACIÓN]=$B$2,ROW(BD[CLASIFICACIÓN])-ROW('PT2 (FILTRAR)'!$E$5)+1,NA()),ROWS($B$5:B34)),COLUMNS($B$5:B34)),"")</f>
        <v/>
      </c>
      <c r="C34" s="127" t="str">
        <f t="array" ref="C34">IFERROR(INDEX(BD[],_xlfn.AGGREGATE(15,6,IF(BD[CLASIFICACIÓN]=$B$2,ROW(BD[CLASIFICACIÓN])-ROW('PT2 (FILTRAR)'!$E$5)+1,NA()),ROWS($B$5:C34)),COLUMNS($B$5:C34)),"")</f>
        <v/>
      </c>
      <c r="D34" s="142" t="str">
        <f t="array" ref="D34">IFERROR(INDEX(BD[],_xlfn.AGGREGATE(15,6,IF(BD[CLASIFICACIÓN]=$B$2,ROW(BD[CLASIFICACIÓN])-ROW('PT2 (FILTRAR)'!$E$5)+1,NA()),ROWS($B$5:D34)),COLUMNS($B$5:D34)),"")</f>
        <v/>
      </c>
      <c r="E34" s="126" t="str">
        <f t="array" ref="E34">IFERROR(INDEX(BD[],_xlfn.AGGREGATE(15,6,IF(BD[CLASIFICACIÓN]=$B$2,ROW(BD[CLASIFICACIÓN])-ROW('PT2 (FILTRAR)'!$E$5)+1,NA()),ROWS($B$5:E34)),COLUMNS($B$5:E34)),"")</f>
        <v/>
      </c>
      <c r="F34" s="126"/>
    </row>
    <row r="35" spans="2:6" x14ac:dyDescent="0.3">
      <c r="B35" s="126" t="str">
        <f t="array" ref="B35">IFERROR(INDEX(BD[],_xlfn.AGGREGATE(15,6,IF(BD[CLASIFICACIÓN]=$B$2,ROW(BD[CLASIFICACIÓN])-ROW('PT2 (FILTRAR)'!$E$5)+1,NA()),ROWS($B$5:B35)),COLUMNS($B$5:B35)),"")</f>
        <v/>
      </c>
      <c r="C35" s="127" t="str">
        <f t="array" ref="C35">IFERROR(INDEX(BD[],_xlfn.AGGREGATE(15,6,IF(BD[CLASIFICACIÓN]=$B$2,ROW(BD[CLASIFICACIÓN])-ROW('PT2 (FILTRAR)'!$E$5)+1,NA()),ROWS($B$5:C35)),COLUMNS($B$5:C35)),"")</f>
        <v/>
      </c>
      <c r="D35" s="142" t="str">
        <f t="array" ref="D35">IFERROR(INDEX(BD[],_xlfn.AGGREGATE(15,6,IF(BD[CLASIFICACIÓN]=$B$2,ROW(BD[CLASIFICACIÓN])-ROW('PT2 (FILTRAR)'!$E$5)+1,NA()),ROWS($B$5:D35)),COLUMNS($B$5:D35)),"")</f>
        <v/>
      </c>
      <c r="E35" s="126" t="str">
        <f t="array" ref="E35">IFERROR(INDEX(BD[],_xlfn.AGGREGATE(15,6,IF(BD[CLASIFICACIÓN]=$B$2,ROW(BD[CLASIFICACIÓN])-ROW('PT2 (FILTRAR)'!$E$5)+1,NA()),ROWS($B$5:E35)),COLUMNS($B$5:E35)),"")</f>
        <v/>
      </c>
      <c r="F35" s="126"/>
    </row>
    <row r="36" spans="2:6" x14ac:dyDescent="0.3">
      <c r="B36" s="126" t="str">
        <f t="array" ref="B36">IFERROR(INDEX(BD[],_xlfn.AGGREGATE(15,6,IF(BD[CLASIFICACIÓN]=$B$2,ROW(BD[CLASIFICACIÓN])-ROW('PT2 (FILTRAR)'!$E$5)+1,NA()),ROWS($B$5:B36)),COLUMNS($B$5:B36)),"")</f>
        <v/>
      </c>
      <c r="C36" s="127" t="str">
        <f t="array" ref="C36">IFERROR(INDEX(BD[],_xlfn.AGGREGATE(15,6,IF(BD[CLASIFICACIÓN]=$B$2,ROW(BD[CLASIFICACIÓN])-ROW('PT2 (FILTRAR)'!$E$5)+1,NA()),ROWS($B$5:C36)),COLUMNS($B$5:C36)),"")</f>
        <v/>
      </c>
      <c r="D36" s="142" t="str">
        <f t="array" ref="D36">IFERROR(INDEX(BD[],_xlfn.AGGREGATE(15,6,IF(BD[CLASIFICACIÓN]=$B$2,ROW(BD[CLASIFICACIÓN])-ROW('PT2 (FILTRAR)'!$E$5)+1,NA()),ROWS($B$5:D36)),COLUMNS($B$5:D36)),"")</f>
        <v/>
      </c>
      <c r="E36" s="126" t="str">
        <f t="array" ref="E36">IFERROR(INDEX(BD[],_xlfn.AGGREGATE(15,6,IF(BD[CLASIFICACIÓN]=$B$2,ROW(BD[CLASIFICACIÓN])-ROW('PT2 (FILTRAR)'!$E$5)+1,NA()),ROWS($B$5:E36)),COLUMNS($B$5:E36)),"")</f>
        <v/>
      </c>
      <c r="F36" s="126"/>
    </row>
    <row r="37" spans="2:6" x14ac:dyDescent="0.3">
      <c r="B37" s="126" t="str">
        <f t="array" ref="B37">IFERROR(INDEX(BD[],_xlfn.AGGREGATE(15,6,IF(BD[CLASIFICACIÓN]=$B$2,ROW(BD[CLASIFICACIÓN])-ROW('PT2 (FILTRAR)'!$E$5)+1,NA()),ROWS($B$5:B37)),COLUMNS($B$5:B37)),"")</f>
        <v/>
      </c>
      <c r="C37" s="127" t="str">
        <f t="array" ref="C37">IFERROR(INDEX(BD[],_xlfn.AGGREGATE(15,6,IF(BD[CLASIFICACIÓN]=$B$2,ROW(BD[CLASIFICACIÓN])-ROW('PT2 (FILTRAR)'!$E$5)+1,NA()),ROWS($B$5:C37)),COLUMNS($B$5:C37)),"")</f>
        <v/>
      </c>
      <c r="D37" s="142" t="str">
        <f t="array" ref="D37">IFERROR(INDEX(BD[],_xlfn.AGGREGATE(15,6,IF(BD[CLASIFICACIÓN]=$B$2,ROW(BD[CLASIFICACIÓN])-ROW('PT2 (FILTRAR)'!$E$5)+1,NA()),ROWS($B$5:D37)),COLUMNS($B$5:D37)),"")</f>
        <v/>
      </c>
      <c r="E37" s="126" t="str">
        <f t="array" ref="E37">IFERROR(INDEX(BD[],_xlfn.AGGREGATE(15,6,IF(BD[CLASIFICACIÓN]=$B$2,ROW(BD[CLASIFICACIÓN])-ROW('PT2 (FILTRAR)'!$E$5)+1,NA()),ROWS($B$5:E37)),COLUMNS($B$5:E37)),"")</f>
        <v/>
      </c>
      <c r="F37" s="126"/>
    </row>
    <row r="38" spans="2:6" x14ac:dyDescent="0.3">
      <c r="B38" s="126" t="str">
        <f t="array" ref="B38">IFERROR(INDEX(BD[],_xlfn.AGGREGATE(15,6,IF(BD[CLASIFICACIÓN]=$B$2,ROW(BD[CLASIFICACIÓN])-ROW('PT2 (FILTRAR)'!$E$5)+1,NA()),ROWS($B$5:B38)),COLUMNS($B$5:B38)),"")</f>
        <v/>
      </c>
      <c r="C38" s="127" t="str">
        <f t="array" ref="C38">IFERROR(INDEX(BD[],_xlfn.AGGREGATE(15,6,IF(BD[CLASIFICACIÓN]=$B$2,ROW(BD[CLASIFICACIÓN])-ROW('PT2 (FILTRAR)'!$E$5)+1,NA()),ROWS($B$5:C38)),COLUMNS($B$5:C38)),"")</f>
        <v/>
      </c>
      <c r="D38" s="142" t="str">
        <f t="array" ref="D38">IFERROR(INDEX(BD[],_xlfn.AGGREGATE(15,6,IF(BD[CLASIFICACIÓN]=$B$2,ROW(BD[CLASIFICACIÓN])-ROW('PT2 (FILTRAR)'!$E$5)+1,NA()),ROWS($B$5:D38)),COLUMNS($B$5:D38)),"")</f>
        <v/>
      </c>
      <c r="E38" s="126" t="str">
        <f t="array" ref="E38">IFERROR(INDEX(BD[],_xlfn.AGGREGATE(15,6,IF(BD[CLASIFICACIÓN]=$B$2,ROW(BD[CLASIFICACIÓN])-ROW('PT2 (FILTRAR)'!$E$5)+1,NA()),ROWS($B$5:E38)),COLUMNS($B$5:E38)),"")</f>
        <v/>
      </c>
      <c r="F38" s="126"/>
    </row>
    <row r="39" spans="2:6" x14ac:dyDescent="0.3">
      <c r="B39" s="126" t="str">
        <f t="array" ref="B39">IFERROR(INDEX(BD[],_xlfn.AGGREGATE(15,6,IF(BD[CLASIFICACIÓN]=$B$2,ROW(BD[CLASIFICACIÓN])-ROW('PT2 (FILTRAR)'!$E$5)+1,NA()),ROWS($B$5:B39)),COLUMNS($B$5:B39)),"")</f>
        <v/>
      </c>
      <c r="C39" s="127" t="str">
        <f t="array" ref="C39">IFERROR(INDEX(BD[],_xlfn.AGGREGATE(15,6,IF(BD[CLASIFICACIÓN]=$B$2,ROW(BD[CLASIFICACIÓN])-ROW('PT2 (FILTRAR)'!$E$5)+1,NA()),ROWS($B$5:C39)),COLUMNS($B$5:C39)),"")</f>
        <v/>
      </c>
      <c r="D39" s="142" t="str">
        <f t="array" ref="D39">IFERROR(INDEX(BD[],_xlfn.AGGREGATE(15,6,IF(BD[CLASIFICACIÓN]=$B$2,ROW(BD[CLASIFICACIÓN])-ROW('PT2 (FILTRAR)'!$E$5)+1,NA()),ROWS($B$5:D39)),COLUMNS($B$5:D39)),"")</f>
        <v/>
      </c>
      <c r="E39" s="126" t="str">
        <f t="array" ref="E39">IFERROR(INDEX(BD[],_xlfn.AGGREGATE(15,6,IF(BD[CLASIFICACIÓN]=$B$2,ROW(BD[CLASIFICACIÓN])-ROW('PT2 (FILTRAR)'!$E$5)+1,NA()),ROWS($B$5:E39)),COLUMNS($B$5:E39)),"")</f>
        <v/>
      </c>
      <c r="F39" s="126"/>
    </row>
    <row r="40" spans="2:6" x14ac:dyDescent="0.3">
      <c r="B40" s="126" t="str">
        <f t="array" ref="B40">IFERROR(INDEX(BD[],_xlfn.AGGREGATE(15,6,IF(BD[CLASIFICACIÓN]=$B$2,ROW(BD[CLASIFICACIÓN])-ROW('PT2 (FILTRAR)'!$E$5)+1,NA()),ROWS($B$5:B40)),COLUMNS($B$5:B40)),"")</f>
        <v/>
      </c>
      <c r="C40" s="127" t="str">
        <f t="array" ref="C40">IFERROR(INDEX(BD[],_xlfn.AGGREGATE(15,6,IF(BD[CLASIFICACIÓN]=$B$2,ROW(BD[CLASIFICACIÓN])-ROW('PT2 (FILTRAR)'!$E$5)+1,NA()),ROWS($B$5:C40)),COLUMNS($B$5:C40)),"")</f>
        <v/>
      </c>
      <c r="D40" s="142" t="str">
        <f t="array" ref="D40">IFERROR(INDEX(BD[],_xlfn.AGGREGATE(15,6,IF(BD[CLASIFICACIÓN]=$B$2,ROW(BD[CLASIFICACIÓN])-ROW('PT2 (FILTRAR)'!$E$5)+1,NA()),ROWS($B$5:D40)),COLUMNS($B$5:D40)),"")</f>
        <v/>
      </c>
      <c r="E40" s="126" t="str">
        <f t="array" ref="E40">IFERROR(INDEX(BD[],_xlfn.AGGREGATE(15,6,IF(BD[CLASIFICACIÓN]=$B$2,ROW(BD[CLASIFICACIÓN])-ROW('PT2 (FILTRAR)'!$E$5)+1,NA()),ROWS($B$5:E40)),COLUMNS($B$5:E40)),"")</f>
        <v/>
      </c>
      <c r="F40" s="126"/>
    </row>
    <row r="41" spans="2:6" x14ac:dyDescent="0.3">
      <c r="B41" s="126" t="str">
        <f t="array" ref="B41">IFERROR(INDEX(BD[],_xlfn.AGGREGATE(15,6,IF(BD[CLASIFICACIÓN]=$B$2,ROW(BD[CLASIFICACIÓN])-ROW('PT2 (FILTRAR)'!$E$5)+1,NA()),ROWS($B$5:B41)),COLUMNS($B$5:B41)),"")</f>
        <v/>
      </c>
      <c r="C41" s="127" t="str">
        <f t="array" ref="C41">IFERROR(INDEX(BD[],_xlfn.AGGREGATE(15,6,IF(BD[CLASIFICACIÓN]=$B$2,ROW(BD[CLASIFICACIÓN])-ROW('PT2 (FILTRAR)'!$E$5)+1,NA()),ROWS($B$5:C41)),COLUMNS($B$5:C41)),"")</f>
        <v/>
      </c>
      <c r="D41" s="142" t="str">
        <f t="array" ref="D41">IFERROR(INDEX(BD[],_xlfn.AGGREGATE(15,6,IF(BD[CLASIFICACIÓN]=$B$2,ROW(BD[CLASIFICACIÓN])-ROW('PT2 (FILTRAR)'!$E$5)+1,NA()),ROWS($B$5:D41)),COLUMNS($B$5:D41)),"")</f>
        <v/>
      </c>
      <c r="E41" s="126" t="str">
        <f t="array" ref="E41">IFERROR(INDEX(BD[],_xlfn.AGGREGATE(15,6,IF(BD[CLASIFICACIÓN]=$B$2,ROW(BD[CLASIFICACIÓN])-ROW('PT2 (FILTRAR)'!$E$5)+1,NA()),ROWS($B$5:E41)),COLUMNS($B$5:E41)),"")</f>
        <v/>
      </c>
      <c r="F41" s="126"/>
    </row>
    <row r="42" spans="2:6" x14ac:dyDescent="0.3">
      <c r="B42" s="126" t="str">
        <f t="array" ref="B42">IFERROR(INDEX(BD[],_xlfn.AGGREGATE(15,6,IF(BD[CLASIFICACIÓN]=$B$2,ROW(BD[CLASIFICACIÓN])-ROW('PT2 (FILTRAR)'!$E$5)+1,NA()),ROWS($B$5:B42)),COLUMNS($B$5:B42)),"")</f>
        <v/>
      </c>
      <c r="C42" s="127" t="str">
        <f t="array" ref="C42">IFERROR(INDEX(BD[],_xlfn.AGGREGATE(15,6,IF(BD[CLASIFICACIÓN]=$B$2,ROW(BD[CLASIFICACIÓN])-ROW('PT2 (FILTRAR)'!$E$5)+1,NA()),ROWS($B$5:C42)),COLUMNS($B$5:C42)),"")</f>
        <v/>
      </c>
      <c r="D42" s="142" t="str">
        <f t="array" ref="D42">IFERROR(INDEX(BD[],_xlfn.AGGREGATE(15,6,IF(BD[CLASIFICACIÓN]=$B$2,ROW(BD[CLASIFICACIÓN])-ROW('PT2 (FILTRAR)'!$E$5)+1,NA()),ROWS($B$5:D42)),COLUMNS($B$5:D42)),"")</f>
        <v/>
      </c>
      <c r="E42" s="126" t="str">
        <f t="array" ref="E42">IFERROR(INDEX(BD[],_xlfn.AGGREGATE(15,6,IF(BD[CLASIFICACIÓN]=$B$2,ROW(BD[CLASIFICACIÓN])-ROW('PT2 (FILTRAR)'!$E$5)+1,NA()),ROWS($B$5:E42)),COLUMNS($B$5:E42)),"")</f>
        <v/>
      </c>
      <c r="F42" s="126"/>
    </row>
    <row r="43" spans="2:6" x14ac:dyDescent="0.3">
      <c r="B43" s="126" t="str">
        <f t="array" ref="B43">IFERROR(INDEX(BD[],_xlfn.AGGREGATE(15,6,IF(BD[CLASIFICACIÓN]=$B$2,ROW(BD[CLASIFICACIÓN])-ROW('PT2 (FILTRAR)'!$E$5)+1,NA()),ROWS($B$5:B43)),COLUMNS($B$5:B43)),"")</f>
        <v/>
      </c>
      <c r="C43" s="127" t="str">
        <f t="array" ref="C43">IFERROR(INDEX(BD[],_xlfn.AGGREGATE(15,6,IF(BD[CLASIFICACIÓN]=$B$2,ROW(BD[CLASIFICACIÓN])-ROW('PT2 (FILTRAR)'!$E$5)+1,NA()),ROWS($B$5:C43)),COLUMNS($B$5:C43)),"")</f>
        <v/>
      </c>
      <c r="D43" s="142" t="str">
        <f t="array" ref="D43">IFERROR(INDEX(BD[],_xlfn.AGGREGATE(15,6,IF(BD[CLASIFICACIÓN]=$B$2,ROW(BD[CLASIFICACIÓN])-ROW('PT2 (FILTRAR)'!$E$5)+1,NA()),ROWS($B$5:D43)),COLUMNS($B$5:D43)),"")</f>
        <v/>
      </c>
      <c r="E43" s="126" t="str">
        <f t="array" ref="E43">IFERROR(INDEX(BD[],_xlfn.AGGREGATE(15,6,IF(BD[CLASIFICACIÓN]=$B$2,ROW(BD[CLASIFICACIÓN])-ROW('PT2 (FILTRAR)'!$E$5)+1,NA()),ROWS($B$5:E43)),COLUMNS($B$5:E43)),"")</f>
        <v/>
      </c>
      <c r="F43" s="126"/>
    </row>
    <row r="44" spans="2:6" x14ac:dyDescent="0.3">
      <c r="B44" s="126" t="str">
        <f t="array" ref="B44">IFERROR(INDEX(BD[],_xlfn.AGGREGATE(15,6,IF(BD[CLASIFICACIÓN]=$B$2,ROW(BD[CLASIFICACIÓN])-ROW('PT2 (FILTRAR)'!$E$5)+1,NA()),ROWS($B$5:B44)),COLUMNS($B$5:B44)),"")</f>
        <v/>
      </c>
      <c r="C44" s="127" t="str">
        <f t="array" ref="C44">IFERROR(INDEX(BD[],_xlfn.AGGREGATE(15,6,IF(BD[CLASIFICACIÓN]=$B$2,ROW(BD[CLASIFICACIÓN])-ROW('PT2 (FILTRAR)'!$E$5)+1,NA()),ROWS($B$5:C44)),COLUMNS($B$5:C44)),"")</f>
        <v/>
      </c>
      <c r="D44" s="142" t="str">
        <f t="array" ref="D44">IFERROR(INDEX(BD[],_xlfn.AGGREGATE(15,6,IF(BD[CLASIFICACIÓN]=$B$2,ROW(BD[CLASIFICACIÓN])-ROW('PT2 (FILTRAR)'!$E$5)+1,NA()),ROWS($B$5:D44)),COLUMNS($B$5:D44)),"")</f>
        <v/>
      </c>
      <c r="E44" s="126" t="str">
        <f t="array" ref="E44">IFERROR(INDEX(BD[],_xlfn.AGGREGATE(15,6,IF(BD[CLASIFICACIÓN]=$B$2,ROW(BD[CLASIFICACIÓN])-ROW('PT2 (FILTRAR)'!$E$5)+1,NA()),ROWS($B$5:E44)),COLUMNS($B$5:E44)),"")</f>
        <v/>
      </c>
      <c r="F44" s="126"/>
    </row>
    <row r="45" spans="2:6" x14ac:dyDescent="0.3">
      <c r="B45" s="126" t="str">
        <f t="array" ref="B45">IFERROR(INDEX(BD[],_xlfn.AGGREGATE(15,6,IF(BD[CLASIFICACIÓN]=$B$2,ROW(BD[CLASIFICACIÓN])-ROW('PT2 (FILTRAR)'!$E$5)+1,NA()),ROWS($B$5:B45)),COLUMNS($B$5:B45)),"")</f>
        <v/>
      </c>
      <c r="C45" s="127" t="str">
        <f t="array" ref="C45">IFERROR(INDEX(BD[],_xlfn.AGGREGATE(15,6,IF(BD[CLASIFICACIÓN]=$B$2,ROW(BD[CLASIFICACIÓN])-ROW('PT2 (FILTRAR)'!$E$5)+1,NA()),ROWS($B$5:C45)),COLUMNS($B$5:C45)),"")</f>
        <v/>
      </c>
      <c r="D45" s="142" t="str">
        <f t="array" ref="D45">IFERROR(INDEX(BD[],_xlfn.AGGREGATE(15,6,IF(BD[CLASIFICACIÓN]=$B$2,ROW(BD[CLASIFICACIÓN])-ROW('PT2 (FILTRAR)'!$E$5)+1,NA()),ROWS($B$5:D45)),COLUMNS($B$5:D45)),"")</f>
        <v/>
      </c>
      <c r="E45" s="126" t="str">
        <f t="array" ref="E45">IFERROR(INDEX(BD[],_xlfn.AGGREGATE(15,6,IF(BD[CLASIFICACIÓN]=$B$2,ROW(BD[CLASIFICACIÓN])-ROW('PT2 (FILTRAR)'!$E$5)+1,NA()),ROWS($B$5:E45)),COLUMNS($B$5:E45)),"")</f>
        <v/>
      </c>
      <c r="F45" s="126"/>
    </row>
    <row r="46" spans="2:6" x14ac:dyDescent="0.3">
      <c r="B46" s="126" t="str">
        <f t="array" ref="B46">IFERROR(INDEX(BD[],_xlfn.AGGREGATE(15,6,IF(BD[CLASIFICACIÓN]=$B$2,ROW(BD[CLASIFICACIÓN])-ROW('PT2 (FILTRAR)'!$E$5)+1,NA()),ROWS($B$5:B46)),COLUMNS($B$5:B46)),"")</f>
        <v/>
      </c>
      <c r="C46" s="127" t="str">
        <f t="array" ref="C46">IFERROR(INDEX(BD[],_xlfn.AGGREGATE(15,6,IF(BD[CLASIFICACIÓN]=$B$2,ROW(BD[CLASIFICACIÓN])-ROW('PT2 (FILTRAR)'!$E$5)+1,NA()),ROWS($B$5:C46)),COLUMNS($B$5:C46)),"")</f>
        <v/>
      </c>
      <c r="D46" s="142" t="str">
        <f t="array" ref="D46">IFERROR(INDEX(BD[],_xlfn.AGGREGATE(15,6,IF(BD[CLASIFICACIÓN]=$B$2,ROW(BD[CLASIFICACIÓN])-ROW('PT2 (FILTRAR)'!$E$5)+1,NA()),ROWS($B$5:D46)),COLUMNS($B$5:D46)),"")</f>
        <v/>
      </c>
      <c r="E46" s="126" t="str">
        <f t="array" ref="E46">IFERROR(INDEX(BD[],_xlfn.AGGREGATE(15,6,IF(BD[CLASIFICACIÓN]=$B$2,ROW(BD[CLASIFICACIÓN])-ROW('PT2 (FILTRAR)'!$E$5)+1,NA()),ROWS($B$5:E46)),COLUMNS($B$5:E46)),"")</f>
        <v/>
      </c>
      <c r="F46" s="126"/>
    </row>
    <row r="47" spans="2:6" x14ac:dyDescent="0.3">
      <c r="B47" s="126" t="str">
        <f t="array" ref="B47">IFERROR(INDEX(BD[],_xlfn.AGGREGATE(15,6,IF(BD[CLASIFICACIÓN]=$B$2,ROW(BD[CLASIFICACIÓN])-ROW('PT2 (FILTRAR)'!$E$5)+1,NA()),ROWS($B$5:B47)),COLUMNS($B$5:B47)),"")</f>
        <v/>
      </c>
      <c r="C47" s="127" t="str">
        <f t="array" ref="C47">IFERROR(INDEX(BD[],_xlfn.AGGREGATE(15,6,IF(BD[CLASIFICACIÓN]=$B$2,ROW(BD[CLASIFICACIÓN])-ROW('PT2 (FILTRAR)'!$E$5)+1,NA()),ROWS($B$5:C47)),COLUMNS($B$5:C47)),"")</f>
        <v/>
      </c>
      <c r="D47" s="142" t="str">
        <f t="array" ref="D47">IFERROR(INDEX(BD[],_xlfn.AGGREGATE(15,6,IF(BD[CLASIFICACIÓN]=$B$2,ROW(BD[CLASIFICACIÓN])-ROW('PT2 (FILTRAR)'!$E$5)+1,NA()),ROWS($B$5:D47)),COLUMNS($B$5:D47)),"")</f>
        <v/>
      </c>
      <c r="E47" s="126" t="str">
        <f t="array" ref="E47">IFERROR(INDEX(BD[],_xlfn.AGGREGATE(15,6,IF(BD[CLASIFICACIÓN]=$B$2,ROW(BD[CLASIFICACIÓN])-ROW('PT2 (FILTRAR)'!$E$5)+1,NA()),ROWS($B$5:E47)),COLUMNS($B$5:E47)),"")</f>
        <v/>
      </c>
      <c r="F47" s="126"/>
    </row>
    <row r="48" spans="2:6" x14ac:dyDescent="0.3">
      <c r="B48" s="126" t="str">
        <f t="array" ref="B48">IFERROR(INDEX(BD[],_xlfn.AGGREGATE(15,6,IF(BD[CLASIFICACIÓN]=$B$2,ROW(BD[CLASIFICACIÓN])-ROW('PT2 (FILTRAR)'!$E$5)+1,NA()),ROWS($B$5:B48)),COLUMNS($B$5:B48)),"")</f>
        <v/>
      </c>
      <c r="C48" s="127" t="str">
        <f t="array" ref="C48">IFERROR(INDEX(BD[],_xlfn.AGGREGATE(15,6,IF(BD[CLASIFICACIÓN]=$B$2,ROW(BD[CLASIFICACIÓN])-ROW('PT2 (FILTRAR)'!$E$5)+1,NA()),ROWS($B$5:C48)),COLUMNS($B$5:C48)),"")</f>
        <v/>
      </c>
      <c r="D48" s="142" t="str">
        <f t="array" ref="D48">IFERROR(INDEX(BD[],_xlfn.AGGREGATE(15,6,IF(BD[CLASIFICACIÓN]=$B$2,ROW(BD[CLASIFICACIÓN])-ROW('PT2 (FILTRAR)'!$E$5)+1,NA()),ROWS($B$5:D48)),COLUMNS($B$5:D48)),"")</f>
        <v/>
      </c>
      <c r="E48" s="126" t="str">
        <f t="array" ref="E48">IFERROR(INDEX(BD[],_xlfn.AGGREGATE(15,6,IF(BD[CLASIFICACIÓN]=$B$2,ROW(BD[CLASIFICACIÓN])-ROW('PT2 (FILTRAR)'!$E$5)+1,NA()),ROWS($B$5:E48)),COLUMNS($B$5:E48)),"")</f>
        <v/>
      </c>
      <c r="F48" s="126"/>
    </row>
    <row r="49" spans="2:6" x14ac:dyDescent="0.3">
      <c r="B49" s="126" t="str">
        <f t="array" ref="B49">IFERROR(INDEX(BD[],_xlfn.AGGREGATE(15,6,IF(BD[CLASIFICACIÓN]=$B$2,ROW(BD[CLASIFICACIÓN])-ROW('PT2 (FILTRAR)'!$E$5)+1,NA()),ROWS($B$5:B49)),COLUMNS($B$5:B49)),"")</f>
        <v/>
      </c>
      <c r="C49" s="127" t="str">
        <f t="array" ref="C49">IFERROR(INDEX(BD[],_xlfn.AGGREGATE(15,6,IF(BD[CLASIFICACIÓN]=$B$2,ROW(BD[CLASIFICACIÓN])-ROW('PT2 (FILTRAR)'!$E$5)+1,NA()),ROWS($B$5:C49)),COLUMNS($B$5:C49)),"")</f>
        <v/>
      </c>
      <c r="D49" s="142" t="str">
        <f t="array" ref="D49">IFERROR(INDEX(BD[],_xlfn.AGGREGATE(15,6,IF(BD[CLASIFICACIÓN]=$B$2,ROW(BD[CLASIFICACIÓN])-ROW('PT2 (FILTRAR)'!$E$5)+1,NA()),ROWS($B$5:D49)),COLUMNS($B$5:D49)),"")</f>
        <v/>
      </c>
      <c r="E49" s="126" t="str">
        <f t="array" ref="E49">IFERROR(INDEX(BD[],_xlfn.AGGREGATE(15,6,IF(BD[CLASIFICACIÓN]=$B$2,ROW(BD[CLASIFICACIÓN])-ROW('PT2 (FILTRAR)'!$E$5)+1,NA()),ROWS($B$5:E49)),COLUMNS($B$5:E49)),"")</f>
        <v/>
      </c>
      <c r="F49" s="126"/>
    </row>
    <row r="50" spans="2:6" x14ac:dyDescent="0.3">
      <c r="B50" s="126" t="str">
        <f t="array" ref="B50">IFERROR(INDEX(BD[],_xlfn.AGGREGATE(15,6,IF(BD[CLASIFICACIÓN]=$B$2,ROW(BD[CLASIFICACIÓN])-ROW('PT2 (FILTRAR)'!$E$5)+1,NA()),ROWS($B$5:B50)),COLUMNS($B$5:B50)),"")</f>
        <v/>
      </c>
      <c r="C50" s="127" t="str">
        <f t="array" ref="C50">IFERROR(INDEX(BD[],_xlfn.AGGREGATE(15,6,IF(BD[CLASIFICACIÓN]=$B$2,ROW(BD[CLASIFICACIÓN])-ROW('PT2 (FILTRAR)'!$E$5)+1,NA()),ROWS($B$5:C50)),COLUMNS($B$5:C50)),"")</f>
        <v/>
      </c>
      <c r="D50" s="142" t="str">
        <f t="array" ref="D50">IFERROR(INDEX(BD[],_xlfn.AGGREGATE(15,6,IF(BD[CLASIFICACIÓN]=$B$2,ROW(BD[CLASIFICACIÓN])-ROW('PT2 (FILTRAR)'!$E$5)+1,NA()),ROWS($B$5:D50)),COLUMNS($B$5:D50)),"")</f>
        <v/>
      </c>
      <c r="E50" s="126" t="str">
        <f t="array" ref="E50">IFERROR(INDEX(BD[],_xlfn.AGGREGATE(15,6,IF(BD[CLASIFICACIÓN]=$B$2,ROW(BD[CLASIFICACIÓN])-ROW('PT2 (FILTRAR)'!$E$5)+1,NA()),ROWS($B$5:E50)),COLUMNS($B$5:E50)),"")</f>
        <v/>
      </c>
      <c r="F50" s="126"/>
    </row>
    <row r="51" spans="2:6" x14ac:dyDescent="0.3">
      <c r="B51" s="126" t="str">
        <f t="array" ref="B51">IFERROR(INDEX(BD[],_xlfn.AGGREGATE(15,6,IF(BD[CLASIFICACIÓN]=$B$2,ROW(BD[CLASIFICACIÓN])-ROW('PT2 (FILTRAR)'!$E$5)+1,NA()),ROWS($B$5:B51)),COLUMNS($B$5:B51)),"")</f>
        <v/>
      </c>
      <c r="C51" s="127" t="str">
        <f t="array" ref="C51">IFERROR(INDEX(BD[],_xlfn.AGGREGATE(15,6,IF(BD[CLASIFICACIÓN]=$B$2,ROW(BD[CLASIFICACIÓN])-ROW('PT2 (FILTRAR)'!$E$5)+1,NA()),ROWS($B$5:C51)),COLUMNS($B$5:C51)),"")</f>
        <v/>
      </c>
      <c r="D51" s="142" t="str">
        <f t="array" ref="D51">IFERROR(INDEX(BD[],_xlfn.AGGREGATE(15,6,IF(BD[CLASIFICACIÓN]=$B$2,ROW(BD[CLASIFICACIÓN])-ROW('PT2 (FILTRAR)'!$E$5)+1,NA()),ROWS($B$5:D51)),COLUMNS($B$5:D51)),"")</f>
        <v/>
      </c>
      <c r="E51" s="126" t="str">
        <f t="array" ref="E51">IFERROR(INDEX(BD[],_xlfn.AGGREGATE(15,6,IF(BD[CLASIFICACIÓN]=$B$2,ROW(BD[CLASIFICACIÓN])-ROW('PT2 (FILTRAR)'!$E$5)+1,NA()),ROWS($B$5:E51)),COLUMNS($B$5:E51)),"")</f>
        <v/>
      </c>
      <c r="F51" s="126"/>
    </row>
    <row r="52" spans="2:6" x14ac:dyDescent="0.3">
      <c r="B52" s="126" t="str">
        <f t="array" ref="B52">IFERROR(INDEX(BD[],_xlfn.AGGREGATE(15,6,IF(BD[CLASIFICACIÓN]=$B$2,ROW(BD[CLASIFICACIÓN])-ROW('PT2 (FILTRAR)'!$E$5)+1,NA()),ROWS($B$5:B52)),COLUMNS($B$5:B52)),"")</f>
        <v/>
      </c>
      <c r="C52" s="127" t="str">
        <f t="array" ref="C52">IFERROR(INDEX(BD[],_xlfn.AGGREGATE(15,6,IF(BD[CLASIFICACIÓN]=$B$2,ROW(BD[CLASIFICACIÓN])-ROW('PT2 (FILTRAR)'!$E$5)+1,NA()),ROWS($B$5:C52)),COLUMNS($B$5:C52)),"")</f>
        <v/>
      </c>
      <c r="D52" s="142" t="str">
        <f t="array" ref="D52">IFERROR(INDEX(BD[],_xlfn.AGGREGATE(15,6,IF(BD[CLASIFICACIÓN]=$B$2,ROW(BD[CLASIFICACIÓN])-ROW('PT2 (FILTRAR)'!$E$5)+1,NA()),ROWS($B$5:D52)),COLUMNS($B$5:D52)),"")</f>
        <v/>
      </c>
      <c r="E52" s="126" t="str">
        <f t="array" ref="E52">IFERROR(INDEX(BD[],_xlfn.AGGREGATE(15,6,IF(BD[CLASIFICACIÓN]=$B$2,ROW(BD[CLASIFICACIÓN])-ROW('PT2 (FILTRAR)'!$E$5)+1,NA()),ROWS($B$5:E52)),COLUMNS($B$5:E52)),"")</f>
        <v/>
      </c>
      <c r="F52" s="126"/>
    </row>
    <row r="53" spans="2:6" x14ac:dyDescent="0.3">
      <c r="B53" s="126" t="str">
        <f t="array" ref="B53">IFERROR(INDEX(BD[],_xlfn.AGGREGATE(15,6,IF(BD[CLASIFICACIÓN]=$B$2,ROW(BD[CLASIFICACIÓN])-ROW('PT2 (FILTRAR)'!$E$5)+1,NA()),ROWS($B$5:B53)),COLUMNS($B$5:B53)),"")</f>
        <v/>
      </c>
      <c r="C53" s="127" t="str">
        <f t="array" ref="C53">IFERROR(INDEX(BD[],_xlfn.AGGREGATE(15,6,IF(BD[CLASIFICACIÓN]=$B$2,ROW(BD[CLASIFICACIÓN])-ROW('PT2 (FILTRAR)'!$E$5)+1,NA()),ROWS($B$5:C53)),COLUMNS($B$5:C53)),"")</f>
        <v/>
      </c>
      <c r="D53" s="142" t="str">
        <f t="array" ref="D53">IFERROR(INDEX(BD[],_xlfn.AGGREGATE(15,6,IF(BD[CLASIFICACIÓN]=$B$2,ROW(BD[CLASIFICACIÓN])-ROW('PT2 (FILTRAR)'!$E$5)+1,NA()),ROWS($B$5:D53)),COLUMNS($B$5:D53)),"")</f>
        <v/>
      </c>
      <c r="E53" s="126" t="str">
        <f t="array" ref="E53">IFERROR(INDEX(BD[],_xlfn.AGGREGATE(15,6,IF(BD[CLASIFICACIÓN]=$B$2,ROW(BD[CLASIFICACIÓN])-ROW('PT2 (FILTRAR)'!$E$5)+1,NA()),ROWS($B$5:E53)),COLUMNS($B$5:E53)),"")</f>
        <v/>
      </c>
      <c r="F53" s="126"/>
    </row>
    <row r="54" spans="2:6" x14ac:dyDescent="0.3">
      <c r="B54" s="126" t="str">
        <f t="array" ref="B54">IFERROR(INDEX(BD[],_xlfn.AGGREGATE(15,6,IF(BD[CLASIFICACIÓN]=$B$2,ROW(BD[CLASIFICACIÓN])-ROW('PT2 (FILTRAR)'!$E$5)+1,NA()),ROWS($B$5:B54)),COLUMNS($B$5:B54)),"")</f>
        <v/>
      </c>
      <c r="C54" s="127" t="str">
        <f t="array" ref="C54">IFERROR(INDEX(BD[],_xlfn.AGGREGATE(15,6,IF(BD[CLASIFICACIÓN]=$B$2,ROW(BD[CLASIFICACIÓN])-ROW('PT2 (FILTRAR)'!$E$5)+1,NA()),ROWS($B$5:C54)),COLUMNS($B$5:C54)),"")</f>
        <v/>
      </c>
      <c r="D54" s="142" t="str">
        <f t="array" ref="D54">IFERROR(INDEX(BD[],_xlfn.AGGREGATE(15,6,IF(BD[CLASIFICACIÓN]=$B$2,ROW(BD[CLASIFICACIÓN])-ROW('PT2 (FILTRAR)'!$E$5)+1,NA()),ROWS($B$5:D54)),COLUMNS($B$5:D54)),"")</f>
        <v/>
      </c>
      <c r="E54" s="126" t="str">
        <f t="array" ref="E54">IFERROR(INDEX(BD[],_xlfn.AGGREGATE(15,6,IF(BD[CLASIFICACIÓN]=$B$2,ROW(BD[CLASIFICACIÓN])-ROW('PT2 (FILTRAR)'!$E$5)+1,NA()),ROWS($B$5:E54)),COLUMNS($B$5:E54)),"")</f>
        <v/>
      </c>
      <c r="F54" s="126"/>
    </row>
    <row r="55" spans="2:6" x14ac:dyDescent="0.3">
      <c r="B55" s="126" t="str">
        <f t="array" ref="B55">IFERROR(INDEX(BD[],_xlfn.AGGREGATE(15,6,IF(BD[CLASIFICACIÓN]=$B$2,ROW(BD[CLASIFICACIÓN])-ROW('PT2 (FILTRAR)'!$E$5)+1,NA()),ROWS($B$5:B55)),COLUMNS($B$5:B55)),"")</f>
        <v/>
      </c>
      <c r="C55" s="127" t="str">
        <f t="array" ref="C55">IFERROR(INDEX(BD[],_xlfn.AGGREGATE(15,6,IF(BD[CLASIFICACIÓN]=$B$2,ROW(BD[CLASIFICACIÓN])-ROW('PT2 (FILTRAR)'!$E$5)+1,NA()),ROWS($B$5:C55)),COLUMNS($B$5:C55)),"")</f>
        <v/>
      </c>
      <c r="D55" s="142" t="str">
        <f t="array" ref="D55">IFERROR(INDEX(BD[],_xlfn.AGGREGATE(15,6,IF(BD[CLASIFICACIÓN]=$B$2,ROW(BD[CLASIFICACIÓN])-ROW('PT2 (FILTRAR)'!$E$5)+1,NA()),ROWS($B$5:D55)),COLUMNS($B$5:D55)),"")</f>
        <v/>
      </c>
      <c r="E55" s="126" t="str">
        <f t="array" ref="E55">IFERROR(INDEX(BD[],_xlfn.AGGREGATE(15,6,IF(BD[CLASIFICACIÓN]=$B$2,ROW(BD[CLASIFICACIÓN])-ROW('PT2 (FILTRAR)'!$E$5)+1,NA()),ROWS($B$5:E55)),COLUMNS($B$5:E55)),"")</f>
        <v/>
      </c>
      <c r="F55" s="126"/>
    </row>
    <row r="56" spans="2:6" x14ac:dyDescent="0.3">
      <c r="B56" s="126" t="str">
        <f t="array" ref="B56">IFERROR(INDEX(BD[],_xlfn.AGGREGATE(15,6,IF(BD[CLASIFICACIÓN]=$B$2,ROW(BD[CLASIFICACIÓN])-ROW('PT2 (FILTRAR)'!$E$5)+1,NA()),ROWS($B$5:B56)),COLUMNS($B$5:B56)),"")</f>
        <v/>
      </c>
      <c r="C56" s="127" t="str">
        <f t="array" ref="C56">IFERROR(INDEX(BD[],_xlfn.AGGREGATE(15,6,IF(BD[CLASIFICACIÓN]=$B$2,ROW(BD[CLASIFICACIÓN])-ROW('PT2 (FILTRAR)'!$E$5)+1,NA()),ROWS($B$5:C56)),COLUMNS($B$5:C56)),"")</f>
        <v/>
      </c>
      <c r="D56" s="142" t="str">
        <f t="array" ref="D56">IFERROR(INDEX(BD[],_xlfn.AGGREGATE(15,6,IF(BD[CLASIFICACIÓN]=$B$2,ROW(BD[CLASIFICACIÓN])-ROW('PT2 (FILTRAR)'!$E$5)+1,NA()),ROWS($B$5:D56)),COLUMNS($B$5:D56)),"")</f>
        <v/>
      </c>
      <c r="E56" s="126" t="str">
        <f t="array" ref="E56">IFERROR(INDEX(BD[],_xlfn.AGGREGATE(15,6,IF(BD[CLASIFICACIÓN]=$B$2,ROW(BD[CLASIFICACIÓN])-ROW('PT2 (FILTRAR)'!$E$5)+1,NA()),ROWS($B$5:E56)),COLUMNS($B$5:E56)),"")</f>
        <v/>
      </c>
      <c r="F56" s="126"/>
    </row>
    <row r="57" spans="2:6" x14ac:dyDescent="0.3">
      <c r="B57" s="126" t="str">
        <f t="array" ref="B57">IFERROR(INDEX(BD[],_xlfn.AGGREGATE(15,6,IF(BD[CLASIFICACIÓN]=$B$2,ROW(BD[CLASIFICACIÓN])-ROW('PT2 (FILTRAR)'!$E$5)+1,NA()),ROWS($B$5:B57)),COLUMNS($B$5:B57)),"")</f>
        <v/>
      </c>
      <c r="C57" s="127" t="str">
        <f t="array" ref="C57">IFERROR(INDEX(BD[],_xlfn.AGGREGATE(15,6,IF(BD[CLASIFICACIÓN]=$B$2,ROW(BD[CLASIFICACIÓN])-ROW('PT2 (FILTRAR)'!$E$5)+1,NA()),ROWS($B$5:C57)),COLUMNS($B$5:C57)),"")</f>
        <v/>
      </c>
      <c r="D57" s="142" t="str">
        <f t="array" ref="D57">IFERROR(INDEX(BD[],_xlfn.AGGREGATE(15,6,IF(BD[CLASIFICACIÓN]=$B$2,ROW(BD[CLASIFICACIÓN])-ROW('PT2 (FILTRAR)'!$E$5)+1,NA()),ROWS($B$5:D57)),COLUMNS($B$5:D57)),"")</f>
        <v/>
      </c>
      <c r="E57" s="126" t="str">
        <f t="array" ref="E57">IFERROR(INDEX(BD[],_xlfn.AGGREGATE(15,6,IF(BD[CLASIFICACIÓN]=$B$2,ROW(BD[CLASIFICACIÓN])-ROW('PT2 (FILTRAR)'!$E$5)+1,NA()),ROWS($B$5:E57)),COLUMNS($B$5:E57)),"")</f>
        <v/>
      </c>
      <c r="F57" s="126"/>
    </row>
    <row r="58" spans="2:6" x14ac:dyDescent="0.3">
      <c r="B58" s="126" t="str">
        <f t="array" ref="B58">IFERROR(INDEX(BD[],_xlfn.AGGREGATE(15,6,IF(BD[CLASIFICACIÓN]=$B$2,ROW(BD[CLASIFICACIÓN])-ROW('PT2 (FILTRAR)'!$E$5)+1,NA()),ROWS($B$5:B58)),COLUMNS($B$5:B58)),"")</f>
        <v/>
      </c>
      <c r="C58" s="127" t="str">
        <f t="array" ref="C58">IFERROR(INDEX(BD[],_xlfn.AGGREGATE(15,6,IF(BD[CLASIFICACIÓN]=$B$2,ROW(BD[CLASIFICACIÓN])-ROW('PT2 (FILTRAR)'!$E$5)+1,NA()),ROWS($B$5:C58)),COLUMNS($B$5:C58)),"")</f>
        <v/>
      </c>
      <c r="D58" s="142" t="str">
        <f t="array" ref="D58">IFERROR(INDEX(BD[],_xlfn.AGGREGATE(15,6,IF(BD[CLASIFICACIÓN]=$B$2,ROW(BD[CLASIFICACIÓN])-ROW('PT2 (FILTRAR)'!$E$5)+1,NA()),ROWS($B$5:D58)),COLUMNS($B$5:D58)),"")</f>
        <v/>
      </c>
      <c r="E58" s="126" t="str">
        <f t="array" ref="E58">IFERROR(INDEX(BD[],_xlfn.AGGREGATE(15,6,IF(BD[CLASIFICACIÓN]=$B$2,ROW(BD[CLASIFICACIÓN])-ROW('PT2 (FILTRAR)'!$E$5)+1,NA()),ROWS($B$5:E58)),COLUMNS($B$5:E58)),"")</f>
        <v/>
      </c>
      <c r="F58" s="126"/>
    </row>
    <row r="59" spans="2:6" x14ac:dyDescent="0.3">
      <c r="B59" s="126" t="str">
        <f t="array" ref="B59">IFERROR(INDEX(BD[],_xlfn.AGGREGATE(15,6,IF(BD[CLASIFICACIÓN]=$B$2,ROW(BD[CLASIFICACIÓN])-ROW('PT2 (FILTRAR)'!$E$5)+1,NA()),ROWS($B$5:B59)),COLUMNS($B$5:B59)),"")</f>
        <v/>
      </c>
      <c r="C59" s="127" t="str">
        <f t="array" ref="C59">IFERROR(INDEX(BD[],_xlfn.AGGREGATE(15,6,IF(BD[CLASIFICACIÓN]=$B$2,ROW(BD[CLASIFICACIÓN])-ROW('PT2 (FILTRAR)'!$E$5)+1,NA()),ROWS($B$5:C59)),COLUMNS($B$5:C59)),"")</f>
        <v/>
      </c>
      <c r="D59" s="142" t="str">
        <f t="array" ref="D59">IFERROR(INDEX(BD[],_xlfn.AGGREGATE(15,6,IF(BD[CLASIFICACIÓN]=$B$2,ROW(BD[CLASIFICACIÓN])-ROW('PT2 (FILTRAR)'!$E$5)+1,NA()),ROWS($B$5:D59)),COLUMNS($B$5:D59)),"")</f>
        <v/>
      </c>
      <c r="E59" s="126" t="str">
        <f t="array" ref="E59">IFERROR(INDEX(BD[],_xlfn.AGGREGATE(15,6,IF(BD[CLASIFICACIÓN]=$B$2,ROW(BD[CLASIFICACIÓN])-ROW('PT2 (FILTRAR)'!$E$5)+1,NA()),ROWS($B$5:E59)),COLUMNS($B$5:E59)),"")</f>
        <v/>
      </c>
      <c r="F59" s="126"/>
    </row>
    <row r="60" spans="2:6" x14ac:dyDescent="0.3">
      <c r="B60" s="126" t="str">
        <f t="array" ref="B60">IFERROR(INDEX(BD[],_xlfn.AGGREGATE(15,6,IF(BD[CLASIFICACIÓN]=$B$2,ROW(BD[CLASIFICACIÓN])-ROW('PT2 (FILTRAR)'!$E$5)+1,NA()),ROWS($B$5:B60)),COLUMNS($B$5:B60)),"")</f>
        <v/>
      </c>
      <c r="C60" s="127" t="str">
        <f t="array" ref="C60">IFERROR(INDEX(BD[],_xlfn.AGGREGATE(15,6,IF(BD[CLASIFICACIÓN]=$B$2,ROW(BD[CLASIFICACIÓN])-ROW('PT2 (FILTRAR)'!$E$5)+1,NA()),ROWS($B$5:C60)),COLUMNS($B$5:C60)),"")</f>
        <v/>
      </c>
      <c r="D60" s="142" t="str">
        <f t="array" ref="D60">IFERROR(INDEX(BD[],_xlfn.AGGREGATE(15,6,IF(BD[CLASIFICACIÓN]=$B$2,ROW(BD[CLASIFICACIÓN])-ROW('PT2 (FILTRAR)'!$E$5)+1,NA()),ROWS($B$5:D60)),COLUMNS($B$5:D60)),"")</f>
        <v/>
      </c>
      <c r="E60" s="126" t="str">
        <f t="array" ref="E60">IFERROR(INDEX(BD[],_xlfn.AGGREGATE(15,6,IF(BD[CLASIFICACIÓN]=$B$2,ROW(BD[CLASIFICACIÓN])-ROW('PT2 (FILTRAR)'!$E$5)+1,NA()),ROWS($B$5:E60)),COLUMNS($B$5:E60)),"")</f>
        <v/>
      </c>
      <c r="F60" s="126"/>
    </row>
    <row r="61" spans="2:6" x14ac:dyDescent="0.3">
      <c r="B61" s="126" t="str">
        <f t="array" ref="B61">IFERROR(INDEX(BD[],_xlfn.AGGREGATE(15,6,IF(BD[CLASIFICACIÓN]=$B$2,ROW(BD[CLASIFICACIÓN])-ROW('PT2 (FILTRAR)'!$E$5)+1,NA()),ROWS($B$5:B61)),COLUMNS($B$5:B61)),"")</f>
        <v/>
      </c>
      <c r="C61" s="127" t="str">
        <f t="array" ref="C61">IFERROR(INDEX(BD[],_xlfn.AGGREGATE(15,6,IF(BD[CLASIFICACIÓN]=$B$2,ROW(BD[CLASIFICACIÓN])-ROW('PT2 (FILTRAR)'!$E$5)+1,NA()),ROWS($B$5:C61)),COLUMNS($B$5:C61)),"")</f>
        <v/>
      </c>
      <c r="D61" s="142" t="str">
        <f t="array" ref="D61">IFERROR(INDEX(BD[],_xlfn.AGGREGATE(15,6,IF(BD[CLASIFICACIÓN]=$B$2,ROW(BD[CLASIFICACIÓN])-ROW('PT2 (FILTRAR)'!$E$5)+1,NA()),ROWS($B$5:D61)),COLUMNS($B$5:D61)),"")</f>
        <v/>
      </c>
      <c r="E61" s="126" t="str">
        <f t="array" ref="E61">IFERROR(INDEX(BD[],_xlfn.AGGREGATE(15,6,IF(BD[CLASIFICACIÓN]=$B$2,ROW(BD[CLASIFICACIÓN])-ROW('PT2 (FILTRAR)'!$E$5)+1,NA()),ROWS($B$5:E61)),COLUMNS($B$5:E61)),"")</f>
        <v/>
      </c>
      <c r="F61" s="126"/>
    </row>
    <row r="62" spans="2:6" x14ac:dyDescent="0.3">
      <c r="B62" s="126" t="str">
        <f t="array" ref="B62">IFERROR(INDEX(BD[],_xlfn.AGGREGATE(15,6,IF(BD[CLASIFICACIÓN]=$B$2,ROW(BD[CLASIFICACIÓN])-ROW('PT2 (FILTRAR)'!$E$5)+1,NA()),ROWS($B$5:B62)),COLUMNS($B$5:B62)),"")</f>
        <v/>
      </c>
      <c r="C62" s="127" t="str">
        <f t="array" ref="C62">IFERROR(INDEX(BD[],_xlfn.AGGREGATE(15,6,IF(BD[CLASIFICACIÓN]=$B$2,ROW(BD[CLASIFICACIÓN])-ROW('PT2 (FILTRAR)'!$E$5)+1,NA()),ROWS($B$5:C62)),COLUMNS($B$5:C62)),"")</f>
        <v/>
      </c>
      <c r="D62" s="142" t="str">
        <f t="array" ref="D62">IFERROR(INDEX(BD[],_xlfn.AGGREGATE(15,6,IF(BD[CLASIFICACIÓN]=$B$2,ROW(BD[CLASIFICACIÓN])-ROW('PT2 (FILTRAR)'!$E$5)+1,NA()),ROWS($B$5:D62)),COLUMNS($B$5:D62)),"")</f>
        <v/>
      </c>
      <c r="E62" s="126" t="str">
        <f t="array" ref="E62">IFERROR(INDEX(BD[],_xlfn.AGGREGATE(15,6,IF(BD[CLASIFICACIÓN]=$B$2,ROW(BD[CLASIFICACIÓN])-ROW('PT2 (FILTRAR)'!$E$5)+1,NA()),ROWS($B$5:E62)),COLUMNS($B$5:E62)),"")</f>
        <v/>
      </c>
      <c r="F62" s="126"/>
    </row>
    <row r="63" spans="2:6" x14ac:dyDescent="0.3">
      <c r="B63" s="126" t="str">
        <f t="array" ref="B63">IFERROR(INDEX(BD[],_xlfn.AGGREGATE(15,6,IF(BD[CLASIFICACIÓN]=$B$2,ROW(BD[CLASIFICACIÓN])-ROW('PT2 (FILTRAR)'!$E$5)+1,NA()),ROWS($B$5:B63)),COLUMNS($B$5:B63)),"")</f>
        <v/>
      </c>
      <c r="C63" s="127" t="str">
        <f t="array" ref="C63">IFERROR(INDEX(BD[],_xlfn.AGGREGATE(15,6,IF(BD[CLASIFICACIÓN]=$B$2,ROW(BD[CLASIFICACIÓN])-ROW('PT2 (FILTRAR)'!$E$5)+1,NA()),ROWS($B$5:C63)),COLUMNS($B$5:C63)),"")</f>
        <v/>
      </c>
      <c r="D63" s="142" t="str">
        <f t="array" ref="D63">IFERROR(INDEX(BD[],_xlfn.AGGREGATE(15,6,IF(BD[CLASIFICACIÓN]=$B$2,ROW(BD[CLASIFICACIÓN])-ROW('PT2 (FILTRAR)'!$E$5)+1,NA()),ROWS($B$5:D63)),COLUMNS($B$5:D63)),"")</f>
        <v/>
      </c>
      <c r="E63" s="126" t="str">
        <f t="array" ref="E63">IFERROR(INDEX(BD[],_xlfn.AGGREGATE(15,6,IF(BD[CLASIFICACIÓN]=$B$2,ROW(BD[CLASIFICACIÓN])-ROW('PT2 (FILTRAR)'!$E$5)+1,NA()),ROWS($B$5:E63)),COLUMNS($B$5:E63)),"")</f>
        <v/>
      </c>
      <c r="F63" s="126"/>
    </row>
    <row r="64" spans="2:6" x14ac:dyDescent="0.3">
      <c r="B64" s="126" t="str">
        <f t="array" ref="B64">IFERROR(INDEX(BD[],_xlfn.AGGREGATE(15,6,IF(BD[CLASIFICACIÓN]=$B$2,ROW(BD[CLASIFICACIÓN])-ROW('PT2 (FILTRAR)'!$E$5)+1,NA()),ROWS($B$5:B64)),COLUMNS($B$5:B64)),"")</f>
        <v/>
      </c>
      <c r="C64" s="127" t="str">
        <f t="array" ref="C64">IFERROR(INDEX(BD[],_xlfn.AGGREGATE(15,6,IF(BD[CLASIFICACIÓN]=$B$2,ROW(BD[CLASIFICACIÓN])-ROW('PT2 (FILTRAR)'!$E$5)+1,NA()),ROWS($B$5:C64)),COLUMNS($B$5:C64)),"")</f>
        <v/>
      </c>
      <c r="D64" s="142" t="str">
        <f t="array" ref="D64">IFERROR(INDEX(BD[],_xlfn.AGGREGATE(15,6,IF(BD[CLASIFICACIÓN]=$B$2,ROW(BD[CLASIFICACIÓN])-ROW('PT2 (FILTRAR)'!$E$5)+1,NA()),ROWS($B$5:D64)),COLUMNS($B$5:D64)),"")</f>
        <v/>
      </c>
      <c r="E64" s="126" t="str">
        <f t="array" ref="E64">IFERROR(INDEX(BD[],_xlfn.AGGREGATE(15,6,IF(BD[CLASIFICACIÓN]=$B$2,ROW(BD[CLASIFICACIÓN])-ROW('PT2 (FILTRAR)'!$E$5)+1,NA()),ROWS($B$5:E64)),COLUMNS($B$5:E64)),"")</f>
        <v/>
      </c>
      <c r="F64" s="126"/>
    </row>
    <row r="65" spans="2:6" x14ac:dyDescent="0.3">
      <c r="B65" s="126" t="str">
        <f t="array" ref="B65">IFERROR(INDEX(BD[],_xlfn.AGGREGATE(15,6,IF(BD[CLASIFICACIÓN]=$B$2,ROW(BD[CLASIFICACIÓN])-ROW('PT2 (FILTRAR)'!$E$5)+1,NA()),ROWS($B$5:B65)),COLUMNS($B$5:B65)),"")</f>
        <v/>
      </c>
      <c r="C65" s="127" t="str">
        <f t="array" ref="C65">IFERROR(INDEX(BD[],_xlfn.AGGREGATE(15,6,IF(BD[CLASIFICACIÓN]=$B$2,ROW(BD[CLASIFICACIÓN])-ROW('PT2 (FILTRAR)'!$E$5)+1,NA()),ROWS($B$5:C65)),COLUMNS($B$5:C65)),"")</f>
        <v/>
      </c>
      <c r="D65" s="142" t="str">
        <f t="array" ref="D65">IFERROR(INDEX(BD[],_xlfn.AGGREGATE(15,6,IF(BD[CLASIFICACIÓN]=$B$2,ROW(BD[CLASIFICACIÓN])-ROW('PT2 (FILTRAR)'!$E$5)+1,NA()),ROWS($B$5:D65)),COLUMNS($B$5:D65)),"")</f>
        <v/>
      </c>
      <c r="E65" s="126" t="str">
        <f t="array" ref="E65">IFERROR(INDEX(BD[],_xlfn.AGGREGATE(15,6,IF(BD[CLASIFICACIÓN]=$B$2,ROW(BD[CLASIFICACIÓN])-ROW('PT2 (FILTRAR)'!$E$5)+1,NA()),ROWS($B$5:E65)),COLUMNS($B$5:E65)),"")</f>
        <v/>
      </c>
      <c r="F65" s="126"/>
    </row>
    <row r="66" spans="2:6" x14ac:dyDescent="0.3">
      <c r="B66" s="126" t="str">
        <f t="array" ref="B66">IFERROR(INDEX(BD[],_xlfn.AGGREGATE(15,6,IF(BD[CLASIFICACIÓN]=$B$2,ROW(BD[CLASIFICACIÓN])-ROW('PT2 (FILTRAR)'!$E$5)+1,NA()),ROWS($B$5:B66)),COLUMNS($B$5:B66)),"")</f>
        <v/>
      </c>
      <c r="C66" s="127" t="str">
        <f t="array" ref="C66">IFERROR(INDEX(BD[],_xlfn.AGGREGATE(15,6,IF(BD[CLASIFICACIÓN]=$B$2,ROW(BD[CLASIFICACIÓN])-ROW('PT2 (FILTRAR)'!$E$5)+1,NA()),ROWS($B$5:C66)),COLUMNS($B$5:C66)),"")</f>
        <v/>
      </c>
      <c r="D66" s="142" t="str">
        <f t="array" ref="D66">IFERROR(INDEX(BD[],_xlfn.AGGREGATE(15,6,IF(BD[CLASIFICACIÓN]=$B$2,ROW(BD[CLASIFICACIÓN])-ROW('PT2 (FILTRAR)'!$E$5)+1,NA()),ROWS($B$5:D66)),COLUMNS($B$5:D66)),"")</f>
        <v/>
      </c>
      <c r="E66" s="126" t="str">
        <f t="array" ref="E66">IFERROR(INDEX(BD[],_xlfn.AGGREGATE(15,6,IF(BD[CLASIFICACIÓN]=$B$2,ROW(BD[CLASIFICACIÓN])-ROW('PT2 (FILTRAR)'!$E$5)+1,NA()),ROWS($B$5:E66)),COLUMNS($B$5:E66)),"")</f>
        <v/>
      </c>
      <c r="F66" s="126"/>
    </row>
    <row r="67" spans="2:6" x14ac:dyDescent="0.3">
      <c r="B67" s="126" t="str">
        <f t="array" ref="B67">IFERROR(INDEX(BD[],_xlfn.AGGREGATE(15,6,IF(BD[CLASIFICACIÓN]=$B$2,ROW(BD[CLASIFICACIÓN])-ROW('PT2 (FILTRAR)'!$E$5)+1,NA()),ROWS($B$5:B67)),COLUMNS($B$5:B67)),"")</f>
        <v/>
      </c>
      <c r="C67" s="127" t="str">
        <f t="array" ref="C67">IFERROR(INDEX(BD[],_xlfn.AGGREGATE(15,6,IF(BD[CLASIFICACIÓN]=$B$2,ROW(BD[CLASIFICACIÓN])-ROW('PT2 (FILTRAR)'!$E$5)+1,NA()),ROWS($B$5:C67)),COLUMNS($B$5:C67)),"")</f>
        <v/>
      </c>
      <c r="D67" s="142" t="str">
        <f t="array" ref="D67">IFERROR(INDEX(BD[],_xlfn.AGGREGATE(15,6,IF(BD[CLASIFICACIÓN]=$B$2,ROW(BD[CLASIFICACIÓN])-ROW('PT2 (FILTRAR)'!$E$5)+1,NA()),ROWS($B$5:D67)),COLUMNS($B$5:D67)),"")</f>
        <v/>
      </c>
      <c r="E67" s="126" t="str">
        <f t="array" ref="E67">IFERROR(INDEX(BD[],_xlfn.AGGREGATE(15,6,IF(BD[CLASIFICACIÓN]=$B$2,ROW(BD[CLASIFICACIÓN])-ROW('PT2 (FILTRAR)'!$E$5)+1,NA()),ROWS($B$5:E67)),COLUMNS($B$5:E67)),"")</f>
        <v/>
      </c>
      <c r="F67" s="126"/>
    </row>
    <row r="68" spans="2:6" x14ac:dyDescent="0.3">
      <c r="B68" s="126" t="str">
        <f t="array" ref="B68">IFERROR(INDEX(BD[],_xlfn.AGGREGATE(15,6,IF(BD[CLASIFICACIÓN]=$B$2,ROW(BD[CLASIFICACIÓN])-ROW('PT2 (FILTRAR)'!$E$5)+1,NA()),ROWS($B$5:B68)),COLUMNS($B$5:B68)),"")</f>
        <v/>
      </c>
      <c r="C68" s="127" t="str">
        <f t="array" ref="C68">IFERROR(INDEX(BD[],_xlfn.AGGREGATE(15,6,IF(BD[CLASIFICACIÓN]=$B$2,ROW(BD[CLASIFICACIÓN])-ROW('PT2 (FILTRAR)'!$E$5)+1,NA()),ROWS($B$5:C68)),COLUMNS($B$5:C68)),"")</f>
        <v/>
      </c>
      <c r="D68" s="142" t="str">
        <f t="array" ref="D68">IFERROR(INDEX(BD[],_xlfn.AGGREGATE(15,6,IF(BD[CLASIFICACIÓN]=$B$2,ROW(BD[CLASIFICACIÓN])-ROW('PT2 (FILTRAR)'!$E$5)+1,NA()),ROWS($B$5:D68)),COLUMNS($B$5:D68)),"")</f>
        <v/>
      </c>
      <c r="E68" s="126" t="str">
        <f t="array" ref="E68">IFERROR(INDEX(BD[],_xlfn.AGGREGATE(15,6,IF(BD[CLASIFICACIÓN]=$B$2,ROW(BD[CLASIFICACIÓN])-ROW('PT2 (FILTRAR)'!$E$5)+1,NA()),ROWS($B$5:E68)),COLUMNS($B$5:E68)),"")</f>
        <v/>
      </c>
      <c r="F68" s="126"/>
    </row>
    <row r="69" spans="2:6" x14ac:dyDescent="0.3">
      <c r="B69" s="126" t="str">
        <f t="array" ref="B69">IFERROR(INDEX(BD[],_xlfn.AGGREGATE(15,6,IF(BD[CLASIFICACIÓN]=$B$2,ROW(BD[CLASIFICACIÓN])-ROW('PT2 (FILTRAR)'!$E$5)+1,NA()),ROWS($B$5:B69)),COLUMNS($B$5:B69)),"")</f>
        <v/>
      </c>
      <c r="C69" s="127" t="str">
        <f t="array" ref="C69">IFERROR(INDEX(BD[],_xlfn.AGGREGATE(15,6,IF(BD[CLASIFICACIÓN]=$B$2,ROW(BD[CLASIFICACIÓN])-ROW('PT2 (FILTRAR)'!$E$5)+1,NA()),ROWS($B$5:C69)),COLUMNS($B$5:C69)),"")</f>
        <v/>
      </c>
      <c r="D69" s="142" t="str">
        <f t="array" ref="D69">IFERROR(INDEX(BD[],_xlfn.AGGREGATE(15,6,IF(BD[CLASIFICACIÓN]=$B$2,ROW(BD[CLASIFICACIÓN])-ROW('PT2 (FILTRAR)'!$E$5)+1,NA()),ROWS($B$5:D69)),COLUMNS($B$5:D69)),"")</f>
        <v/>
      </c>
      <c r="E69" s="126" t="str">
        <f t="array" ref="E69">IFERROR(INDEX(BD[],_xlfn.AGGREGATE(15,6,IF(BD[CLASIFICACIÓN]=$B$2,ROW(BD[CLASIFICACIÓN])-ROW('PT2 (FILTRAR)'!$E$5)+1,NA()),ROWS($B$5:E69)),COLUMNS($B$5:E69)),"")</f>
        <v/>
      </c>
      <c r="F69" s="126"/>
    </row>
    <row r="70" spans="2:6" x14ac:dyDescent="0.3">
      <c r="B70" s="126" t="str">
        <f t="array" ref="B70">IFERROR(INDEX(BD[],_xlfn.AGGREGATE(15,6,IF(BD[CLASIFICACIÓN]=$B$2,ROW(BD[CLASIFICACIÓN])-ROW('PT2 (FILTRAR)'!$E$5)+1,NA()),ROWS($B$5:B70)),COLUMNS($B$5:B70)),"")</f>
        <v/>
      </c>
      <c r="C70" s="127" t="str">
        <f t="array" ref="C70">IFERROR(INDEX(BD[],_xlfn.AGGREGATE(15,6,IF(BD[CLASIFICACIÓN]=$B$2,ROW(BD[CLASIFICACIÓN])-ROW('PT2 (FILTRAR)'!$E$5)+1,NA()),ROWS($B$5:C70)),COLUMNS($B$5:C70)),"")</f>
        <v/>
      </c>
      <c r="D70" s="142" t="str">
        <f t="array" ref="D70">IFERROR(INDEX(BD[],_xlfn.AGGREGATE(15,6,IF(BD[CLASIFICACIÓN]=$B$2,ROW(BD[CLASIFICACIÓN])-ROW('PT2 (FILTRAR)'!$E$5)+1,NA()),ROWS($B$5:D70)),COLUMNS($B$5:D70)),"")</f>
        <v/>
      </c>
      <c r="E70" s="126" t="str">
        <f t="array" ref="E70">IFERROR(INDEX(BD[],_xlfn.AGGREGATE(15,6,IF(BD[CLASIFICACIÓN]=$B$2,ROW(BD[CLASIFICACIÓN])-ROW('PT2 (FILTRAR)'!$E$5)+1,NA()),ROWS($B$5:E70)),COLUMNS($B$5:E70)),"")</f>
        <v/>
      </c>
      <c r="F70" s="126"/>
    </row>
    <row r="71" spans="2:6" x14ac:dyDescent="0.3">
      <c r="B71" s="126" t="str">
        <f t="array" ref="B71">IFERROR(INDEX(BD[],_xlfn.AGGREGATE(15,6,IF(BD[CLASIFICACIÓN]=$B$2,ROW(BD[CLASIFICACIÓN])-ROW('PT2 (FILTRAR)'!$E$5)+1,NA()),ROWS($B$5:B71)),COLUMNS($B$5:B71)),"")</f>
        <v/>
      </c>
      <c r="C71" s="127" t="str">
        <f t="array" ref="C71">IFERROR(INDEX(BD[],_xlfn.AGGREGATE(15,6,IF(BD[CLASIFICACIÓN]=$B$2,ROW(BD[CLASIFICACIÓN])-ROW('PT2 (FILTRAR)'!$E$5)+1,NA()),ROWS($B$5:C71)),COLUMNS($B$5:C71)),"")</f>
        <v/>
      </c>
      <c r="D71" s="142" t="str">
        <f t="array" ref="D71">IFERROR(INDEX(BD[],_xlfn.AGGREGATE(15,6,IF(BD[CLASIFICACIÓN]=$B$2,ROW(BD[CLASIFICACIÓN])-ROW('PT2 (FILTRAR)'!$E$5)+1,NA()),ROWS($B$5:D71)),COLUMNS($B$5:D71)),"")</f>
        <v/>
      </c>
      <c r="E71" s="126" t="str">
        <f t="array" ref="E71">IFERROR(INDEX(BD[],_xlfn.AGGREGATE(15,6,IF(BD[CLASIFICACIÓN]=$B$2,ROW(BD[CLASIFICACIÓN])-ROW('PT2 (FILTRAR)'!$E$5)+1,NA()),ROWS($B$5:E71)),COLUMNS($B$5:E71)),"")</f>
        <v/>
      </c>
      <c r="F71" s="126"/>
    </row>
    <row r="72" spans="2:6" x14ac:dyDescent="0.3">
      <c r="B72" s="126" t="str">
        <f t="array" ref="B72">IFERROR(INDEX(BD[],_xlfn.AGGREGATE(15,6,IF(BD[CLASIFICACIÓN]=$B$2,ROW(BD[CLASIFICACIÓN])-ROW('PT2 (FILTRAR)'!$E$5)+1,NA()),ROWS($B$5:B72)),COLUMNS($B$5:B72)),"")</f>
        <v/>
      </c>
      <c r="C72" s="127" t="str">
        <f t="array" ref="C72">IFERROR(INDEX(BD[],_xlfn.AGGREGATE(15,6,IF(BD[CLASIFICACIÓN]=$B$2,ROW(BD[CLASIFICACIÓN])-ROW('PT2 (FILTRAR)'!$E$5)+1,NA()),ROWS($B$5:C72)),COLUMNS($B$5:C72)),"")</f>
        <v/>
      </c>
      <c r="D72" s="142" t="str">
        <f t="array" ref="D72">IFERROR(INDEX(BD[],_xlfn.AGGREGATE(15,6,IF(BD[CLASIFICACIÓN]=$B$2,ROW(BD[CLASIFICACIÓN])-ROW('PT2 (FILTRAR)'!$E$5)+1,NA()),ROWS($B$5:D72)),COLUMNS($B$5:D72)),"")</f>
        <v/>
      </c>
      <c r="E72" s="126" t="str">
        <f t="array" ref="E72">IFERROR(INDEX(BD[],_xlfn.AGGREGATE(15,6,IF(BD[CLASIFICACIÓN]=$B$2,ROW(BD[CLASIFICACIÓN])-ROW('PT2 (FILTRAR)'!$E$5)+1,NA()),ROWS($B$5:E72)),COLUMNS($B$5:E72)),"")</f>
        <v/>
      </c>
      <c r="F72" s="126"/>
    </row>
    <row r="73" spans="2:6" x14ac:dyDescent="0.3">
      <c r="B73" s="126" t="str">
        <f t="array" ref="B73">IFERROR(INDEX(BD[],_xlfn.AGGREGATE(15,6,IF(BD[CLASIFICACIÓN]=$B$2,ROW(BD[CLASIFICACIÓN])-ROW('PT2 (FILTRAR)'!$E$5)+1,NA()),ROWS($B$5:B73)),COLUMNS($B$5:B73)),"")</f>
        <v/>
      </c>
      <c r="C73" s="127" t="str">
        <f t="array" ref="C73">IFERROR(INDEX(BD[],_xlfn.AGGREGATE(15,6,IF(BD[CLASIFICACIÓN]=$B$2,ROW(BD[CLASIFICACIÓN])-ROW('PT2 (FILTRAR)'!$E$5)+1,NA()),ROWS($B$5:C73)),COLUMNS($B$5:C73)),"")</f>
        <v/>
      </c>
      <c r="D73" s="142" t="str">
        <f t="array" ref="D73">IFERROR(INDEX(BD[],_xlfn.AGGREGATE(15,6,IF(BD[CLASIFICACIÓN]=$B$2,ROW(BD[CLASIFICACIÓN])-ROW('PT2 (FILTRAR)'!$E$5)+1,NA()),ROWS($B$5:D73)),COLUMNS($B$5:D73)),"")</f>
        <v/>
      </c>
      <c r="E73" s="126" t="str">
        <f t="array" ref="E73">IFERROR(INDEX(BD[],_xlfn.AGGREGATE(15,6,IF(BD[CLASIFICACIÓN]=$B$2,ROW(BD[CLASIFICACIÓN])-ROW('PT2 (FILTRAR)'!$E$5)+1,NA()),ROWS($B$5:E73)),COLUMNS($B$5:E73)),"")</f>
        <v/>
      </c>
      <c r="F73" s="126"/>
    </row>
    <row r="74" spans="2:6" x14ac:dyDescent="0.3">
      <c r="B74" s="126" t="str">
        <f t="array" ref="B74">IFERROR(INDEX(BD[],_xlfn.AGGREGATE(15,6,IF(BD[CLASIFICACIÓN]=$B$2,ROW(BD[CLASIFICACIÓN])-ROW('PT2 (FILTRAR)'!$E$5)+1,NA()),ROWS($B$5:B74)),COLUMNS($B$5:B74)),"")</f>
        <v/>
      </c>
      <c r="C74" s="127" t="str">
        <f t="array" ref="C74">IFERROR(INDEX(BD[],_xlfn.AGGREGATE(15,6,IF(BD[CLASIFICACIÓN]=$B$2,ROW(BD[CLASIFICACIÓN])-ROW('PT2 (FILTRAR)'!$E$5)+1,NA()),ROWS($B$5:C74)),COLUMNS($B$5:C74)),"")</f>
        <v/>
      </c>
      <c r="D74" s="142" t="str">
        <f t="array" ref="D74">IFERROR(INDEX(BD[],_xlfn.AGGREGATE(15,6,IF(BD[CLASIFICACIÓN]=$B$2,ROW(BD[CLASIFICACIÓN])-ROW('PT2 (FILTRAR)'!$E$5)+1,NA()),ROWS($B$5:D74)),COLUMNS($B$5:D74)),"")</f>
        <v/>
      </c>
      <c r="E74" s="126" t="str">
        <f t="array" ref="E74">IFERROR(INDEX(BD[],_xlfn.AGGREGATE(15,6,IF(BD[CLASIFICACIÓN]=$B$2,ROW(BD[CLASIFICACIÓN])-ROW('PT2 (FILTRAR)'!$E$5)+1,NA()),ROWS($B$5:E74)),COLUMNS($B$5:E74)),"")</f>
        <v/>
      </c>
      <c r="F74" s="126"/>
    </row>
    <row r="75" spans="2:6" x14ac:dyDescent="0.3">
      <c r="B75" s="126" t="str">
        <f t="array" ref="B75">IFERROR(INDEX(BD[],_xlfn.AGGREGATE(15,6,IF(BD[CLASIFICACIÓN]=$B$2,ROW(BD[CLASIFICACIÓN])-ROW('PT2 (FILTRAR)'!$E$5)+1,NA()),ROWS($B$5:B75)),COLUMNS($B$5:B75)),"")</f>
        <v/>
      </c>
      <c r="C75" s="127" t="str">
        <f t="array" ref="C75">IFERROR(INDEX(BD[],_xlfn.AGGREGATE(15,6,IF(BD[CLASIFICACIÓN]=$B$2,ROW(BD[CLASIFICACIÓN])-ROW('PT2 (FILTRAR)'!$E$5)+1,NA()),ROWS($B$5:C75)),COLUMNS($B$5:C75)),"")</f>
        <v/>
      </c>
      <c r="D75" s="142" t="str">
        <f t="array" ref="D75">IFERROR(INDEX(BD[],_xlfn.AGGREGATE(15,6,IF(BD[CLASIFICACIÓN]=$B$2,ROW(BD[CLASIFICACIÓN])-ROW('PT2 (FILTRAR)'!$E$5)+1,NA()),ROWS($B$5:D75)),COLUMNS($B$5:D75)),"")</f>
        <v/>
      </c>
      <c r="E75" s="126" t="str">
        <f t="array" ref="E75">IFERROR(INDEX(BD[],_xlfn.AGGREGATE(15,6,IF(BD[CLASIFICACIÓN]=$B$2,ROW(BD[CLASIFICACIÓN])-ROW('PT2 (FILTRAR)'!$E$5)+1,NA()),ROWS($B$5:E75)),COLUMNS($B$5:E75)),"")</f>
        <v/>
      </c>
      <c r="F75" s="126"/>
    </row>
    <row r="76" spans="2:6" x14ac:dyDescent="0.3">
      <c r="B76" s="126" t="str">
        <f t="array" ref="B76">IFERROR(INDEX(BD[],_xlfn.AGGREGATE(15,6,IF(BD[CLASIFICACIÓN]=$B$2,ROW(BD[CLASIFICACIÓN])-ROW('PT2 (FILTRAR)'!$E$5)+1,NA()),ROWS($B$5:B76)),COLUMNS($B$5:B76)),"")</f>
        <v/>
      </c>
      <c r="C76" s="127" t="str">
        <f t="array" ref="C76">IFERROR(INDEX(BD[],_xlfn.AGGREGATE(15,6,IF(BD[CLASIFICACIÓN]=$B$2,ROW(BD[CLASIFICACIÓN])-ROW('PT2 (FILTRAR)'!$E$5)+1,NA()),ROWS($B$5:C76)),COLUMNS($B$5:C76)),"")</f>
        <v/>
      </c>
      <c r="D76" s="142" t="str">
        <f t="array" ref="D76">IFERROR(INDEX(BD[],_xlfn.AGGREGATE(15,6,IF(BD[CLASIFICACIÓN]=$B$2,ROW(BD[CLASIFICACIÓN])-ROW('PT2 (FILTRAR)'!$E$5)+1,NA()),ROWS($B$5:D76)),COLUMNS($B$5:D76)),"")</f>
        <v/>
      </c>
      <c r="E76" s="126" t="str">
        <f t="array" ref="E76">IFERROR(INDEX(BD[],_xlfn.AGGREGATE(15,6,IF(BD[CLASIFICACIÓN]=$B$2,ROW(BD[CLASIFICACIÓN])-ROW('PT2 (FILTRAR)'!$E$5)+1,NA()),ROWS($B$5:E76)),COLUMNS($B$5:E76)),"")</f>
        <v/>
      </c>
      <c r="F76" s="126"/>
    </row>
    <row r="77" spans="2:6" x14ac:dyDescent="0.3">
      <c r="B77" s="126" t="str">
        <f t="array" ref="B77">IFERROR(INDEX(BD[],_xlfn.AGGREGATE(15,6,IF(BD[CLASIFICACIÓN]=$B$2,ROW(BD[CLASIFICACIÓN])-ROW('PT2 (FILTRAR)'!$E$5)+1,NA()),ROWS($B$5:B77)),COLUMNS($B$5:B77)),"")</f>
        <v/>
      </c>
      <c r="C77" s="127" t="str">
        <f t="array" ref="C77">IFERROR(INDEX(BD[],_xlfn.AGGREGATE(15,6,IF(BD[CLASIFICACIÓN]=$B$2,ROW(BD[CLASIFICACIÓN])-ROW('PT2 (FILTRAR)'!$E$5)+1,NA()),ROWS($B$5:C77)),COLUMNS($B$5:C77)),"")</f>
        <v/>
      </c>
      <c r="D77" s="142" t="str">
        <f t="array" ref="D77">IFERROR(INDEX(BD[],_xlfn.AGGREGATE(15,6,IF(BD[CLASIFICACIÓN]=$B$2,ROW(BD[CLASIFICACIÓN])-ROW('PT2 (FILTRAR)'!$E$5)+1,NA()),ROWS($B$5:D77)),COLUMNS($B$5:D77)),"")</f>
        <v/>
      </c>
      <c r="E77" s="126" t="str">
        <f t="array" ref="E77">IFERROR(INDEX(BD[],_xlfn.AGGREGATE(15,6,IF(BD[CLASIFICACIÓN]=$B$2,ROW(BD[CLASIFICACIÓN])-ROW('PT2 (FILTRAR)'!$E$5)+1,NA()),ROWS($B$5:E77)),COLUMNS($B$5:E77)),"")</f>
        <v/>
      </c>
      <c r="F77" s="126"/>
    </row>
    <row r="78" spans="2:6" x14ac:dyDescent="0.3">
      <c r="B78" s="126" t="str">
        <f t="array" ref="B78">IFERROR(INDEX(BD[],_xlfn.AGGREGATE(15,6,IF(BD[CLASIFICACIÓN]=$B$2,ROW(BD[CLASIFICACIÓN])-ROW('PT2 (FILTRAR)'!$E$5)+1,NA()),ROWS($B$5:B78)),COLUMNS($B$5:B78)),"")</f>
        <v/>
      </c>
      <c r="C78" s="127" t="str">
        <f t="array" ref="C78">IFERROR(INDEX(BD[],_xlfn.AGGREGATE(15,6,IF(BD[CLASIFICACIÓN]=$B$2,ROW(BD[CLASIFICACIÓN])-ROW('PT2 (FILTRAR)'!$E$5)+1,NA()),ROWS($B$5:C78)),COLUMNS($B$5:C78)),"")</f>
        <v/>
      </c>
      <c r="D78" s="142" t="str">
        <f t="array" ref="D78">IFERROR(INDEX(BD[],_xlfn.AGGREGATE(15,6,IF(BD[CLASIFICACIÓN]=$B$2,ROW(BD[CLASIFICACIÓN])-ROW('PT2 (FILTRAR)'!$E$5)+1,NA()),ROWS($B$5:D78)),COLUMNS($B$5:D78)),"")</f>
        <v/>
      </c>
      <c r="E78" s="126" t="str">
        <f t="array" ref="E78">IFERROR(INDEX(BD[],_xlfn.AGGREGATE(15,6,IF(BD[CLASIFICACIÓN]=$B$2,ROW(BD[CLASIFICACIÓN])-ROW('PT2 (FILTRAR)'!$E$5)+1,NA()),ROWS($B$5:E78)),COLUMNS($B$5:E78)),"")</f>
        <v/>
      </c>
      <c r="F78" s="126"/>
    </row>
    <row r="79" spans="2:6" x14ac:dyDescent="0.3">
      <c r="B79" s="126" t="str">
        <f t="array" ref="B79">IFERROR(INDEX(BD[],_xlfn.AGGREGATE(15,6,IF(BD[CLASIFICACIÓN]=$B$2,ROW(BD[CLASIFICACIÓN])-ROW('PT2 (FILTRAR)'!$E$5)+1,NA()),ROWS($B$5:B79)),COLUMNS($B$5:B79)),"")</f>
        <v/>
      </c>
      <c r="C79" s="127" t="str">
        <f t="array" ref="C79">IFERROR(INDEX(BD[],_xlfn.AGGREGATE(15,6,IF(BD[CLASIFICACIÓN]=$B$2,ROW(BD[CLASIFICACIÓN])-ROW('PT2 (FILTRAR)'!$E$5)+1,NA()),ROWS($B$5:C79)),COLUMNS($B$5:C79)),"")</f>
        <v/>
      </c>
      <c r="D79" s="142" t="str">
        <f t="array" ref="D79">IFERROR(INDEX(BD[],_xlfn.AGGREGATE(15,6,IF(BD[CLASIFICACIÓN]=$B$2,ROW(BD[CLASIFICACIÓN])-ROW('PT2 (FILTRAR)'!$E$5)+1,NA()),ROWS($B$5:D79)),COLUMNS($B$5:D79)),"")</f>
        <v/>
      </c>
      <c r="E79" s="126" t="str">
        <f t="array" ref="E79">IFERROR(INDEX(BD[],_xlfn.AGGREGATE(15,6,IF(BD[CLASIFICACIÓN]=$B$2,ROW(BD[CLASIFICACIÓN])-ROW('PT2 (FILTRAR)'!$E$5)+1,NA()),ROWS($B$5:E79)),COLUMNS($B$5:E79)),"")</f>
        <v/>
      </c>
      <c r="F79" s="126"/>
    </row>
    <row r="80" spans="2:6" x14ac:dyDescent="0.3">
      <c r="B80" s="126" t="str">
        <f t="array" ref="B80">IFERROR(INDEX(BD[],_xlfn.AGGREGATE(15,6,IF(BD[CLASIFICACIÓN]=$B$2,ROW(BD[CLASIFICACIÓN])-ROW('PT2 (FILTRAR)'!$E$5)+1,NA()),ROWS($B$5:B80)),COLUMNS($B$5:B80)),"")</f>
        <v/>
      </c>
      <c r="C80" s="127" t="str">
        <f t="array" ref="C80">IFERROR(INDEX(BD[],_xlfn.AGGREGATE(15,6,IF(BD[CLASIFICACIÓN]=$B$2,ROW(BD[CLASIFICACIÓN])-ROW('PT2 (FILTRAR)'!$E$5)+1,NA()),ROWS($B$5:C80)),COLUMNS($B$5:C80)),"")</f>
        <v/>
      </c>
      <c r="D80" s="142" t="str">
        <f t="array" ref="D80">IFERROR(INDEX(BD[],_xlfn.AGGREGATE(15,6,IF(BD[CLASIFICACIÓN]=$B$2,ROW(BD[CLASIFICACIÓN])-ROW('PT2 (FILTRAR)'!$E$5)+1,NA()),ROWS($B$5:D80)),COLUMNS($B$5:D80)),"")</f>
        <v/>
      </c>
      <c r="E80" s="126" t="str">
        <f t="array" ref="E80">IFERROR(INDEX(BD[],_xlfn.AGGREGATE(15,6,IF(BD[CLASIFICACIÓN]=$B$2,ROW(BD[CLASIFICACIÓN])-ROW('PT2 (FILTRAR)'!$E$5)+1,NA()),ROWS($B$5:E80)),COLUMNS($B$5:E80)),"")</f>
        <v/>
      </c>
      <c r="F80" s="126"/>
    </row>
    <row r="81" spans="2:6" x14ac:dyDescent="0.3">
      <c r="B81" s="126" t="str">
        <f t="array" ref="B81">IFERROR(INDEX(BD[],_xlfn.AGGREGATE(15,6,IF(BD[CLASIFICACIÓN]=$B$2,ROW(BD[CLASIFICACIÓN])-ROW('PT2 (FILTRAR)'!$E$5)+1,NA()),ROWS($B$5:B81)),COLUMNS($B$5:B81)),"")</f>
        <v/>
      </c>
      <c r="C81" s="127" t="str">
        <f t="array" ref="C81">IFERROR(INDEX(BD[],_xlfn.AGGREGATE(15,6,IF(BD[CLASIFICACIÓN]=$B$2,ROW(BD[CLASIFICACIÓN])-ROW('PT2 (FILTRAR)'!$E$5)+1,NA()),ROWS($B$5:C81)),COLUMNS($B$5:C81)),"")</f>
        <v/>
      </c>
      <c r="D81" s="142" t="str">
        <f t="array" ref="D81">IFERROR(INDEX(BD[],_xlfn.AGGREGATE(15,6,IF(BD[CLASIFICACIÓN]=$B$2,ROW(BD[CLASIFICACIÓN])-ROW('PT2 (FILTRAR)'!$E$5)+1,NA()),ROWS($B$5:D81)),COLUMNS($B$5:D81)),"")</f>
        <v/>
      </c>
      <c r="E81" s="126" t="str">
        <f t="array" ref="E81">IFERROR(INDEX(BD[],_xlfn.AGGREGATE(15,6,IF(BD[CLASIFICACIÓN]=$B$2,ROW(BD[CLASIFICACIÓN])-ROW('PT2 (FILTRAR)'!$E$5)+1,NA()),ROWS($B$5:E81)),COLUMNS($B$5:E81)),"")</f>
        <v/>
      </c>
      <c r="F81" s="126"/>
    </row>
    <row r="82" spans="2:6" x14ac:dyDescent="0.3">
      <c r="B82" s="126" t="str">
        <f t="array" ref="B82">IFERROR(INDEX(BD[],_xlfn.AGGREGATE(15,6,IF(BD[CLASIFICACIÓN]=$B$2,ROW(BD[CLASIFICACIÓN])-ROW('PT2 (FILTRAR)'!$E$5)+1,NA()),ROWS($B$5:B82)),COLUMNS($B$5:B82)),"")</f>
        <v/>
      </c>
      <c r="C82" s="127" t="str">
        <f t="array" ref="C82">IFERROR(INDEX(BD[],_xlfn.AGGREGATE(15,6,IF(BD[CLASIFICACIÓN]=$B$2,ROW(BD[CLASIFICACIÓN])-ROW('PT2 (FILTRAR)'!$E$5)+1,NA()),ROWS($B$5:C82)),COLUMNS($B$5:C82)),"")</f>
        <v/>
      </c>
      <c r="D82" s="142" t="str">
        <f t="array" ref="D82">IFERROR(INDEX(BD[],_xlfn.AGGREGATE(15,6,IF(BD[CLASIFICACIÓN]=$B$2,ROW(BD[CLASIFICACIÓN])-ROW('PT2 (FILTRAR)'!$E$5)+1,NA()),ROWS($B$5:D82)),COLUMNS($B$5:D82)),"")</f>
        <v/>
      </c>
      <c r="E82" s="126" t="str">
        <f t="array" ref="E82">IFERROR(INDEX(BD[],_xlfn.AGGREGATE(15,6,IF(BD[CLASIFICACIÓN]=$B$2,ROW(BD[CLASIFICACIÓN])-ROW('PT2 (FILTRAR)'!$E$5)+1,NA()),ROWS($B$5:E82)),COLUMNS($B$5:E82)),"")</f>
        <v/>
      </c>
      <c r="F82" s="126"/>
    </row>
    <row r="83" spans="2:6" x14ac:dyDescent="0.3">
      <c r="B83" s="126" t="str">
        <f t="array" ref="B83">IFERROR(INDEX(BD[],_xlfn.AGGREGATE(15,6,IF(BD[CLASIFICACIÓN]=$B$2,ROW(BD[CLASIFICACIÓN])-ROW('PT2 (FILTRAR)'!$E$5)+1,NA()),ROWS($B$5:B83)),COLUMNS($B$5:B83)),"")</f>
        <v/>
      </c>
      <c r="C83" s="127" t="str">
        <f t="array" ref="C83">IFERROR(INDEX(BD[],_xlfn.AGGREGATE(15,6,IF(BD[CLASIFICACIÓN]=$B$2,ROW(BD[CLASIFICACIÓN])-ROW('PT2 (FILTRAR)'!$E$5)+1,NA()),ROWS($B$5:C83)),COLUMNS($B$5:C83)),"")</f>
        <v/>
      </c>
      <c r="D83" s="142" t="str">
        <f t="array" ref="D83">IFERROR(INDEX(BD[],_xlfn.AGGREGATE(15,6,IF(BD[CLASIFICACIÓN]=$B$2,ROW(BD[CLASIFICACIÓN])-ROW('PT2 (FILTRAR)'!$E$5)+1,NA()),ROWS($B$5:D83)),COLUMNS($B$5:D83)),"")</f>
        <v/>
      </c>
      <c r="E83" s="126" t="str">
        <f t="array" ref="E83">IFERROR(INDEX(BD[],_xlfn.AGGREGATE(15,6,IF(BD[CLASIFICACIÓN]=$B$2,ROW(BD[CLASIFICACIÓN])-ROW('PT2 (FILTRAR)'!$E$5)+1,NA()),ROWS($B$5:E83)),COLUMNS($B$5:E83)),"")</f>
        <v/>
      </c>
      <c r="F83" s="126"/>
    </row>
    <row r="84" spans="2:6" x14ac:dyDescent="0.3">
      <c r="B84" s="126" t="str">
        <f t="array" ref="B84">IFERROR(INDEX(BD[],_xlfn.AGGREGATE(15,6,IF(BD[CLASIFICACIÓN]=$B$2,ROW(BD[CLASIFICACIÓN])-ROW('PT2 (FILTRAR)'!$E$5)+1,NA()),ROWS($B$5:B84)),COLUMNS($B$5:B84)),"")</f>
        <v/>
      </c>
      <c r="C84" s="127" t="str">
        <f t="array" ref="C84">IFERROR(INDEX(BD[],_xlfn.AGGREGATE(15,6,IF(BD[CLASIFICACIÓN]=$B$2,ROW(BD[CLASIFICACIÓN])-ROW('PT2 (FILTRAR)'!$E$5)+1,NA()),ROWS($B$5:C84)),COLUMNS($B$5:C84)),"")</f>
        <v/>
      </c>
      <c r="D84" s="142" t="str">
        <f t="array" ref="D84">IFERROR(INDEX(BD[],_xlfn.AGGREGATE(15,6,IF(BD[CLASIFICACIÓN]=$B$2,ROW(BD[CLASIFICACIÓN])-ROW('PT2 (FILTRAR)'!$E$5)+1,NA()),ROWS($B$5:D84)),COLUMNS($B$5:D84)),"")</f>
        <v/>
      </c>
      <c r="E84" s="126" t="str">
        <f t="array" ref="E84">IFERROR(INDEX(BD[],_xlfn.AGGREGATE(15,6,IF(BD[CLASIFICACIÓN]=$B$2,ROW(BD[CLASIFICACIÓN])-ROW('PT2 (FILTRAR)'!$E$5)+1,NA()),ROWS($B$5:E84)),COLUMNS($B$5:E84)),"")</f>
        <v/>
      </c>
      <c r="F84" s="126"/>
    </row>
    <row r="85" spans="2:6" x14ac:dyDescent="0.3">
      <c r="B85" s="126" t="str">
        <f t="array" ref="B85">IFERROR(INDEX(BD[],_xlfn.AGGREGATE(15,6,IF(BD[CLASIFICACIÓN]=$B$2,ROW(BD[CLASIFICACIÓN])-ROW('PT2 (FILTRAR)'!$E$5)+1,NA()),ROWS($B$5:B85)),COLUMNS($B$5:B85)),"")</f>
        <v/>
      </c>
      <c r="C85" s="127" t="str">
        <f t="array" ref="C85">IFERROR(INDEX(BD[],_xlfn.AGGREGATE(15,6,IF(BD[CLASIFICACIÓN]=$B$2,ROW(BD[CLASIFICACIÓN])-ROW('PT2 (FILTRAR)'!$E$5)+1,NA()),ROWS($B$5:C85)),COLUMNS($B$5:C85)),"")</f>
        <v/>
      </c>
      <c r="D85" s="142" t="str">
        <f t="array" ref="D85">IFERROR(INDEX(BD[],_xlfn.AGGREGATE(15,6,IF(BD[CLASIFICACIÓN]=$B$2,ROW(BD[CLASIFICACIÓN])-ROW('PT2 (FILTRAR)'!$E$5)+1,NA()),ROWS($B$5:D85)),COLUMNS($B$5:D85)),"")</f>
        <v/>
      </c>
      <c r="E85" s="126" t="str">
        <f t="array" ref="E85">IFERROR(INDEX(BD[],_xlfn.AGGREGATE(15,6,IF(BD[CLASIFICACIÓN]=$B$2,ROW(BD[CLASIFICACIÓN])-ROW('PT2 (FILTRAR)'!$E$5)+1,NA()),ROWS($B$5:E85)),COLUMNS($B$5:E85)),"")</f>
        <v/>
      </c>
      <c r="F85" s="126"/>
    </row>
    <row r="86" spans="2:6" x14ac:dyDescent="0.3">
      <c r="B86" s="126" t="str">
        <f t="array" ref="B86">IFERROR(INDEX(BD[],_xlfn.AGGREGATE(15,6,IF(BD[CLASIFICACIÓN]=$B$2,ROW(BD[CLASIFICACIÓN])-ROW('PT2 (FILTRAR)'!$E$5)+1,NA()),ROWS($B$5:B86)),COLUMNS($B$5:B86)),"")</f>
        <v/>
      </c>
      <c r="C86" s="127" t="str">
        <f t="array" ref="C86">IFERROR(INDEX(BD[],_xlfn.AGGREGATE(15,6,IF(BD[CLASIFICACIÓN]=$B$2,ROW(BD[CLASIFICACIÓN])-ROW('PT2 (FILTRAR)'!$E$5)+1,NA()),ROWS($B$5:C86)),COLUMNS($B$5:C86)),"")</f>
        <v/>
      </c>
      <c r="D86" s="142" t="str">
        <f t="array" ref="D86">IFERROR(INDEX(BD[],_xlfn.AGGREGATE(15,6,IF(BD[CLASIFICACIÓN]=$B$2,ROW(BD[CLASIFICACIÓN])-ROW('PT2 (FILTRAR)'!$E$5)+1,NA()),ROWS($B$5:D86)),COLUMNS($B$5:D86)),"")</f>
        <v/>
      </c>
      <c r="E86" s="126" t="str">
        <f t="array" ref="E86">IFERROR(INDEX(BD[],_xlfn.AGGREGATE(15,6,IF(BD[CLASIFICACIÓN]=$B$2,ROW(BD[CLASIFICACIÓN])-ROW('PT2 (FILTRAR)'!$E$5)+1,NA()),ROWS($B$5:E86)),COLUMNS($B$5:E86)),"")</f>
        <v/>
      </c>
      <c r="F86" s="126"/>
    </row>
    <row r="87" spans="2:6" x14ac:dyDescent="0.3">
      <c r="B87" s="126" t="str">
        <f t="array" ref="B87">IFERROR(INDEX(BD[],_xlfn.AGGREGATE(15,6,IF(BD[CLASIFICACIÓN]=$B$2,ROW(BD[CLASIFICACIÓN])-ROW('PT2 (FILTRAR)'!$E$5)+1,NA()),ROWS($B$5:B87)),COLUMNS($B$5:B87)),"")</f>
        <v/>
      </c>
      <c r="C87" s="127" t="str">
        <f t="array" ref="C87">IFERROR(INDEX(BD[],_xlfn.AGGREGATE(15,6,IF(BD[CLASIFICACIÓN]=$B$2,ROW(BD[CLASIFICACIÓN])-ROW('PT2 (FILTRAR)'!$E$5)+1,NA()),ROWS($B$5:C87)),COLUMNS($B$5:C87)),"")</f>
        <v/>
      </c>
      <c r="D87" s="142" t="str">
        <f t="array" ref="D87">IFERROR(INDEX(BD[],_xlfn.AGGREGATE(15,6,IF(BD[CLASIFICACIÓN]=$B$2,ROW(BD[CLASIFICACIÓN])-ROW('PT2 (FILTRAR)'!$E$5)+1,NA()),ROWS($B$5:D87)),COLUMNS($B$5:D87)),"")</f>
        <v/>
      </c>
      <c r="E87" s="126" t="str">
        <f t="array" ref="E87">IFERROR(INDEX(BD[],_xlfn.AGGREGATE(15,6,IF(BD[CLASIFICACIÓN]=$B$2,ROW(BD[CLASIFICACIÓN])-ROW('PT2 (FILTRAR)'!$E$5)+1,NA()),ROWS($B$5:E87)),COLUMNS($B$5:E87)),"")</f>
        <v/>
      </c>
      <c r="F87" s="126"/>
    </row>
    <row r="88" spans="2:6" x14ac:dyDescent="0.3">
      <c r="B88" s="126" t="str">
        <f t="array" ref="B88">IFERROR(INDEX(BD[],_xlfn.AGGREGATE(15,6,IF(BD[CLASIFICACIÓN]=$B$2,ROW(BD[CLASIFICACIÓN])-ROW('PT2 (FILTRAR)'!$E$5)+1,NA()),ROWS($B$5:B88)),COLUMNS($B$5:B88)),"")</f>
        <v/>
      </c>
      <c r="C88" s="127" t="str">
        <f t="array" ref="C88">IFERROR(INDEX(BD[],_xlfn.AGGREGATE(15,6,IF(BD[CLASIFICACIÓN]=$B$2,ROW(BD[CLASIFICACIÓN])-ROW('PT2 (FILTRAR)'!$E$5)+1,NA()),ROWS($B$5:C88)),COLUMNS($B$5:C88)),"")</f>
        <v/>
      </c>
      <c r="D88" s="142" t="str">
        <f t="array" ref="D88">IFERROR(INDEX(BD[],_xlfn.AGGREGATE(15,6,IF(BD[CLASIFICACIÓN]=$B$2,ROW(BD[CLASIFICACIÓN])-ROW('PT2 (FILTRAR)'!$E$5)+1,NA()),ROWS($B$5:D88)),COLUMNS($B$5:D88)),"")</f>
        <v/>
      </c>
      <c r="E88" s="126" t="str">
        <f t="array" ref="E88">IFERROR(INDEX(BD[],_xlfn.AGGREGATE(15,6,IF(BD[CLASIFICACIÓN]=$B$2,ROW(BD[CLASIFICACIÓN])-ROW('PT2 (FILTRAR)'!$E$5)+1,NA()),ROWS($B$5:E88)),COLUMNS($B$5:E88)),"")</f>
        <v/>
      </c>
      <c r="F88" s="126"/>
    </row>
    <row r="89" spans="2:6" x14ac:dyDescent="0.3">
      <c r="B89" s="126" t="str">
        <f t="array" ref="B89">IFERROR(INDEX(BD[],_xlfn.AGGREGATE(15,6,IF(BD[CLASIFICACIÓN]=$B$2,ROW(BD[CLASIFICACIÓN])-ROW('PT2 (FILTRAR)'!$E$5)+1,NA()),ROWS($B$5:B89)),COLUMNS($B$5:B89)),"")</f>
        <v/>
      </c>
      <c r="C89" s="127" t="str">
        <f t="array" ref="C89">IFERROR(INDEX(BD[],_xlfn.AGGREGATE(15,6,IF(BD[CLASIFICACIÓN]=$B$2,ROW(BD[CLASIFICACIÓN])-ROW('PT2 (FILTRAR)'!$E$5)+1,NA()),ROWS($B$5:C89)),COLUMNS($B$5:C89)),"")</f>
        <v/>
      </c>
      <c r="D89" s="142" t="str">
        <f t="array" ref="D89">IFERROR(INDEX(BD[],_xlfn.AGGREGATE(15,6,IF(BD[CLASIFICACIÓN]=$B$2,ROW(BD[CLASIFICACIÓN])-ROW('PT2 (FILTRAR)'!$E$5)+1,NA()),ROWS($B$5:D89)),COLUMNS($B$5:D89)),"")</f>
        <v/>
      </c>
      <c r="E89" s="126" t="str">
        <f t="array" ref="E89">IFERROR(INDEX(BD[],_xlfn.AGGREGATE(15,6,IF(BD[CLASIFICACIÓN]=$B$2,ROW(BD[CLASIFICACIÓN])-ROW('PT2 (FILTRAR)'!$E$5)+1,NA()),ROWS($B$5:E89)),COLUMNS($B$5:E89)),"")</f>
        <v/>
      </c>
      <c r="F89" s="126"/>
    </row>
    <row r="90" spans="2:6" x14ac:dyDescent="0.3">
      <c r="B90" s="126" t="str">
        <f t="array" ref="B90">IFERROR(INDEX(BD[],_xlfn.AGGREGATE(15,6,IF(BD[CLASIFICACIÓN]=$B$2,ROW(BD[CLASIFICACIÓN])-ROW('PT2 (FILTRAR)'!$E$5)+1,NA()),ROWS($B$5:B90)),COLUMNS($B$5:B90)),"")</f>
        <v/>
      </c>
      <c r="C90" s="127" t="str">
        <f t="array" ref="C90">IFERROR(INDEX(BD[],_xlfn.AGGREGATE(15,6,IF(BD[CLASIFICACIÓN]=$B$2,ROW(BD[CLASIFICACIÓN])-ROW('PT2 (FILTRAR)'!$E$5)+1,NA()),ROWS($B$5:C90)),COLUMNS($B$5:C90)),"")</f>
        <v/>
      </c>
      <c r="D90" s="142" t="str">
        <f t="array" ref="D90">IFERROR(INDEX(BD[],_xlfn.AGGREGATE(15,6,IF(BD[CLASIFICACIÓN]=$B$2,ROW(BD[CLASIFICACIÓN])-ROW('PT2 (FILTRAR)'!$E$5)+1,NA()),ROWS($B$5:D90)),COLUMNS($B$5:D90)),"")</f>
        <v/>
      </c>
      <c r="E90" s="126" t="str">
        <f t="array" ref="E90">IFERROR(INDEX(BD[],_xlfn.AGGREGATE(15,6,IF(BD[CLASIFICACIÓN]=$B$2,ROW(BD[CLASIFICACIÓN])-ROW('PT2 (FILTRAR)'!$E$5)+1,NA()),ROWS($B$5:E90)),COLUMNS($B$5:E90)),"")</f>
        <v/>
      </c>
      <c r="F90" s="126"/>
    </row>
    <row r="91" spans="2:6" x14ac:dyDescent="0.3">
      <c r="B91" s="126" t="str">
        <f t="array" ref="B91">IFERROR(INDEX(BD[],_xlfn.AGGREGATE(15,6,IF(BD[CLASIFICACIÓN]=$B$2,ROW(BD[CLASIFICACIÓN])-ROW('PT2 (FILTRAR)'!$E$5)+1,NA()),ROWS($B$5:B91)),COLUMNS($B$5:B91)),"")</f>
        <v/>
      </c>
      <c r="C91" s="127" t="str">
        <f t="array" ref="C91">IFERROR(INDEX(BD[],_xlfn.AGGREGATE(15,6,IF(BD[CLASIFICACIÓN]=$B$2,ROW(BD[CLASIFICACIÓN])-ROW('PT2 (FILTRAR)'!$E$5)+1,NA()),ROWS($B$5:C91)),COLUMNS($B$5:C91)),"")</f>
        <v/>
      </c>
      <c r="D91" s="142" t="str">
        <f t="array" ref="D91">IFERROR(INDEX(BD[],_xlfn.AGGREGATE(15,6,IF(BD[CLASIFICACIÓN]=$B$2,ROW(BD[CLASIFICACIÓN])-ROW('PT2 (FILTRAR)'!$E$5)+1,NA()),ROWS($B$5:D91)),COLUMNS($B$5:D91)),"")</f>
        <v/>
      </c>
      <c r="E91" s="126" t="str">
        <f t="array" ref="E91">IFERROR(INDEX(BD[],_xlfn.AGGREGATE(15,6,IF(BD[CLASIFICACIÓN]=$B$2,ROW(BD[CLASIFICACIÓN])-ROW('PT2 (FILTRAR)'!$E$5)+1,NA()),ROWS($B$5:E91)),COLUMNS($B$5:E91)),"")</f>
        <v/>
      </c>
      <c r="F91" s="126"/>
    </row>
    <row r="92" spans="2:6" x14ac:dyDescent="0.3">
      <c r="B92" s="126" t="str">
        <f t="array" ref="B92">IFERROR(INDEX(BD[],_xlfn.AGGREGATE(15,6,IF(BD[CLASIFICACIÓN]=$B$2,ROW(BD[CLASIFICACIÓN])-ROW('PT2 (FILTRAR)'!$E$5)+1,NA()),ROWS($B$5:B92)),COLUMNS($B$5:B92)),"")</f>
        <v/>
      </c>
      <c r="C92" s="127" t="str">
        <f t="array" ref="C92">IFERROR(INDEX(BD[],_xlfn.AGGREGATE(15,6,IF(BD[CLASIFICACIÓN]=$B$2,ROW(BD[CLASIFICACIÓN])-ROW('PT2 (FILTRAR)'!$E$5)+1,NA()),ROWS($B$5:C92)),COLUMNS($B$5:C92)),"")</f>
        <v/>
      </c>
      <c r="D92" s="142" t="str">
        <f t="array" ref="D92">IFERROR(INDEX(BD[],_xlfn.AGGREGATE(15,6,IF(BD[CLASIFICACIÓN]=$B$2,ROW(BD[CLASIFICACIÓN])-ROW('PT2 (FILTRAR)'!$E$5)+1,NA()),ROWS($B$5:D92)),COLUMNS($B$5:D92)),"")</f>
        <v/>
      </c>
      <c r="E92" s="126" t="str">
        <f t="array" ref="E92">IFERROR(INDEX(BD[],_xlfn.AGGREGATE(15,6,IF(BD[CLASIFICACIÓN]=$B$2,ROW(BD[CLASIFICACIÓN])-ROW('PT2 (FILTRAR)'!$E$5)+1,NA()),ROWS($B$5:E92)),COLUMNS($B$5:E92)),"")</f>
        <v/>
      </c>
      <c r="F92" s="126"/>
    </row>
    <row r="93" spans="2:6" x14ac:dyDescent="0.3">
      <c r="B93" s="126" t="str">
        <f t="array" ref="B93">IFERROR(INDEX(BD[],_xlfn.AGGREGATE(15,6,IF(BD[CLASIFICACIÓN]=$B$2,ROW(BD[CLASIFICACIÓN])-ROW('PT2 (FILTRAR)'!$E$5)+1,NA()),ROWS($B$5:B93)),COLUMNS($B$5:B93)),"")</f>
        <v/>
      </c>
      <c r="C93" s="127" t="str">
        <f t="array" ref="C93">IFERROR(INDEX(BD[],_xlfn.AGGREGATE(15,6,IF(BD[CLASIFICACIÓN]=$B$2,ROW(BD[CLASIFICACIÓN])-ROW('PT2 (FILTRAR)'!$E$5)+1,NA()),ROWS($B$5:C93)),COLUMNS($B$5:C93)),"")</f>
        <v/>
      </c>
      <c r="D93" s="142" t="str">
        <f t="array" ref="D93">IFERROR(INDEX(BD[],_xlfn.AGGREGATE(15,6,IF(BD[CLASIFICACIÓN]=$B$2,ROW(BD[CLASIFICACIÓN])-ROW('PT2 (FILTRAR)'!$E$5)+1,NA()),ROWS($B$5:D93)),COLUMNS($B$5:D93)),"")</f>
        <v/>
      </c>
      <c r="E93" s="126" t="str">
        <f t="array" ref="E93">IFERROR(INDEX(BD[],_xlfn.AGGREGATE(15,6,IF(BD[CLASIFICACIÓN]=$B$2,ROW(BD[CLASIFICACIÓN])-ROW('PT2 (FILTRAR)'!$E$5)+1,NA()),ROWS($B$5:E93)),COLUMNS($B$5:E93)),"")</f>
        <v/>
      </c>
      <c r="F93" s="126"/>
    </row>
    <row r="94" spans="2:6" x14ac:dyDescent="0.3">
      <c r="B94" s="126" t="str">
        <f t="array" ref="B94">IFERROR(INDEX(BD[],_xlfn.AGGREGATE(15,6,IF(BD[CLASIFICACIÓN]=$B$2,ROW(BD[CLASIFICACIÓN])-ROW('PT2 (FILTRAR)'!$E$5)+1,NA()),ROWS($B$5:B94)),COLUMNS($B$5:B94)),"")</f>
        <v/>
      </c>
      <c r="C94" s="127" t="str">
        <f t="array" ref="C94">IFERROR(INDEX(BD[],_xlfn.AGGREGATE(15,6,IF(BD[CLASIFICACIÓN]=$B$2,ROW(BD[CLASIFICACIÓN])-ROW('PT2 (FILTRAR)'!$E$5)+1,NA()),ROWS($B$5:C94)),COLUMNS($B$5:C94)),"")</f>
        <v/>
      </c>
      <c r="D94" s="142" t="str">
        <f t="array" ref="D94">IFERROR(INDEX(BD[],_xlfn.AGGREGATE(15,6,IF(BD[CLASIFICACIÓN]=$B$2,ROW(BD[CLASIFICACIÓN])-ROW('PT2 (FILTRAR)'!$E$5)+1,NA()),ROWS($B$5:D94)),COLUMNS($B$5:D94)),"")</f>
        <v/>
      </c>
      <c r="E94" s="126" t="str">
        <f t="array" ref="E94">IFERROR(INDEX(BD[],_xlfn.AGGREGATE(15,6,IF(BD[CLASIFICACIÓN]=$B$2,ROW(BD[CLASIFICACIÓN])-ROW('PT2 (FILTRAR)'!$E$5)+1,NA()),ROWS($B$5:E94)),COLUMNS($B$5:E94)),"")</f>
        <v/>
      </c>
      <c r="F94" s="126"/>
    </row>
    <row r="95" spans="2:6" x14ac:dyDescent="0.3">
      <c r="B95" s="126" t="str">
        <f t="array" ref="B95">IFERROR(INDEX(BD[],_xlfn.AGGREGATE(15,6,IF(BD[CLASIFICACIÓN]=$B$2,ROW(BD[CLASIFICACIÓN])-ROW('PT2 (FILTRAR)'!$E$5)+1,NA()),ROWS($B$5:B95)),COLUMNS($B$5:B95)),"")</f>
        <v/>
      </c>
      <c r="C95" s="127" t="str">
        <f t="array" ref="C95">IFERROR(INDEX(BD[],_xlfn.AGGREGATE(15,6,IF(BD[CLASIFICACIÓN]=$B$2,ROW(BD[CLASIFICACIÓN])-ROW('PT2 (FILTRAR)'!$E$5)+1,NA()),ROWS($B$5:C95)),COLUMNS($B$5:C95)),"")</f>
        <v/>
      </c>
      <c r="D95" s="142" t="str">
        <f t="array" ref="D95">IFERROR(INDEX(BD[],_xlfn.AGGREGATE(15,6,IF(BD[CLASIFICACIÓN]=$B$2,ROW(BD[CLASIFICACIÓN])-ROW('PT2 (FILTRAR)'!$E$5)+1,NA()),ROWS($B$5:D95)),COLUMNS($B$5:D95)),"")</f>
        <v/>
      </c>
      <c r="E95" s="126" t="str">
        <f t="array" ref="E95">IFERROR(INDEX(BD[],_xlfn.AGGREGATE(15,6,IF(BD[CLASIFICACIÓN]=$B$2,ROW(BD[CLASIFICACIÓN])-ROW('PT2 (FILTRAR)'!$E$5)+1,NA()),ROWS($B$5:E95)),COLUMNS($B$5:E95)),"")</f>
        <v/>
      </c>
      <c r="F95" s="126"/>
    </row>
    <row r="96" spans="2:6" x14ac:dyDescent="0.3">
      <c r="B96" s="126" t="str">
        <f t="array" ref="B96">IFERROR(INDEX(BD[],_xlfn.AGGREGATE(15,6,IF(BD[CLASIFICACIÓN]=$B$2,ROW(BD[CLASIFICACIÓN])-ROW('PT2 (FILTRAR)'!$E$5)+1,NA()),ROWS($B$5:B96)),COLUMNS($B$5:B96)),"")</f>
        <v/>
      </c>
      <c r="C96" s="127" t="str">
        <f t="array" ref="C96">IFERROR(INDEX(BD[],_xlfn.AGGREGATE(15,6,IF(BD[CLASIFICACIÓN]=$B$2,ROW(BD[CLASIFICACIÓN])-ROW('PT2 (FILTRAR)'!$E$5)+1,NA()),ROWS($B$5:C96)),COLUMNS($B$5:C96)),"")</f>
        <v/>
      </c>
      <c r="D96" s="142" t="str">
        <f t="array" ref="D96">IFERROR(INDEX(BD[],_xlfn.AGGREGATE(15,6,IF(BD[CLASIFICACIÓN]=$B$2,ROW(BD[CLASIFICACIÓN])-ROW('PT2 (FILTRAR)'!$E$5)+1,NA()),ROWS($B$5:D96)),COLUMNS($B$5:D96)),"")</f>
        <v/>
      </c>
      <c r="E96" s="126" t="str">
        <f t="array" ref="E96">IFERROR(INDEX(BD[],_xlfn.AGGREGATE(15,6,IF(BD[CLASIFICACIÓN]=$B$2,ROW(BD[CLASIFICACIÓN])-ROW('PT2 (FILTRAR)'!$E$5)+1,NA()),ROWS($B$5:E96)),COLUMNS($B$5:E96)),"")</f>
        <v/>
      </c>
      <c r="F96" s="126"/>
    </row>
    <row r="97" spans="2:6" x14ac:dyDescent="0.3">
      <c r="B97" s="126" t="str">
        <f t="array" ref="B97">IFERROR(INDEX(BD[],_xlfn.AGGREGATE(15,6,IF(BD[CLASIFICACIÓN]=$B$2,ROW(BD[CLASIFICACIÓN])-ROW('PT2 (FILTRAR)'!$E$5)+1,NA()),ROWS($B$5:B97)),COLUMNS($B$5:B97)),"")</f>
        <v/>
      </c>
      <c r="C97" s="127" t="str">
        <f t="array" ref="C97">IFERROR(INDEX(BD[],_xlfn.AGGREGATE(15,6,IF(BD[CLASIFICACIÓN]=$B$2,ROW(BD[CLASIFICACIÓN])-ROW('PT2 (FILTRAR)'!$E$5)+1,NA()),ROWS($B$5:C97)),COLUMNS($B$5:C97)),"")</f>
        <v/>
      </c>
      <c r="D97" s="142" t="str">
        <f t="array" ref="D97">IFERROR(INDEX(BD[],_xlfn.AGGREGATE(15,6,IF(BD[CLASIFICACIÓN]=$B$2,ROW(BD[CLASIFICACIÓN])-ROW('PT2 (FILTRAR)'!$E$5)+1,NA()),ROWS($B$5:D97)),COLUMNS($B$5:D97)),"")</f>
        <v/>
      </c>
      <c r="E97" s="126" t="str">
        <f t="array" ref="E97">IFERROR(INDEX(BD[],_xlfn.AGGREGATE(15,6,IF(BD[CLASIFICACIÓN]=$B$2,ROW(BD[CLASIFICACIÓN])-ROW('PT2 (FILTRAR)'!$E$5)+1,NA()),ROWS($B$5:E97)),COLUMNS($B$5:E97)),"")</f>
        <v/>
      </c>
      <c r="F97" s="126"/>
    </row>
    <row r="98" spans="2:6" x14ac:dyDescent="0.3">
      <c r="B98" s="126" t="str">
        <f t="array" ref="B98">IFERROR(INDEX(BD[],_xlfn.AGGREGATE(15,6,IF(BD[CLASIFICACIÓN]=$B$2,ROW(BD[CLASIFICACIÓN])-ROW('PT2 (FILTRAR)'!$E$5)+1,NA()),ROWS($B$5:B98)),COLUMNS($B$5:B98)),"")</f>
        <v/>
      </c>
      <c r="C98" s="127" t="str">
        <f t="array" ref="C98">IFERROR(INDEX(BD[],_xlfn.AGGREGATE(15,6,IF(BD[CLASIFICACIÓN]=$B$2,ROW(BD[CLASIFICACIÓN])-ROW('PT2 (FILTRAR)'!$E$5)+1,NA()),ROWS($B$5:C98)),COLUMNS($B$5:C98)),"")</f>
        <v/>
      </c>
      <c r="D98" s="142" t="str">
        <f t="array" ref="D98">IFERROR(INDEX(BD[],_xlfn.AGGREGATE(15,6,IF(BD[CLASIFICACIÓN]=$B$2,ROW(BD[CLASIFICACIÓN])-ROW('PT2 (FILTRAR)'!$E$5)+1,NA()),ROWS($B$5:D98)),COLUMNS($B$5:D98)),"")</f>
        <v/>
      </c>
      <c r="E98" s="126" t="str">
        <f t="array" ref="E98">IFERROR(INDEX(BD[],_xlfn.AGGREGATE(15,6,IF(BD[CLASIFICACIÓN]=$B$2,ROW(BD[CLASIFICACIÓN])-ROW('PT2 (FILTRAR)'!$E$5)+1,NA()),ROWS($B$5:E98)),COLUMNS($B$5:E98)),"")</f>
        <v/>
      </c>
      <c r="F98" s="126"/>
    </row>
    <row r="99" spans="2:6" x14ac:dyDescent="0.3">
      <c r="B99" s="126" t="str">
        <f t="array" ref="B99">IFERROR(INDEX(BD[],_xlfn.AGGREGATE(15,6,IF(BD[CLASIFICACIÓN]=$B$2,ROW(BD[CLASIFICACIÓN])-ROW('PT2 (FILTRAR)'!$E$5)+1,NA()),ROWS($B$5:B99)),COLUMNS($B$5:B99)),"")</f>
        <v/>
      </c>
      <c r="C99" s="127" t="str">
        <f t="array" ref="C99">IFERROR(INDEX(BD[],_xlfn.AGGREGATE(15,6,IF(BD[CLASIFICACIÓN]=$B$2,ROW(BD[CLASIFICACIÓN])-ROW('PT2 (FILTRAR)'!$E$5)+1,NA()),ROWS($B$5:C99)),COLUMNS($B$5:C99)),"")</f>
        <v/>
      </c>
      <c r="D99" s="142" t="str">
        <f t="array" ref="D99">IFERROR(INDEX(BD[],_xlfn.AGGREGATE(15,6,IF(BD[CLASIFICACIÓN]=$B$2,ROW(BD[CLASIFICACIÓN])-ROW('PT2 (FILTRAR)'!$E$5)+1,NA()),ROWS($B$5:D99)),COLUMNS($B$5:D99)),"")</f>
        <v/>
      </c>
      <c r="E99" s="126" t="str">
        <f t="array" ref="E99">IFERROR(INDEX(BD[],_xlfn.AGGREGATE(15,6,IF(BD[CLASIFICACIÓN]=$B$2,ROW(BD[CLASIFICACIÓN])-ROW('PT2 (FILTRAR)'!$E$5)+1,NA()),ROWS($B$5:E99)),COLUMNS($B$5:E99)),"")</f>
        <v/>
      </c>
      <c r="F99" s="126"/>
    </row>
    <row r="100" spans="2:6" x14ac:dyDescent="0.3">
      <c r="B100" s="126" t="str">
        <f t="array" ref="B100">IFERROR(INDEX(BD[],_xlfn.AGGREGATE(15,6,IF(BD[CLASIFICACIÓN]=$B$2,ROW(BD[CLASIFICACIÓN])-ROW('PT2 (FILTRAR)'!$E$5)+1,NA()),ROWS($B$5:B100)),COLUMNS($B$5:B100)),"")</f>
        <v/>
      </c>
      <c r="C100" s="127" t="str">
        <f t="array" ref="C100">IFERROR(INDEX(BD[],_xlfn.AGGREGATE(15,6,IF(BD[CLASIFICACIÓN]=$B$2,ROW(BD[CLASIFICACIÓN])-ROW('PT2 (FILTRAR)'!$E$5)+1,NA()),ROWS($B$5:C100)),COLUMNS($B$5:C100)),"")</f>
        <v/>
      </c>
      <c r="D100" s="142" t="str">
        <f t="array" ref="D100">IFERROR(INDEX(BD[],_xlfn.AGGREGATE(15,6,IF(BD[CLASIFICACIÓN]=$B$2,ROW(BD[CLASIFICACIÓN])-ROW('PT2 (FILTRAR)'!$E$5)+1,NA()),ROWS($B$5:D100)),COLUMNS($B$5:D100)),"")</f>
        <v/>
      </c>
      <c r="E100" s="126" t="str">
        <f t="array" ref="E100">IFERROR(INDEX(BD[],_xlfn.AGGREGATE(15,6,IF(BD[CLASIFICACIÓN]=$B$2,ROW(BD[CLASIFICACIÓN])-ROW('PT2 (FILTRAR)'!$E$5)+1,NA()),ROWS($B$5:E100)),COLUMNS($B$5:E100)),"")</f>
        <v/>
      </c>
      <c r="F100" s="126"/>
    </row>
    <row r="101" spans="2:6" x14ac:dyDescent="0.3">
      <c r="B101" s="126" t="str">
        <f t="array" ref="B101">IFERROR(INDEX(BD[],_xlfn.AGGREGATE(15,6,IF(BD[CLASIFICACIÓN]=$B$2,ROW(BD[CLASIFICACIÓN])-ROW('PT2 (FILTRAR)'!$E$5)+1,NA()),ROWS($B$5:B101)),COLUMNS($B$5:B101)),"")</f>
        <v/>
      </c>
      <c r="C101" s="127" t="str">
        <f t="array" ref="C101">IFERROR(INDEX(BD[],_xlfn.AGGREGATE(15,6,IF(BD[CLASIFICACIÓN]=$B$2,ROW(BD[CLASIFICACIÓN])-ROW('PT2 (FILTRAR)'!$E$5)+1,NA()),ROWS($B$5:C101)),COLUMNS($B$5:C101)),"")</f>
        <v/>
      </c>
      <c r="D101" s="142" t="str">
        <f t="array" ref="D101">IFERROR(INDEX(BD[],_xlfn.AGGREGATE(15,6,IF(BD[CLASIFICACIÓN]=$B$2,ROW(BD[CLASIFICACIÓN])-ROW('PT2 (FILTRAR)'!$E$5)+1,NA()),ROWS($B$5:D101)),COLUMNS($B$5:D101)),"")</f>
        <v/>
      </c>
      <c r="E101" s="126" t="str">
        <f t="array" ref="E101">IFERROR(INDEX(BD[],_xlfn.AGGREGATE(15,6,IF(BD[CLASIFICACIÓN]=$B$2,ROW(BD[CLASIFICACIÓN])-ROW('PT2 (FILTRAR)'!$E$5)+1,NA()),ROWS($B$5:E101)),COLUMNS($B$5:E101)),"")</f>
        <v/>
      </c>
      <c r="F101" s="126"/>
    </row>
    <row r="102" spans="2:6" x14ac:dyDescent="0.3">
      <c r="B102" s="126" t="str">
        <f t="array" ref="B102">IFERROR(INDEX(BD[],_xlfn.AGGREGATE(15,6,IF(BD[CLASIFICACIÓN]=$B$2,ROW(BD[CLASIFICACIÓN])-ROW('PT2 (FILTRAR)'!$E$5)+1,NA()),ROWS($B$5:B102)),COLUMNS($B$5:B102)),"")</f>
        <v/>
      </c>
      <c r="C102" s="127" t="str">
        <f t="array" ref="C102">IFERROR(INDEX(BD[],_xlfn.AGGREGATE(15,6,IF(BD[CLASIFICACIÓN]=$B$2,ROW(BD[CLASIFICACIÓN])-ROW('PT2 (FILTRAR)'!$E$5)+1,NA()),ROWS($B$5:C102)),COLUMNS($B$5:C102)),"")</f>
        <v/>
      </c>
      <c r="D102" s="142" t="str">
        <f t="array" ref="D102">IFERROR(INDEX(BD[],_xlfn.AGGREGATE(15,6,IF(BD[CLASIFICACIÓN]=$B$2,ROW(BD[CLASIFICACIÓN])-ROW('PT2 (FILTRAR)'!$E$5)+1,NA()),ROWS($B$5:D102)),COLUMNS($B$5:D102)),"")</f>
        <v/>
      </c>
      <c r="E102" s="126" t="str">
        <f t="array" ref="E102">IFERROR(INDEX(BD[],_xlfn.AGGREGATE(15,6,IF(BD[CLASIFICACIÓN]=$B$2,ROW(BD[CLASIFICACIÓN])-ROW('PT2 (FILTRAR)'!$E$5)+1,NA()),ROWS($B$5:E102)),COLUMNS($B$5:E102)),"")</f>
        <v/>
      </c>
      <c r="F102" s="126"/>
    </row>
    <row r="103" spans="2:6" x14ac:dyDescent="0.3">
      <c r="B103" s="126" t="str">
        <f t="array" ref="B103">IFERROR(INDEX(BD[],_xlfn.AGGREGATE(15,6,IF(BD[CLASIFICACIÓN]=$B$2,ROW(BD[CLASIFICACIÓN])-ROW('PT2 (FILTRAR)'!$E$5)+1,NA()),ROWS($B$5:B103)),COLUMNS($B$5:B103)),"")</f>
        <v/>
      </c>
      <c r="C103" s="127" t="str">
        <f t="array" ref="C103">IFERROR(INDEX(BD[],_xlfn.AGGREGATE(15,6,IF(BD[CLASIFICACIÓN]=$B$2,ROW(BD[CLASIFICACIÓN])-ROW('PT2 (FILTRAR)'!$E$5)+1,NA()),ROWS($B$5:C103)),COLUMNS($B$5:C103)),"")</f>
        <v/>
      </c>
      <c r="D103" s="142" t="str">
        <f t="array" ref="D103">IFERROR(INDEX(BD[],_xlfn.AGGREGATE(15,6,IF(BD[CLASIFICACIÓN]=$B$2,ROW(BD[CLASIFICACIÓN])-ROW('PT2 (FILTRAR)'!$E$5)+1,NA()),ROWS($B$5:D103)),COLUMNS($B$5:D103)),"")</f>
        <v/>
      </c>
      <c r="E103" s="126" t="str">
        <f t="array" ref="E103">IFERROR(INDEX(BD[],_xlfn.AGGREGATE(15,6,IF(BD[CLASIFICACIÓN]=$B$2,ROW(BD[CLASIFICACIÓN])-ROW('PT2 (FILTRAR)'!$E$5)+1,NA()),ROWS($B$5:E103)),COLUMNS($B$5:E103)),"")</f>
        <v/>
      </c>
      <c r="F103" s="126"/>
    </row>
    <row r="104" spans="2:6" x14ac:dyDescent="0.3">
      <c r="B104" s="126" t="str">
        <f t="array" ref="B104">IFERROR(INDEX(BD[],_xlfn.AGGREGATE(15,6,IF(BD[CLASIFICACIÓN]=$B$2,ROW(BD[CLASIFICACIÓN])-ROW('PT2 (FILTRAR)'!$E$5)+1,NA()),ROWS($B$5:B104)),COLUMNS($B$5:B104)),"")</f>
        <v/>
      </c>
      <c r="C104" s="127" t="str">
        <f t="array" ref="C104">IFERROR(INDEX(BD[],_xlfn.AGGREGATE(15,6,IF(BD[CLASIFICACIÓN]=$B$2,ROW(BD[CLASIFICACIÓN])-ROW('PT2 (FILTRAR)'!$E$5)+1,NA()),ROWS($B$5:C104)),COLUMNS($B$5:C104)),"")</f>
        <v/>
      </c>
      <c r="D104" s="142" t="str">
        <f t="array" ref="D104">IFERROR(INDEX(BD[],_xlfn.AGGREGATE(15,6,IF(BD[CLASIFICACIÓN]=$B$2,ROW(BD[CLASIFICACIÓN])-ROW('PT2 (FILTRAR)'!$E$5)+1,NA()),ROWS($B$5:D104)),COLUMNS($B$5:D104)),"")</f>
        <v/>
      </c>
      <c r="E104" s="126" t="str">
        <f t="array" ref="E104">IFERROR(INDEX(BD[],_xlfn.AGGREGATE(15,6,IF(BD[CLASIFICACIÓN]=$B$2,ROW(BD[CLASIFICACIÓN])-ROW('PT2 (FILTRAR)'!$E$5)+1,NA()),ROWS($B$5:E104)),COLUMNS($B$5:E104)),"")</f>
        <v/>
      </c>
      <c r="F104" s="126"/>
    </row>
    <row r="105" spans="2:6" x14ac:dyDescent="0.3">
      <c r="B105" s="126" t="str">
        <f t="array" ref="B105">IFERROR(INDEX(BD[],_xlfn.AGGREGATE(15,6,IF(BD[CLASIFICACIÓN]=$B$2,ROW(BD[CLASIFICACIÓN])-ROW('PT2 (FILTRAR)'!$E$5)+1,NA()),ROWS($B$5:B105)),COLUMNS($B$5:B105)),"")</f>
        <v/>
      </c>
      <c r="C105" s="127" t="str">
        <f t="array" ref="C105">IFERROR(INDEX(BD[],_xlfn.AGGREGATE(15,6,IF(BD[CLASIFICACIÓN]=$B$2,ROW(BD[CLASIFICACIÓN])-ROW('PT2 (FILTRAR)'!$E$5)+1,NA()),ROWS($B$5:C105)),COLUMNS($B$5:C105)),"")</f>
        <v/>
      </c>
      <c r="D105" s="142" t="str">
        <f t="array" ref="D105">IFERROR(INDEX(BD[],_xlfn.AGGREGATE(15,6,IF(BD[CLASIFICACIÓN]=$B$2,ROW(BD[CLASIFICACIÓN])-ROW('PT2 (FILTRAR)'!$E$5)+1,NA()),ROWS($B$5:D105)),COLUMNS($B$5:D105)),"")</f>
        <v/>
      </c>
      <c r="E105" s="126" t="str">
        <f t="array" ref="E105">IFERROR(INDEX(BD[],_xlfn.AGGREGATE(15,6,IF(BD[CLASIFICACIÓN]=$B$2,ROW(BD[CLASIFICACIÓN])-ROW('PT2 (FILTRAR)'!$E$5)+1,NA()),ROWS($B$5:E105)),COLUMNS($B$5:E105)),"")</f>
        <v/>
      </c>
      <c r="F105" s="126"/>
    </row>
    <row r="106" spans="2:6" x14ac:dyDescent="0.3">
      <c r="B106" s="126" t="str">
        <f t="array" ref="B106">IFERROR(INDEX(BD[],_xlfn.AGGREGATE(15,6,IF(BD[CLASIFICACIÓN]=$B$2,ROW(BD[CLASIFICACIÓN])-ROW('PT2 (FILTRAR)'!$E$5)+1,NA()),ROWS($B$5:B106)),COLUMNS($B$5:B106)),"")</f>
        <v/>
      </c>
      <c r="C106" s="127" t="str">
        <f t="array" ref="C106">IFERROR(INDEX(BD[],_xlfn.AGGREGATE(15,6,IF(BD[CLASIFICACIÓN]=$B$2,ROW(BD[CLASIFICACIÓN])-ROW('PT2 (FILTRAR)'!$E$5)+1,NA()),ROWS($B$5:C106)),COLUMNS($B$5:C106)),"")</f>
        <v/>
      </c>
      <c r="D106" s="142" t="str">
        <f t="array" ref="D106">IFERROR(INDEX(BD[],_xlfn.AGGREGATE(15,6,IF(BD[CLASIFICACIÓN]=$B$2,ROW(BD[CLASIFICACIÓN])-ROW('PT2 (FILTRAR)'!$E$5)+1,NA()),ROWS($B$5:D106)),COLUMNS($B$5:D106)),"")</f>
        <v/>
      </c>
      <c r="E106" s="126" t="str">
        <f t="array" ref="E106">IFERROR(INDEX(BD[],_xlfn.AGGREGATE(15,6,IF(BD[CLASIFICACIÓN]=$B$2,ROW(BD[CLASIFICACIÓN])-ROW('PT2 (FILTRAR)'!$E$5)+1,NA()),ROWS($B$5:E106)),COLUMNS($B$5:E106)),"")</f>
        <v/>
      </c>
      <c r="F106" s="126"/>
    </row>
    <row r="107" spans="2:6" x14ac:dyDescent="0.3">
      <c r="B107" s="126" t="str">
        <f t="array" ref="B107">IFERROR(INDEX(BD[],_xlfn.AGGREGATE(15,6,IF(BD[CLASIFICACIÓN]=$B$2,ROW(BD[CLASIFICACIÓN])-ROW('PT2 (FILTRAR)'!$E$5)+1,NA()),ROWS($B$5:B107)),COLUMNS($B$5:B107)),"")</f>
        <v/>
      </c>
      <c r="C107" s="127" t="str">
        <f t="array" ref="C107">IFERROR(INDEX(BD[],_xlfn.AGGREGATE(15,6,IF(BD[CLASIFICACIÓN]=$B$2,ROW(BD[CLASIFICACIÓN])-ROW('PT2 (FILTRAR)'!$E$5)+1,NA()),ROWS($B$5:C107)),COLUMNS($B$5:C107)),"")</f>
        <v/>
      </c>
      <c r="D107" s="142" t="str">
        <f t="array" ref="D107">IFERROR(INDEX(BD[],_xlfn.AGGREGATE(15,6,IF(BD[CLASIFICACIÓN]=$B$2,ROW(BD[CLASIFICACIÓN])-ROW('PT2 (FILTRAR)'!$E$5)+1,NA()),ROWS($B$5:D107)),COLUMNS($B$5:D107)),"")</f>
        <v/>
      </c>
      <c r="E107" s="126" t="str">
        <f t="array" ref="E107">IFERROR(INDEX(BD[],_xlfn.AGGREGATE(15,6,IF(BD[CLASIFICACIÓN]=$B$2,ROW(BD[CLASIFICACIÓN])-ROW('PT2 (FILTRAR)'!$E$5)+1,NA()),ROWS($B$5:E107)),COLUMNS($B$5:E107)),"")</f>
        <v/>
      </c>
      <c r="F107" s="126"/>
    </row>
    <row r="108" spans="2:6" x14ac:dyDescent="0.3">
      <c r="B108" s="126" t="str">
        <f t="array" ref="B108">IFERROR(INDEX(BD[],_xlfn.AGGREGATE(15,6,IF(BD[CLASIFICACIÓN]=$B$2,ROW(BD[CLASIFICACIÓN])-ROW('PT2 (FILTRAR)'!$E$5)+1,NA()),ROWS($B$5:B108)),COLUMNS($B$5:B108)),"")</f>
        <v/>
      </c>
      <c r="C108" s="127" t="str">
        <f t="array" ref="C108">IFERROR(INDEX(BD[],_xlfn.AGGREGATE(15,6,IF(BD[CLASIFICACIÓN]=$B$2,ROW(BD[CLASIFICACIÓN])-ROW('PT2 (FILTRAR)'!$E$5)+1,NA()),ROWS($B$5:C108)),COLUMNS($B$5:C108)),"")</f>
        <v/>
      </c>
      <c r="D108" s="142" t="str">
        <f t="array" ref="D108">IFERROR(INDEX(BD[],_xlfn.AGGREGATE(15,6,IF(BD[CLASIFICACIÓN]=$B$2,ROW(BD[CLASIFICACIÓN])-ROW('PT2 (FILTRAR)'!$E$5)+1,NA()),ROWS($B$5:D108)),COLUMNS($B$5:D108)),"")</f>
        <v/>
      </c>
      <c r="E108" s="126" t="str">
        <f t="array" ref="E108">IFERROR(INDEX(BD[],_xlfn.AGGREGATE(15,6,IF(BD[CLASIFICACIÓN]=$B$2,ROW(BD[CLASIFICACIÓN])-ROW('PT2 (FILTRAR)'!$E$5)+1,NA()),ROWS($B$5:E108)),COLUMNS($B$5:E108)),"")</f>
        <v/>
      </c>
      <c r="F108" s="126"/>
    </row>
    <row r="109" spans="2:6" x14ac:dyDescent="0.3">
      <c r="B109" s="126" t="str">
        <f t="array" ref="B109">IFERROR(INDEX(BD[],_xlfn.AGGREGATE(15,6,IF(BD[CLASIFICACIÓN]=$B$2,ROW(BD[CLASIFICACIÓN])-ROW('PT2 (FILTRAR)'!$E$5)+1,NA()),ROWS($B$5:B109)),COLUMNS($B$5:B109)),"")</f>
        <v/>
      </c>
      <c r="C109" s="127" t="str">
        <f t="array" ref="C109">IFERROR(INDEX(BD[],_xlfn.AGGREGATE(15,6,IF(BD[CLASIFICACIÓN]=$B$2,ROW(BD[CLASIFICACIÓN])-ROW('PT2 (FILTRAR)'!$E$5)+1,NA()),ROWS($B$5:C109)),COLUMNS($B$5:C109)),"")</f>
        <v/>
      </c>
      <c r="D109" s="142" t="str">
        <f t="array" ref="D109">IFERROR(INDEX(BD[],_xlfn.AGGREGATE(15,6,IF(BD[CLASIFICACIÓN]=$B$2,ROW(BD[CLASIFICACIÓN])-ROW('PT2 (FILTRAR)'!$E$5)+1,NA()),ROWS($B$5:D109)),COLUMNS($B$5:D109)),"")</f>
        <v/>
      </c>
      <c r="E109" s="126" t="str">
        <f t="array" ref="E109">IFERROR(INDEX(BD[],_xlfn.AGGREGATE(15,6,IF(BD[CLASIFICACIÓN]=$B$2,ROW(BD[CLASIFICACIÓN])-ROW('PT2 (FILTRAR)'!$E$5)+1,NA()),ROWS($B$5:E109)),COLUMNS($B$5:E109)),"")</f>
        <v/>
      </c>
      <c r="F109" s="126"/>
    </row>
    <row r="110" spans="2:6" x14ac:dyDescent="0.3">
      <c r="B110" s="126" t="str">
        <f t="array" ref="B110">IFERROR(INDEX(BD[],_xlfn.AGGREGATE(15,6,IF(BD[CLASIFICACIÓN]=$B$2,ROW(BD[CLASIFICACIÓN])-ROW('PT2 (FILTRAR)'!$E$5)+1,NA()),ROWS($B$5:B110)),COLUMNS($B$5:B110)),"")</f>
        <v/>
      </c>
      <c r="C110" s="127" t="str">
        <f t="array" ref="C110">IFERROR(INDEX(BD[],_xlfn.AGGREGATE(15,6,IF(BD[CLASIFICACIÓN]=$B$2,ROW(BD[CLASIFICACIÓN])-ROW('PT2 (FILTRAR)'!$E$5)+1,NA()),ROWS($B$5:C110)),COLUMNS($B$5:C110)),"")</f>
        <v/>
      </c>
      <c r="D110" s="142" t="str">
        <f t="array" ref="D110">IFERROR(INDEX(BD[],_xlfn.AGGREGATE(15,6,IF(BD[CLASIFICACIÓN]=$B$2,ROW(BD[CLASIFICACIÓN])-ROW('PT2 (FILTRAR)'!$E$5)+1,NA()),ROWS($B$5:D110)),COLUMNS($B$5:D110)),"")</f>
        <v/>
      </c>
      <c r="E110" s="126" t="str">
        <f t="array" ref="E110">IFERROR(INDEX(BD[],_xlfn.AGGREGATE(15,6,IF(BD[CLASIFICACIÓN]=$B$2,ROW(BD[CLASIFICACIÓN])-ROW('PT2 (FILTRAR)'!$E$5)+1,NA()),ROWS($B$5:E110)),COLUMNS($B$5:E110)),"")</f>
        <v/>
      </c>
      <c r="F110" s="126"/>
    </row>
    <row r="111" spans="2:6" x14ac:dyDescent="0.3">
      <c r="B111" s="126" t="str">
        <f t="array" ref="B111">IFERROR(INDEX(BD[],_xlfn.AGGREGATE(15,6,IF(BD[CLASIFICACIÓN]=$B$2,ROW(BD[CLASIFICACIÓN])-ROW('PT2 (FILTRAR)'!$E$5)+1,NA()),ROWS($B$5:B111)),COLUMNS($B$5:B111)),"")</f>
        <v/>
      </c>
      <c r="C111" s="127" t="str">
        <f t="array" ref="C111">IFERROR(INDEX(BD[],_xlfn.AGGREGATE(15,6,IF(BD[CLASIFICACIÓN]=$B$2,ROW(BD[CLASIFICACIÓN])-ROW('PT2 (FILTRAR)'!$E$5)+1,NA()),ROWS($B$5:C111)),COLUMNS($B$5:C111)),"")</f>
        <v/>
      </c>
      <c r="D111" s="142" t="str">
        <f t="array" ref="D111">IFERROR(INDEX(BD[],_xlfn.AGGREGATE(15,6,IF(BD[CLASIFICACIÓN]=$B$2,ROW(BD[CLASIFICACIÓN])-ROW('PT2 (FILTRAR)'!$E$5)+1,NA()),ROWS($B$5:D111)),COLUMNS($B$5:D111)),"")</f>
        <v/>
      </c>
      <c r="E111" s="126" t="str">
        <f t="array" ref="E111">IFERROR(INDEX(BD[],_xlfn.AGGREGATE(15,6,IF(BD[CLASIFICACIÓN]=$B$2,ROW(BD[CLASIFICACIÓN])-ROW('PT2 (FILTRAR)'!$E$5)+1,NA()),ROWS($B$5:E111)),COLUMNS($B$5:E111)),"")</f>
        <v/>
      </c>
      <c r="F111" s="126"/>
    </row>
    <row r="112" spans="2:6" x14ac:dyDescent="0.3">
      <c r="B112" s="126" t="str">
        <f t="array" ref="B112">IFERROR(INDEX(BD[],_xlfn.AGGREGATE(15,6,IF(BD[CLASIFICACIÓN]=$B$2,ROW(BD[CLASIFICACIÓN])-ROW('PT2 (FILTRAR)'!$E$5)+1,NA()),ROWS($B$5:B112)),COLUMNS($B$5:B112)),"")</f>
        <v/>
      </c>
      <c r="C112" s="127" t="str">
        <f t="array" ref="C112">IFERROR(INDEX(BD[],_xlfn.AGGREGATE(15,6,IF(BD[CLASIFICACIÓN]=$B$2,ROW(BD[CLASIFICACIÓN])-ROW('PT2 (FILTRAR)'!$E$5)+1,NA()),ROWS($B$5:C112)),COLUMNS($B$5:C112)),"")</f>
        <v/>
      </c>
      <c r="D112" s="142" t="str">
        <f t="array" ref="D112">IFERROR(INDEX(BD[],_xlfn.AGGREGATE(15,6,IF(BD[CLASIFICACIÓN]=$B$2,ROW(BD[CLASIFICACIÓN])-ROW('PT2 (FILTRAR)'!$E$5)+1,NA()),ROWS($B$5:D112)),COLUMNS($B$5:D112)),"")</f>
        <v/>
      </c>
      <c r="E112" s="126" t="str">
        <f t="array" ref="E112">IFERROR(INDEX(BD[],_xlfn.AGGREGATE(15,6,IF(BD[CLASIFICACIÓN]=$B$2,ROW(BD[CLASIFICACIÓN])-ROW('PT2 (FILTRAR)'!$E$5)+1,NA()),ROWS($B$5:E112)),COLUMNS($B$5:E112)),"")</f>
        <v/>
      </c>
      <c r="F112" s="126"/>
    </row>
    <row r="113" spans="2:6" x14ac:dyDescent="0.3">
      <c r="B113" s="126" t="str">
        <f t="array" ref="B113">IFERROR(INDEX(BD[],_xlfn.AGGREGATE(15,6,IF(BD[CLASIFICACIÓN]=$B$2,ROW(BD[CLASIFICACIÓN])-ROW('PT2 (FILTRAR)'!$E$5)+1,NA()),ROWS($B$5:B113)),COLUMNS($B$5:B113)),"")</f>
        <v/>
      </c>
      <c r="C113" s="127" t="str">
        <f t="array" ref="C113">IFERROR(INDEX(BD[],_xlfn.AGGREGATE(15,6,IF(BD[CLASIFICACIÓN]=$B$2,ROW(BD[CLASIFICACIÓN])-ROW('PT2 (FILTRAR)'!$E$5)+1,NA()),ROWS($B$5:C113)),COLUMNS($B$5:C113)),"")</f>
        <v/>
      </c>
      <c r="D113" s="142" t="str">
        <f t="array" ref="D113">IFERROR(INDEX(BD[],_xlfn.AGGREGATE(15,6,IF(BD[CLASIFICACIÓN]=$B$2,ROW(BD[CLASIFICACIÓN])-ROW('PT2 (FILTRAR)'!$E$5)+1,NA()),ROWS($B$5:D113)),COLUMNS($B$5:D113)),"")</f>
        <v/>
      </c>
      <c r="E113" s="126" t="str">
        <f t="array" ref="E113">IFERROR(INDEX(BD[],_xlfn.AGGREGATE(15,6,IF(BD[CLASIFICACIÓN]=$B$2,ROW(BD[CLASIFICACIÓN])-ROW('PT2 (FILTRAR)'!$E$5)+1,NA()),ROWS($B$5:E113)),COLUMNS($B$5:E113)),"")</f>
        <v/>
      </c>
      <c r="F113" s="126"/>
    </row>
    <row r="114" spans="2:6" x14ac:dyDescent="0.3">
      <c r="B114" s="126" t="str">
        <f t="array" ref="B114">IFERROR(INDEX(BD[],_xlfn.AGGREGATE(15,6,IF(BD[CLASIFICACIÓN]=$B$2,ROW(BD[CLASIFICACIÓN])-ROW('PT2 (FILTRAR)'!$E$5)+1,NA()),ROWS($B$5:B114)),COLUMNS($B$5:B114)),"")</f>
        <v/>
      </c>
      <c r="C114" s="127" t="str">
        <f t="array" ref="C114">IFERROR(INDEX(BD[],_xlfn.AGGREGATE(15,6,IF(BD[CLASIFICACIÓN]=$B$2,ROW(BD[CLASIFICACIÓN])-ROW('PT2 (FILTRAR)'!$E$5)+1,NA()),ROWS($B$5:C114)),COLUMNS($B$5:C114)),"")</f>
        <v/>
      </c>
      <c r="D114" s="142" t="str">
        <f t="array" ref="D114">IFERROR(INDEX(BD[],_xlfn.AGGREGATE(15,6,IF(BD[CLASIFICACIÓN]=$B$2,ROW(BD[CLASIFICACIÓN])-ROW('PT2 (FILTRAR)'!$E$5)+1,NA()),ROWS($B$5:D114)),COLUMNS($B$5:D114)),"")</f>
        <v/>
      </c>
      <c r="E114" s="126" t="str">
        <f t="array" ref="E114">IFERROR(INDEX(BD[],_xlfn.AGGREGATE(15,6,IF(BD[CLASIFICACIÓN]=$B$2,ROW(BD[CLASIFICACIÓN])-ROW('PT2 (FILTRAR)'!$E$5)+1,NA()),ROWS($B$5:E114)),COLUMNS($B$5:E114)),"")</f>
        <v/>
      </c>
      <c r="F114" s="126"/>
    </row>
    <row r="115" spans="2:6" x14ac:dyDescent="0.3">
      <c r="B115" s="126" t="str">
        <f t="array" ref="B115">IFERROR(INDEX(BD[],_xlfn.AGGREGATE(15,6,IF(BD[CLASIFICACIÓN]=$B$2,ROW(BD[CLASIFICACIÓN])-ROW('PT2 (FILTRAR)'!$E$5)+1,NA()),ROWS($B$5:B115)),COLUMNS($B$5:B115)),"")</f>
        <v/>
      </c>
      <c r="C115" s="127" t="str">
        <f t="array" ref="C115">IFERROR(INDEX(BD[],_xlfn.AGGREGATE(15,6,IF(BD[CLASIFICACIÓN]=$B$2,ROW(BD[CLASIFICACIÓN])-ROW('PT2 (FILTRAR)'!$E$5)+1,NA()),ROWS($B$5:C115)),COLUMNS($B$5:C115)),"")</f>
        <v/>
      </c>
      <c r="D115" s="142" t="str">
        <f t="array" ref="D115">IFERROR(INDEX(BD[],_xlfn.AGGREGATE(15,6,IF(BD[CLASIFICACIÓN]=$B$2,ROW(BD[CLASIFICACIÓN])-ROW('PT2 (FILTRAR)'!$E$5)+1,NA()),ROWS($B$5:D115)),COLUMNS($B$5:D115)),"")</f>
        <v/>
      </c>
      <c r="E115" s="126" t="str">
        <f t="array" ref="E115">IFERROR(INDEX(BD[],_xlfn.AGGREGATE(15,6,IF(BD[CLASIFICACIÓN]=$B$2,ROW(BD[CLASIFICACIÓN])-ROW('PT2 (FILTRAR)'!$E$5)+1,NA()),ROWS($B$5:E115)),COLUMNS($B$5:E115)),"")</f>
        <v/>
      </c>
      <c r="F115" s="126"/>
    </row>
    <row r="116" spans="2:6" x14ac:dyDescent="0.3">
      <c r="B116" s="126" t="str">
        <f t="array" ref="B116">IFERROR(INDEX(BD[],_xlfn.AGGREGATE(15,6,IF(BD[CLASIFICACIÓN]=$B$2,ROW(BD[CLASIFICACIÓN])-ROW('PT2 (FILTRAR)'!$E$5)+1,NA()),ROWS($B$5:B116)),COLUMNS($B$5:B116)),"")</f>
        <v/>
      </c>
      <c r="C116" s="127" t="str">
        <f t="array" ref="C116">IFERROR(INDEX(BD[],_xlfn.AGGREGATE(15,6,IF(BD[CLASIFICACIÓN]=$B$2,ROW(BD[CLASIFICACIÓN])-ROW('PT2 (FILTRAR)'!$E$5)+1,NA()),ROWS($B$5:C116)),COLUMNS($B$5:C116)),"")</f>
        <v/>
      </c>
      <c r="D116" s="142" t="str">
        <f t="array" ref="D116">IFERROR(INDEX(BD[],_xlfn.AGGREGATE(15,6,IF(BD[CLASIFICACIÓN]=$B$2,ROW(BD[CLASIFICACIÓN])-ROW('PT2 (FILTRAR)'!$E$5)+1,NA()),ROWS($B$5:D116)),COLUMNS($B$5:D116)),"")</f>
        <v/>
      </c>
      <c r="E116" s="126" t="str">
        <f t="array" ref="E116">IFERROR(INDEX(BD[],_xlfn.AGGREGATE(15,6,IF(BD[CLASIFICACIÓN]=$B$2,ROW(BD[CLASIFICACIÓN])-ROW('PT2 (FILTRAR)'!$E$5)+1,NA()),ROWS($B$5:E116)),COLUMNS($B$5:E116)),"")</f>
        <v/>
      </c>
      <c r="F116" s="126"/>
    </row>
    <row r="117" spans="2:6" x14ac:dyDescent="0.3">
      <c r="B117" s="126" t="str">
        <f t="array" ref="B117">IFERROR(INDEX(BD[],_xlfn.AGGREGATE(15,6,IF(BD[CLASIFICACIÓN]=$B$2,ROW(BD[CLASIFICACIÓN])-ROW('PT2 (FILTRAR)'!$E$5)+1,NA()),ROWS($B$5:B117)),COLUMNS($B$5:B117)),"")</f>
        <v/>
      </c>
      <c r="C117" s="127" t="str">
        <f t="array" ref="C117">IFERROR(INDEX(BD[],_xlfn.AGGREGATE(15,6,IF(BD[CLASIFICACIÓN]=$B$2,ROW(BD[CLASIFICACIÓN])-ROW('PT2 (FILTRAR)'!$E$5)+1,NA()),ROWS($B$5:C117)),COLUMNS($B$5:C117)),"")</f>
        <v/>
      </c>
      <c r="D117" s="142" t="str">
        <f t="array" ref="D117">IFERROR(INDEX(BD[],_xlfn.AGGREGATE(15,6,IF(BD[CLASIFICACIÓN]=$B$2,ROW(BD[CLASIFICACIÓN])-ROW('PT2 (FILTRAR)'!$E$5)+1,NA()),ROWS($B$5:D117)),COLUMNS($B$5:D117)),"")</f>
        <v/>
      </c>
      <c r="E117" s="126" t="str">
        <f t="array" ref="E117">IFERROR(INDEX(BD[],_xlfn.AGGREGATE(15,6,IF(BD[CLASIFICACIÓN]=$B$2,ROW(BD[CLASIFICACIÓN])-ROW('PT2 (FILTRAR)'!$E$5)+1,NA()),ROWS($B$5:E117)),COLUMNS($B$5:E117)),"")</f>
        <v/>
      </c>
      <c r="F117" s="126"/>
    </row>
    <row r="118" spans="2:6" x14ac:dyDescent="0.3">
      <c r="B118" s="126" t="str">
        <f t="array" ref="B118">IFERROR(INDEX(BD[],_xlfn.AGGREGATE(15,6,IF(BD[CLASIFICACIÓN]=$B$2,ROW(BD[CLASIFICACIÓN])-ROW('PT2 (FILTRAR)'!$E$5)+1,NA()),ROWS($B$5:B118)),COLUMNS($B$5:B118)),"")</f>
        <v/>
      </c>
      <c r="C118" s="127" t="str">
        <f t="array" ref="C118">IFERROR(INDEX(BD[],_xlfn.AGGREGATE(15,6,IF(BD[CLASIFICACIÓN]=$B$2,ROW(BD[CLASIFICACIÓN])-ROW('PT2 (FILTRAR)'!$E$5)+1,NA()),ROWS($B$5:C118)),COLUMNS($B$5:C118)),"")</f>
        <v/>
      </c>
      <c r="D118" s="142" t="str">
        <f t="array" ref="D118">IFERROR(INDEX(BD[],_xlfn.AGGREGATE(15,6,IF(BD[CLASIFICACIÓN]=$B$2,ROW(BD[CLASIFICACIÓN])-ROW('PT2 (FILTRAR)'!$E$5)+1,NA()),ROWS($B$5:D118)),COLUMNS($B$5:D118)),"")</f>
        <v/>
      </c>
      <c r="E118" s="126" t="str">
        <f t="array" ref="E118">IFERROR(INDEX(BD[],_xlfn.AGGREGATE(15,6,IF(BD[CLASIFICACIÓN]=$B$2,ROW(BD[CLASIFICACIÓN])-ROW('PT2 (FILTRAR)'!$E$5)+1,NA()),ROWS($B$5:E118)),COLUMNS($B$5:E118)),"")</f>
        <v/>
      </c>
      <c r="F118" s="126"/>
    </row>
    <row r="119" spans="2:6" x14ac:dyDescent="0.3">
      <c r="B119" s="126" t="str">
        <f t="array" ref="B119">IFERROR(INDEX(BD[],_xlfn.AGGREGATE(15,6,IF(BD[CLASIFICACIÓN]=$B$2,ROW(BD[CLASIFICACIÓN])-ROW('PT2 (FILTRAR)'!$E$5)+1,NA()),ROWS($B$5:B119)),COLUMNS($B$5:B119)),"")</f>
        <v/>
      </c>
      <c r="C119" s="127" t="str">
        <f t="array" ref="C119">IFERROR(INDEX(BD[],_xlfn.AGGREGATE(15,6,IF(BD[CLASIFICACIÓN]=$B$2,ROW(BD[CLASIFICACIÓN])-ROW('PT2 (FILTRAR)'!$E$5)+1,NA()),ROWS($B$5:C119)),COLUMNS($B$5:C119)),"")</f>
        <v/>
      </c>
      <c r="D119" s="142" t="str">
        <f t="array" ref="D119">IFERROR(INDEX(BD[],_xlfn.AGGREGATE(15,6,IF(BD[CLASIFICACIÓN]=$B$2,ROW(BD[CLASIFICACIÓN])-ROW('PT2 (FILTRAR)'!$E$5)+1,NA()),ROWS($B$5:D119)),COLUMNS($B$5:D119)),"")</f>
        <v/>
      </c>
      <c r="E119" s="126" t="str">
        <f t="array" ref="E119">IFERROR(INDEX(BD[],_xlfn.AGGREGATE(15,6,IF(BD[CLASIFICACIÓN]=$B$2,ROW(BD[CLASIFICACIÓN])-ROW('PT2 (FILTRAR)'!$E$5)+1,NA()),ROWS($B$5:E119)),COLUMNS($B$5:E119)),"")</f>
        <v/>
      </c>
      <c r="F119" s="126"/>
    </row>
    <row r="120" spans="2:6" x14ac:dyDescent="0.3">
      <c r="B120" s="126" t="str">
        <f t="array" ref="B120">IFERROR(INDEX(BD[],_xlfn.AGGREGATE(15,6,IF(BD[CLASIFICACIÓN]=$B$2,ROW(BD[CLASIFICACIÓN])-ROW('PT2 (FILTRAR)'!$E$5)+1,NA()),ROWS($B$5:B120)),COLUMNS($B$5:B120)),"")</f>
        <v/>
      </c>
      <c r="C120" s="127" t="str">
        <f t="array" ref="C120">IFERROR(INDEX(BD[],_xlfn.AGGREGATE(15,6,IF(BD[CLASIFICACIÓN]=$B$2,ROW(BD[CLASIFICACIÓN])-ROW('PT2 (FILTRAR)'!$E$5)+1,NA()),ROWS($B$5:C120)),COLUMNS($B$5:C120)),"")</f>
        <v/>
      </c>
      <c r="D120" s="142" t="str">
        <f t="array" ref="D120">IFERROR(INDEX(BD[],_xlfn.AGGREGATE(15,6,IF(BD[CLASIFICACIÓN]=$B$2,ROW(BD[CLASIFICACIÓN])-ROW('PT2 (FILTRAR)'!$E$5)+1,NA()),ROWS($B$5:D120)),COLUMNS($B$5:D120)),"")</f>
        <v/>
      </c>
      <c r="E120" s="126" t="str">
        <f t="array" ref="E120">IFERROR(INDEX(BD[],_xlfn.AGGREGATE(15,6,IF(BD[CLASIFICACIÓN]=$B$2,ROW(BD[CLASIFICACIÓN])-ROW('PT2 (FILTRAR)'!$E$5)+1,NA()),ROWS($B$5:E120)),COLUMNS($B$5:E120)),"")</f>
        <v/>
      </c>
      <c r="F120" s="126"/>
    </row>
    <row r="121" spans="2:6" x14ac:dyDescent="0.3">
      <c r="B121" s="126" t="str">
        <f t="array" ref="B121">IFERROR(INDEX(BD[],_xlfn.AGGREGATE(15,6,IF(BD[CLASIFICACIÓN]=$B$2,ROW(BD[CLASIFICACIÓN])-ROW('PT2 (FILTRAR)'!$E$5)+1,NA()),ROWS($B$5:B121)),COLUMNS($B$5:B121)),"")</f>
        <v/>
      </c>
      <c r="C121" s="127" t="str">
        <f t="array" ref="C121">IFERROR(INDEX(BD[],_xlfn.AGGREGATE(15,6,IF(BD[CLASIFICACIÓN]=$B$2,ROW(BD[CLASIFICACIÓN])-ROW('PT2 (FILTRAR)'!$E$5)+1,NA()),ROWS($B$5:C121)),COLUMNS($B$5:C121)),"")</f>
        <v/>
      </c>
      <c r="D121" s="142" t="str">
        <f t="array" ref="D121">IFERROR(INDEX(BD[],_xlfn.AGGREGATE(15,6,IF(BD[CLASIFICACIÓN]=$B$2,ROW(BD[CLASIFICACIÓN])-ROW('PT2 (FILTRAR)'!$E$5)+1,NA()),ROWS($B$5:D121)),COLUMNS($B$5:D121)),"")</f>
        <v/>
      </c>
      <c r="E121" s="126" t="str">
        <f t="array" ref="E121">IFERROR(INDEX(BD[],_xlfn.AGGREGATE(15,6,IF(BD[CLASIFICACIÓN]=$B$2,ROW(BD[CLASIFICACIÓN])-ROW('PT2 (FILTRAR)'!$E$5)+1,NA()),ROWS($B$5:E121)),COLUMNS($B$5:E121)),"")</f>
        <v/>
      </c>
      <c r="F121" s="126"/>
    </row>
    <row r="122" spans="2:6" x14ac:dyDescent="0.3">
      <c r="B122" s="126" t="str">
        <f t="array" ref="B122">IFERROR(INDEX(BD[],_xlfn.AGGREGATE(15,6,IF(BD[CLASIFICACIÓN]=$B$2,ROW(BD[CLASIFICACIÓN])-ROW('PT2 (FILTRAR)'!$E$5)+1,NA()),ROWS($B$5:B122)),COLUMNS($B$5:B122)),"")</f>
        <v/>
      </c>
      <c r="C122" s="127" t="str">
        <f t="array" ref="C122">IFERROR(INDEX(BD[],_xlfn.AGGREGATE(15,6,IF(BD[CLASIFICACIÓN]=$B$2,ROW(BD[CLASIFICACIÓN])-ROW('PT2 (FILTRAR)'!$E$5)+1,NA()),ROWS($B$5:C122)),COLUMNS($B$5:C122)),"")</f>
        <v/>
      </c>
      <c r="D122" s="142" t="str">
        <f t="array" ref="D122">IFERROR(INDEX(BD[],_xlfn.AGGREGATE(15,6,IF(BD[CLASIFICACIÓN]=$B$2,ROW(BD[CLASIFICACIÓN])-ROW('PT2 (FILTRAR)'!$E$5)+1,NA()),ROWS($B$5:D122)),COLUMNS($B$5:D122)),"")</f>
        <v/>
      </c>
      <c r="E122" s="126" t="str">
        <f t="array" ref="E122">IFERROR(INDEX(BD[],_xlfn.AGGREGATE(15,6,IF(BD[CLASIFICACIÓN]=$B$2,ROW(BD[CLASIFICACIÓN])-ROW('PT2 (FILTRAR)'!$E$5)+1,NA()),ROWS($B$5:E122)),COLUMNS($B$5:E122)),"")</f>
        <v/>
      </c>
      <c r="F122" s="126"/>
    </row>
    <row r="123" spans="2:6" x14ac:dyDescent="0.3">
      <c r="B123" s="126" t="str">
        <f t="array" ref="B123">IFERROR(INDEX(BD[],_xlfn.AGGREGATE(15,6,IF(BD[CLASIFICACIÓN]=$B$2,ROW(BD[CLASIFICACIÓN])-ROW('PT2 (FILTRAR)'!$E$5)+1,NA()),ROWS($B$5:B123)),COLUMNS($B$5:B123)),"")</f>
        <v/>
      </c>
      <c r="C123" s="127" t="str">
        <f t="array" ref="C123">IFERROR(INDEX(BD[],_xlfn.AGGREGATE(15,6,IF(BD[CLASIFICACIÓN]=$B$2,ROW(BD[CLASIFICACIÓN])-ROW('PT2 (FILTRAR)'!$E$5)+1,NA()),ROWS($B$5:C123)),COLUMNS($B$5:C123)),"")</f>
        <v/>
      </c>
      <c r="D123" s="142" t="str">
        <f t="array" ref="D123">IFERROR(INDEX(BD[],_xlfn.AGGREGATE(15,6,IF(BD[CLASIFICACIÓN]=$B$2,ROW(BD[CLASIFICACIÓN])-ROW('PT2 (FILTRAR)'!$E$5)+1,NA()),ROWS($B$5:D123)),COLUMNS($B$5:D123)),"")</f>
        <v/>
      </c>
      <c r="E123" s="126" t="str">
        <f t="array" ref="E123">IFERROR(INDEX(BD[],_xlfn.AGGREGATE(15,6,IF(BD[CLASIFICACIÓN]=$B$2,ROW(BD[CLASIFICACIÓN])-ROW('PT2 (FILTRAR)'!$E$5)+1,NA()),ROWS($B$5:E123)),COLUMNS($B$5:E123)),"")</f>
        <v/>
      </c>
      <c r="F123" s="126"/>
    </row>
    <row r="124" spans="2:6" x14ac:dyDescent="0.3">
      <c r="B124" s="126" t="str">
        <f t="array" ref="B124">IFERROR(INDEX(BD[],_xlfn.AGGREGATE(15,6,IF(BD[CLASIFICACIÓN]=$B$2,ROW(BD[CLASIFICACIÓN])-ROW('PT2 (FILTRAR)'!$E$5)+1,NA()),ROWS($B$5:B124)),COLUMNS($B$5:B124)),"")</f>
        <v/>
      </c>
      <c r="C124" s="127" t="str">
        <f t="array" ref="C124">IFERROR(INDEX(BD[],_xlfn.AGGREGATE(15,6,IF(BD[CLASIFICACIÓN]=$B$2,ROW(BD[CLASIFICACIÓN])-ROW('PT2 (FILTRAR)'!$E$5)+1,NA()),ROWS($B$5:C124)),COLUMNS($B$5:C124)),"")</f>
        <v/>
      </c>
      <c r="D124" s="142" t="str">
        <f t="array" ref="D124">IFERROR(INDEX(BD[],_xlfn.AGGREGATE(15,6,IF(BD[CLASIFICACIÓN]=$B$2,ROW(BD[CLASIFICACIÓN])-ROW('PT2 (FILTRAR)'!$E$5)+1,NA()),ROWS($B$5:D124)),COLUMNS($B$5:D124)),"")</f>
        <v/>
      </c>
      <c r="E124" s="126" t="str">
        <f t="array" ref="E124">IFERROR(INDEX(BD[],_xlfn.AGGREGATE(15,6,IF(BD[CLASIFICACIÓN]=$B$2,ROW(BD[CLASIFICACIÓN])-ROW('PT2 (FILTRAR)'!$E$5)+1,NA()),ROWS($B$5:E124)),COLUMNS($B$5:E124)),"")</f>
        <v/>
      </c>
      <c r="F124" s="126"/>
    </row>
    <row r="125" spans="2:6" x14ac:dyDescent="0.3">
      <c r="B125" s="126" t="str">
        <f t="array" ref="B125">IFERROR(INDEX(BD[],_xlfn.AGGREGATE(15,6,IF(BD[CLASIFICACIÓN]=$B$2,ROW(BD[CLASIFICACIÓN])-ROW('PT2 (FILTRAR)'!$E$5)+1,NA()),ROWS($B$5:B125)),COLUMNS($B$5:B125)),"")</f>
        <v/>
      </c>
      <c r="C125" s="127" t="str">
        <f t="array" ref="C125">IFERROR(INDEX(BD[],_xlfn.AGGREGATE(15,6,IF(BD[CLASIFICACIÓN]=$B$2,ROW(BD[CLASIFICACIÓN])-ROW('PT2 (FILTRAR)'!$E$5)+1,NA()),ROWS($B$5:C125)),COLUMNS($B$5:C125)),"")</f>
        <v/>
      </c>
      <c r="D125" s="142" t="str">
        <f t="array" ref="D125">IFERROR(INDEX(BD[],_xlfn.AGGREGATE(15,6,IF(BD[CLASIFICACIÓN]=$B$2,ROW(BD[CLASIFICACIÓN])-ROW('PT2 (FILTRAR)'!$E$5)+1,NA()),ROWS($B$5:D125)),COLUMNS($B$5:D125)),"")</f>
        <v/>
      </c>
      <c r="E125" s="126" t="str">
        <f t="array" ref="E125">IFERROR(INDEX(BD[],_xlfn.AGGREGATE(15,6,IF(BD[CLASIFICACIÓN]=$B$2,ROW(BD[CLASIFICACIÓN])-ROW('PT2 (FILTRAR)'!$E$5)+1,NA()),ROWS($B$5:E125)),COLUMNS($B$5:E125)),"")</f>
        <v/>
      </c>
      <c r="F125" s="126"/>
    </row>
    <row r="126" spans="2:6" x14ac:dyDescent="0.3">
      <c r="B126" s="126" t="str">
        <f t="array" ref="B126">IFERROR(INDEX(BD[],_xlfn.AGGREGATE(15,6,IF(BD[CLASIFICACIÓN]=$B$2,ROW(BD[CLASIFICACIÓN])-ROW('PT2 (FILTRAR)'!$E$5)+1,NA()),ROWS($B$5:B126)),COLUMNS($B$5:B126)),"")</f>
        <v/>
      </c>
      <c r="C126" s="127" t="str">
        <f t="array" ref="C126">IFERROR(INDEX(BD[],_xlfn.AGGREGATE(15,6,IF(BD[CLASIFICACIÓN]=$B$2,ROW(BD[CLASIFICACIÓN])-ROW('PT2 (FILTRAR)'!$E$5)+1,NA()),ROWS($B$5:C126)),COLUMNS($B$5:C126)),"")</f>
        <v/>
      </c>
      <c r="D126" s="142" t="str">
        <f t="array" ref="D126">IFERROR(INDEX(BD[],_xlfn.AGGREGATE(15,6,IF(BD[CLASIFICACIÓN]=$B$2,ROW(BD[CLASIFICACIÓN])-ROW('PT2 (FILTRAR)'!$E$5)+1,NA()),ROWS($B$5:D126)),COLUMNS($B$5:D126)),"")</f>
        <v/>
      </c>
      <c r="E126" s="126" t="str">
        <f t="array" ref="E126">IFERROR(INDEX(BD[],_xlfn.AGGREGATE(15,6,IF(BD[CLASIFICACIÓN]=$B$2,ROW(BD[CLASIFICACIÓN])-ROW('PT2 (FILTRAR)'!$E$5)+1,NA()),ROWS($B$5:E126)),COLUMNS($B$5:E126)),"")</f>
        <v/>
      </c>
      <c r="F126" s="126"/>
    </row>
    <row r="127" spans="2:6" x14ac:dyDescent="0.3">
      <c r="B127" s="126" t="str">
        <f t="array" ref="B127">IFERROR(INDEX(BD[],_xlfn.AGGREGATE(15,6,IF(BD[CLASIFICACIÓN]=$B$2,ROW(BD[CLASIFICACIÓN])-ROW('PT2 (FILTRAR)'!$E$5)+1,NA()),ROWS($B$5:B127)),COLUMNS($B$5:B127)),"")</f>
        <v/>
      </c>
      <c r="C127" s="127" t="str">
        <f t="array" ref="C127">IFERROR(INDEX(BD[],_xlfn.AGGREGATE(15,6,IF(BD[CLASIFICACIÓN]=$B$2,ROW(BD[CLASIFICACIÓN])-ROW('PT2 (FILTRAR)'!$E$5)+1,NA()),ROWS($B$5:C127)),COLUMNS($B$5:C127)),"")</f>
        <v/>
      </c>
      <c r="D127" s="142" t="str">
        <f t="array" ref="D127">IFERROR(INDEX(BD[],_xlfn.AGGREGATE(15,6,IF(BD[CLASIFICACIÓN]=$B$2,ROW(BD[CLASIFICACIÓN])-ROW('PT2 (FILTRAR)'!$E$5)+1,NA()),ROWS($B$5:D127)),COLUMNS($B$5:D127)),"")</f>
        <v/>
      </c>
      <c r="E127" s="126" t="str">
        <f t="array" ref="E127">IFERROR(INDEX(BD[],_xlfn.AGGREGATE(15,6,IF(BD[CLASIFICACIÓN]=$B$2,ROW(BD[CLASIFICACIÓN])-ROW('PT2 (FILTRAR)'!$E$5)+1,NA()),ROWS($B$5:E127)),COLUMNS($B$5:E127)),"")</f>
        <v/>
      </c>
      <c r="F127" s="126"/>
    </row>
    <row r="128" spans="2:6" x14ac:dyDescent="0.3">
      <c r="B128" s="126" t="str">
        <f t="array" ref="B128">IFERROR(INDEX(BD[],_xlfn.AGGREGATE(15,6,IF(BD[CLASIFICACIÓN]=$B$2,ROW(BD[CLASIFICACIÓN])-ROW('PT2 (FILTRAR)'!$E$5)+1,NA()),ROWS($B$5:B128)),COLUMNS($B$5:B128)),"")</f>
        <v/>
      </c>
      <c r="C128" s="127" t="str">
        <f t="array" ref="C128">IFERROR(INDEX(BD[],_xlfn.AGGREGATE(15,6,IF(BD[CLASIFICACIÓN]=$B$2,ROW(BD[CLASIFICACIÓN])-ROW('PT2 (FILTRAR)'!$E$5)+1,NA()),ROWS($B$5:C128)),COLUMNS($B$5:C128)),"")</f>
        <v/>
      </c>
      <c r="D128" s="142" t="str">
        <f t="array" ref="D128">IFERROR(INDEX(BD[],_xlfn.AGGREGATE(15,6,IF(BD[CLASIFICACIÓN]=$B$2,ROW(BD[CLASIFICACIÓN])-ROW('PT2 (FILTRAR)'!$E$5)+1,NA()),ROWS($B$5:D128)),COLUMNS($B$5:D128)),"")</f>
        <v/>
      </c>
      <c r="E128" s="126" t="str">
        <f t="array" ref="E128">IFERROR(INDEX(BD[],_xlfn.AGGREGATE(15,6,IF(BD[CLASIFICACIÓN]=$B$2,ROW(BD[CLASIFICACIÓN])-ROW('PT2 (FILTRAR)'!$E$5)+1,NA()),ROWS($B$5:E128)),COLUMNS($B$5:E128)),"")</f>
        <v/>
      </c>
      <c r="F128" s="126"/>
    </row>
    <row r="129" spans="2:6" x14ac:dyDescent="0.3">
      <c r="B129" s="126" t="str">
        <f t="array" ref="B129">IFERROR(INDEX(BD[],_xlfn.AGGREGATE(15,6,IF(BD[CLASIFICACIÓN]=$B$2,ROW(BD[CLASIFICACIÓN])-ROW('PT2 (FILTRAR)'!$E$5)+1,NA()),ROWS($B$5:B129)),COLUMNS($B$5:B129)),"")</f>
        <v/>
      </c>
      <c r="C129" s="127" t="str">
        <f t="array" ref="C129">IFERROR(INDEX(BD[],_xlfn.AGGREGATE(15,6,IF(BD[CLASIFICACIÓN]=$B$2,ROW(BD[CLASIFICACIÓN])-ROW('PT2 (FILTRAR)'!$E$5)+1,NA()),ROWS($B$5:C129)),COLUMNS($B$5:C129)),"")</f>
        <v/>
      </c>
      <c r="D129" s="142" t="str">
        <f t="array" ref="D129">IFERROR(INDEX(BD[],_xlfn.AGGREGATE(15,6,IF(BD[CLASIFICACIÓN]=$B$2,ROW(BD[CLASIFICACIÓN])-ROW('PT2 (FILTRAR)'!$E$5)+1,NA()),ROWS($B$5:D129)),COLUMNS($B$5:D129)),"")</f>
        <v/>
      </c>
      <c r="E129" s="126" t="str">
        <f t="array" ref="E129">IFERROR(INDEX(BD[],_xlfn.AGGREGATE(15,6,IF(BD[CLASIFICACIÓN]=$B$2,ROW(BD[CLASIFICACIÓN])-ROW('PT2 (FILTRAR)'!$E$5)+1,NA()),ROWS($B$5:E129)),COLUMNS($B$5:E129)),"")</f>
        <v/>
      </c>
      <c r="F129" s="126"/>
    </row>
    <row r="130" spans="2:6" x14ac:dyDescent="0.3">
      <c r="B130" s="126" t="str">
        <f t="array" ref="B130">IFERROR(INDEX(BD[],_xlfn.AGGREGATE(15,6,IF(BD[CLASIFICACIÓN]=$B$2,ROW(BD[CLASIFICACIÓN])-ROW('PT2 (FILTRAR)'!$E$5)+1,NA()),ROWS($B$5:B130)),COLUMNS($B$5:B130)),"")</f>
        <v/>
      </c>
      <c r="C130" s="127" t="str">
        <f t="array" ref="C130">IFERROR(INDEX(BD[],_xlfn.AGGREGATE(15,6,IF(BD[CLASIFICACIÓN]=$B$2,ROW(BD[CLASIFICACIÓN])-ROW('PT2 (FILTRAR)'!$E$5)+1,NA()),ROWS($B$5:C130)),COLUMNS($B$5:C130)),"")</f>
        <v/>
      </c>
      <c r="D130" s="142" t="str">
        <f t="array" ref="D130">IFERROR(INDEX(BD[],_xlfn.AGGREGATE(15,6,IF(BD[CLASIFICACIÓN]=$B$2,ROW(BD[CLASIFICACIÓN])-ROW('PT2 (FILTRAR)'!$E$5)+1,NA()),ROWS($B$5:D130)),COLUMNS($B$5:D130)),"")</f>
        <v/>
      </c>
      <c r="E130" s="126" t="str">
        <f t="array" ref="E130">IFERROR(INDEX(BD[],_xlfn.AGGREGATE(15,6,IF(BD[CLASIFICACIÓN]=$B$2,ROW(BD[CLASIFICACIÓN])-ROW('PT2 (FILTRAR)'!$E$5)+1,NA()),ROWS($B$5:E130)),COLUMNS($B$5:E130)),"")</f>
        <v/>
      </c>
      <c r="F130" s="126"/>
    </row>
    <row r="131" spans="2:6" x14ac:dyDescent="0.3">
      <c r="B131" s="126" t="str">
        <f t="array" ref="B131">IFERROR(INDEX(BD[],_xlfn.AGGREGATE(15,6,IF(BD[CLASIFICACIÓN]=$B$2,ROW(BD[CLASIFICACIÓN])-ROW('PT2 (FILTRAR)'!$E$5)+1,NA()),ROWS($B$5:B131)),COLUMNS($B$5:B131)),"")</f>
        <v/>
      </c>
      <c r="C131" s="127" t="str">
        <f t="array" ref="C131">IFERROR(INDEX(BD[],_xlfn.AGGREGATE(15,6,IF(BD[CLASIFICACIÓN]=$B$2,ROW(BD[CLASIFICACIÓN])-ROW('PT2 (FILTRAR)'!$E$5)+1,NA()),ROWS($B$5:C131)),COLUMNS($B$5:C131)),"")</f>
        <v/>
      </c>
      <c r="D131" s="142" t="str">
        <f t="array" ref="D131">IFERROR(INDEX(BD[],_xlfn.AGGREGATE(15,6,IF(BD[CLASIFICACIÓN]=$B$2,ROW(BD[CLASIFICACIÓN])-ROW('PT2 (FILTRAR)'!$E$5)+1,NA()),ROWS($B$5:D131)),COLUMNS($B$5:D131)),"")</f>
        <v/>
      </c>
      <c r="E131" s="126" t="str">
        <f t="array" ref="E131">IFERROR(INDEX(BD[],_xlfn.AGGREGATE(15,6,IF(BD[CLASIFICACIÓN]=$B$2,ROW(BD[CLASIFICACIÓN])-ROW('PT2 (FILTRAR)'!$E$5)+1,NA()),ROWS($B$5:E131)),COLUMNS($B$5:E131)),"")</f>
        <v/>
      </c>
      <c r="F131" s="126"/>
    </row>
    <row r="132" spans="2:6" x14ac:dyDescent="0.3">
      <c r="B132" s="126" t="str">
        <f t="array" ref="B132">IFERROR(INDEX(BD[],_xlfn.AGGREGATE(15,6,IF(BD[CLASIFICACIÓN]=$B$2,ROW(BD[CLASIFICACIÓN])-ROW('PT2 (FILTRAR)'!$E$5)+1,NA()),ROWS($B$5:B132)),COLUMNS($B$5:B132)),"")</f>
        <v/>
      </c>
      <c r="C132" s="127" t="str">
        <f t="array" ref="C132">IFERROR(INDEX(BD[],_xlfn.AGGREGATE(15,6,IF(BD[CLASIFICACIÓN]=$B$2,ROW(BD[CLASIFICACIÓN])-ROW('PT2 (FILTRAR)'!$E$5)+1,NA()),ROWS($B$5:C132)),COLUMNS($B$5:C132)),"")</f>
        <v/>
      </c>
      <c r="D132" s="142" t="str">
        <f t="array" ref="D132">IFERROR(INDEX(BD[],_xlfn.AGGREGATE(15,6,IF(BD[CLASIFICACIÓN]=$B$2,ROW(BD[CLASIFICACIÓN])-ROW('PT2 (FILTRAR)'!$E$5)+1,NA()),ROWS($B$5:D132)),COLUMNS($B$5:D132)),"")</f>
        <v/>
      </c>
      <c r="E132" s="126" t="str">
        <f t="array" ref="E132">IFERROR(INDEX(BD[],_xlfn.AGGREGATE(15,6,IF(BD[CLASIFICACIÓN]=$B$2,ROW(BD[CLASIFICACIÓN])-ROW('PT2 (FILTRAR)'!$E$5)+1,NA()),ROWS($B$5:E132)),COLUMNS($B$5:E132)),"")</f>
        <v/>
      </c>
      <c r="F132" s="126"/>
    </row>
    <row r="133" spans="2:6" x14ac:dyDescent="0.3">
      <c r="B133" s="126" t="str">
        <f t="array" ref="B133">IFERROR(INDEX(BD[],_xlfn.AGGREGATE(15,6,IF(BD[CLASIFICACIÓN]=$B$2,ROW(BD[CLASIFICACIÓN])-ROW('PT2 (FILTRAR)'!$E$5)+1,NA()),ROWS($B$5:B133)),COLUMNS($B$5:B133)),"")</f>
        <v/>
      </c>
      <c r="C133" s="127" t="str">
        <f t="array" ref="C133">IFERROR(INDEX(BD[],_xlfn.AGGREGATE(15,6,IF(BD[CLASIFICACIÓN]=$B$2,ROW(BD[CLASIFICACIÓN])-ROW('PT2 (FILTRAR)'!$E$5)+1,NA()),ROWS($B$5:C133)),COLUMNS($B$5:C133)),"")</f>
        <v/>
      </c>
      <c r="D133" s="142" t="str">
        <f t="array" ref="D133">IFERROR(INDEX(BD[],_xlfn.AGGREGATE(15,6,IF(BD[CLASIFICACIÓN]=$B$2,ROW(BD[CLASIFICACIÓN])-ROW('PT2 (FILTRAR)'!$E$5)+1,NA()),ROWS($B$5:D133)),COLUMNS($B$5:D133)),"")</f>
        <v/>
      </c>
      <c r="E133" s="126" t="str">
        <f t="array" ref="E133">IFERROR(INDEX(BD[],_xlfn.AGGREGATE(15,6,IF(BD[CLASIFICACIÓN]=$B$2,ROW(BD[CLASIFICACIÓN])-ROW('PT2 (FILTRAR)'!$E$5)+1,NA()),ROWS($B$5:E133)),COLUMNS($B$5:E133)),"")</f>
        <v/>
      </c>
      <c r="F133" s="126"/>
    </row>
    <row r="134" spans="2:6" x14ac:dyDescent="0.3">
      <c r="B134" s="126" t="str">
        <f t="array" ref="B134">IFERROR(INDEX(BD[],_xlfn.AGGREGATE(15,6,IF(BD[CLASIFICACIÓN]=$B$2,ROW(BD[CLASIFICACIÓN])-ROW('PT2 (FILTRAR)'!$E$5)+1,NA()),ROWS($B$5:B134)),COLUMNS($B$5:B134)),"")</f>
        <v/>
      </c>
      <c r="C134" s="127" t="str">
        <f t="array" ref="C134">IFERROR(INDEX(BD[],_xlfn.AGGREGATE(15,6,IF(BD[CLASIFICACIÓN]=$B$2,ROW(BD[CLASIFICACIÓN])-ROW('PT2 (FILTRAR)'!$E$5)+1,NA()),ROWS($B$5:C134)),COLUMNS($B$5:C134)),"")</f>
        <v/>
      </c>
      <c r="D134" s="142" t="str">
        <f t="array" ref="D134">IFERROR(INDEX(BD[],_xlfn.AGGREGATE(15,6,IF(BD[CLASIFICACIÓN]=$B$2,ROW(BD[CLASIFICACIÓN])-ROW('PT2 (FILTRAR)'!$E$5)+1,NA()),ROWS($B$5:D134)),COLUMNS($B$5:D134)),"")</f>
        <v/>
      </c>
      <c r="E134" s="126" t="str">
        <f t="array" ref="E134">IFERROR(INDEX(BD[],_xlfn.AGGREGATE(15,6,IF(BD[CLASIFICACIÓN]=$B$2,ROW(BD[CLASIFICACIÓN])-ROW('PT2 (FILTRAR)'!$E$5)+1,NA()),ROWS($B$5:E134)),COLUMNS($B$5:E134)),"")</f>
        <v/>
      </c>
      <c r="F134" s="126"/>
    </row>
    <row r="135" spans="2:6" x14ac:dyDescent="0.3">
      <c r="B135" s="126" t="str">
        <f t="array" ref="B135">IFERROR(INDEX(BD[],_xlfn.AGGREGATE(15,6,IF(BD[CLASIFICACIÓN]=$B$2,ROW(BD[CLASIFICACIÓN])-ROW('PT2 (FILTRAR)'!$E$5)+1,NA()),ROWS($B$5:B135)),COLUMNS($B$5:B135)),"")</f>
        <v/>
      </c>
      <c r="C135" s="127" t="str">
        <f t="array" ref="C135">IFERROR(INDEX(BD[],_xlfn.AGGREGATE(15,6,IF(BD[CLASIFICACIÓN]=$B$2,ROW(BD[CLASIFICACIÓN])-ROW('PT2 (FILTRAR)'!$E$5)+1,NA()),ROWS($B$5:C135)),COLUMNS($B$5:C135)),"")</f>
        <v/>
      </c>
      <c r="D135" s="142" t="str">
        <f t="array" ref="D135">IFERROR(INDEX(BD[],_xlfn.AGGREGATE(15,6,IF(BD[CLASIFICACIÓN]=$B$2,ROW(BD[CLASIFICACIÓN])-ROW('PT2 (FILTRAR)'!$E$5)+1,NA()),ROWS($B$5:D135)),COLUMNS($B$5:D135)),"")</f>
        <v/>
      </c>
      <c r="E135" s="126" t="str">
        <f t="array" ref="E135">IFERROR(INDEX(BD[],_xlfn.AGGREGATE(15,6,IF(BD[CLASIFICACIÓN]=$B$2,ROW(BD[CLASIFICACIÓN])-ROW('PT2 (FILTRAR)'!$E$5)+1,NA()),ROWS($B$5:E135)),COLUMNS($B$5:E135)),"")</f>
        <v/>
      </c>
      <c r="F135" s="126"/>
    </row>
    <row r="136" spans="2:6" x14ac:dyDescent="0.3">
      <c r="B136" s="126" t="str">
        <f t="array" ref="B136">IFERROR(INDEX(BD[],_xlfn.AGGREGATE(15,6,IF(BD[CLASIFICACIÓN]=$B$2,ROW(BD[CLASIFICACIÓN])-ROW('PT2 (FILTRAR)'!$E$5)+1,NA()),ROWS($B$5:B136)),COLUMNS($B$5:B136)),"")</f>
        <v/>
      </c>
      <c r="C136" s="127" t="str">
        <f t="array" ref="C136">IFERROR(INDEX(BD[],_xlfn.AGGREGATE(15,6,IF(BD[CLASIFICACIÓN]=$B$2,ROW(BD[CLASIFICACIÓN])-ROW('PT2 (FILTRAR)'!$E$5)+1,NA()),ROWS($B$5:C136)),COLUMNS($B$5:C136)),"")</f>
        <v/>
      </c>
      <c r="D136" s="142" t="str">
        <f t="array" ref="D136">IFERROR(INDEX(BD[],_xlfn.AGGREGATE(15,6,IF(BD[CLASIFICACIÓN]=$B$2,ROW(BD[CLASIFICACIÓN])-ROW('PT2 (FILTRAR)'!$E$5)+1,NA()),ROWS($B$5:D136)),COLUMNS($B$5:D136)),"")</f>
        <v/>
      </c>
      <c r="E136" s="126" t="str">
        <f t="array" ref="E136">IFERROR(INDEX(BD[],_xlfn.AGGREGATE(15,6,IF(BD[CLASIFICACIÓN]=$B$2,ROW(BD[CLASIFICACIÓN])-ROW('PT2 (FILTRAR)'!$E$5)+1,NA()),ROWS($B$5:E136)),COLUMNS($B$5:E136)),"")</f>
        <v/>
      </c>
      <c r="F136" s="126"/>
    </row>
    <row r="137" spans="2:6" x14ac:dyDescent="0.3">
      <c r="B137" s="126" t="str">
        <f t="array" ref="B137">IFERROR(INDEX(BD[],_xlfn.AGGREGATE(15,6,IF(BD[CLASIFICACIÓN]=$B$2,ROW(BD[CLASIFICACIÓN])-ROW('PT2 (FILTRAR)'!$E$5)+1,NA()),ROWS($B$5:B137)),COLUMNS($B$5:B137)),"")</f>
        <v/>
      </c>
      <c r="C137" s="127" t="str">
        <f t="array" ref="C137">IFERROR(INDEX(BD[],_xlfn.AGGREGATE(15,6,IF(BD[CLASIFICACIÓN]=$B$2,ROW(BD[CLASIFICACIÓN])-ROW('PT2 (FILTRAR)'!$E$5)+1,NA()),ROWS($B$5:C137)),COLUMNS($B$5:C137)),"")</f>
        <v/>
      </c>
      <c r="D137" s="142" t="str">
        <f t="array" ref="D137">IFERROR(INDEX(BD[],_xlfn.AGGREGATE(15,6,IF(BD[CLASIFICACIÓN]=$B$2,ROW(BD[CLASIFICACIÓN])-ROW('PT2 (FILTRAR)'!$E$5)+1,NA()),ROWS($B$5:D137)),COLUMNS($B$5:D137)),"")</f>
        <v/>
      </c>
      <c r="E137" s="126" t="str">
        <f t="array" ref="E137">IFERROR(INDEX(BD[],_xlfn.AGGREGATE(15,6,IF(BD[CLASIFICACIÓN]=$B$2,ROW(BD[CLASIFICACIÓN])-ROW('PT2 (FILTRAR)'!$E$5)+1,NA()),ROWS($B$5:E137)),COLUMNS($B$5:E137)),"")</f>
        <v/>
      </c>
      <c r="F137" s="126"/>
    </row>
    <row r="138" spans="2:6" x14ac:dyDescent="0.3">
      <c r="B138" s="126" t="str">
        <f t="array" ref="B138">IFERROR(INDEX(BD[],_xlfn.AGGREGATE(15,6,IF(BD[CLASIFICACIÓN]=$B$2,ROW(BD[CLASIFICACIÓN])-ROW('PT2 (FILTRAR)'!$E$5)+1,NA()),ROWS($B$5:B138)),COLUMNS($B$5:B138)),"")</f>
        <v/>
      </c>
      <c r="C138" s="127" t="str">
        <f t="array" ref="C138">IFERROR(INDEX(BD[],_xlfn.AGGREGATE(15,6,IF(BD[CLASIFICACIÓN]=$B$2,ROW(BD[CLASIFICACIÓN])-ROW('PT2 (FILTRAR)'!$E$5)+1,NA()),ROWS($B$5:C138)),COLUMNS($B$5:C138)),"")</f>
        <v/>
      </c>
      <c r="D138" s="142" t="str">
        <f t="array" ref="D138">IFERROR(INDEX(BD[],_xlfn.AGGREGATE(15,6,IF(BD[CLASIFICACIÓN]=$B$2,ROW(BD[CLASIFICACIÓN])-ROW('PT2 (FILTRAR)'!$E$5)+1,NA()),ROWS($B$5:D138)),COLUMNS($B$5:D138)),"")</f>
        <v/>
      </c>
      <c r="E138" s="126" t="str">
        <f t="array" ref="E138">IFERROR(INDEX(BD[],_xlfn.AGGREGATE(15,6,IF(BD[CLASIFICACIÓN]=$B$2,ROW(BD[CLASIFICACIÓN])-ROW('PT2 (FILTRAR)'!$E$5)+1,NA()),ROWS($B$5:E138)),COLUMNS($B$5:E138)),"")</f>
        <v/>
      </c>
      <c r="F138" s="126"/>
    </row>
    <row r="139" spans="2:6" x14ac:dyDescent="0.3">
      <c r="B139" s="126" t="str">
        <f t="array" ref="B139">IFERROR(INDEX(BD[],_xlfn.AGGREGATE(15,6,IF(BD[CLASIFICACIÓN]=$B$2,ROW(BD[CLASIFICACIÓN])-ROW('PT2 (FILTRAR)'!$E$5)+1,NA()),ROWS($B$5:B139)),COLUMNS($B$5:B139)),"")</f>
        <v/>
      </c>
      <c r="C139" s="127" t="str">
        <f t="array" ref="C139">IFERROR(INDEX(BD[],_xlfn.AGGREGATE(15,6,IF(BD[CLASIFICACIÓN]=$B$2,ROW(BD[CLASIFICACIÓN])-ROW('PT2 (FILTRAR)'!$E$5)+1,NA()),ROWS($B$5:C139)),COLUMNS($B$5:C139)),"")</f>
        <v/>
      </c>
      <c r="D139" s="142" t="str">
        <f t="array" ref="D139">IFERROR(INDEX(BD[],_xlfn.AGGREGATE(15,6,IF(BD[CLASIFICACIÓN]=$B$2,ROW(BD[CLASIFICACIÓN])-ROW('PT2 (FILTRAR)'!$E$5)+1,NA()),ROWS($B$5:D139)),COLUMNS($B$5:D139)),"")</f>
        <v/>
      </c>
      <c r="E139" s="126" t="str">
        <f t="array" ref="E139">IFERROR(INDEX(BD[],_xlfn.AGGREGATE(15,6,IF(BD[CLASIFICACIÓN]=$B$2,ROW(BD[CLASIFICACIÓN])-ROW('PT2 (FILTRAR)'!$E$5)+1,NA()),ROWS($B$5:E139)),COLUMNS($B$5:E139)),"")</f>
        <v/>
      </c>
      <c r="F139" s="126"/>
    </row>
    <row r="140" spans="2:6" x14ac:dyDescent="0.3">
      <c r="B140" s="126" t="str">
        <f t="array" ref="B140">IFERROR(INDEX(BD[],_xlfn.AGGREGATE(15,6,IF(BD[CLASIFICACIÓN]=$B$2,ROW(BD[CLASIFICACIÓN])-ROW('PT2 (FILTRAR)'!$E$5)+1,NA()),ROWS($B$5:B140)),COLUMNS($B$5:B140)),"")</f>
        <v/>
      </c>
      <c r="C140" s="127" t="str">
        <f t="array" ref="C140">IFERROR(INDEX(BD[],_xlfn.AGGREGATE(15,6,IF(BD[CLASIFICACIÓN]=$B$2,ROW(BD[CLASIFICACIÓN])-ROW('PT2 (FILTRAR)'!$E$5)+1,NA()),ROWS($B$5:C140)),COLUMNS($B$5:C140)),"")</f>
        <v/>
      </c>
      <c r="D140" s="142" t="str">
        <f t="array" ref="D140">IFERROR(INDEX(BD[],_xlfn.AGGREGATE(15,6,IF(BD[CLASIFICACIÓN]=$B$2,ROW(BD[CLASIFICACIÓN])-ROW('PT2 (FILTRAR)'!$E$5)+1,NA()),ROWS($B$5:D140)),COLUMNS($B$5:D140)),"")</f>
        <v/>
      </c>
      <c r="E140" s="126" t="str">
        <f t="array" ref="E140">IFERROR(INDEX(BD[],_xlfn.AGGREGATE(15,6,IF(BD[CLASIFICACIÓN]=$B$2,ROW(BD[CLASIFICACIÓN])-ROW('PT2 (FILTRAR)'!$E$5)+1,NA()),ROWS($B$5:E140)),COLUMNS($B$5:E140)),"")</f>
        <v/>
      </c>
      <c r="F140" s="126"/>
    </row>
    <row r="141" spans="2:6" x14ac:dyDescent="0.3">
      <c r="B141" s="126" t="str">
        <f t="array" ref="B141">IFERROR(INDEX(BD[],_xlfn.AGGREGATE(15,6,IF(BD[CLASIFICACIÓN]=$B$2,ROW(BD[CLASIFICACIÓN])-ROW('PT2 (FILTRAR)'!$E$5)+1,NA()),ROWS($B$5:B141)),COLUMNS($B$5:B141)),"")</f>
        <v/>
      </c>
      <c r="C141" s="127" t="str">
        <f t="array" ref="C141">IFERROR(INDEX(BD[],_xlfn.AGGREGATE(15,6,IF(BD[CLASIFICACIÓN]=$B$2,ROW(BD[CLASIFICACIÓN])-ROW('PT2 (FILTRAR)'!$E$5)+1,NA()),ROWS($B$5:C141)),COLUMNS($B$5:C141)),"")</f>
        <v/>
      </c>
      <c r="D141" s="142" t="str">
        <f t="array" ref="D141">IFERROR(INDEX(BD[],_xlfn.AGGREGATE(15,6,IF(BD[CLASIFICACIÓN]=$B$2,ROW(BD[CLASIFICACIÓN])-ROW('PT2 (FILTRAR)'!$E$5)+1,NA()),ROWS($B$5:D141)),COLUMNS($B$5:D141)),"")</f>
        <v/>
      </c>
      <c r="E141" s="126" t="str">
        <f t="array" ref="E141">IFERROR(INDEX(BD[],_xlfn.AGGREGATE(15,6,IF(BD[CLASIFICACIÓN]=$B$2,ROW(BD[CLASIFICACIÓN])-ROW('PT2 (FILTRAR)'!$E$5)+1,NA()),ROWS($B$5:E141)),COLUMNS($B$5:E141)),"")</f>
        <v/>
      </c>
      <c r="F141" s="126"/>
    </row>
    <row r="142" spans="2:6" x14ac:dyDescent="0.3">
      <c r="B142" s="126" t="str">
        <f t="array" ref="B142">IFERROR(INDEX(BD[],_xlfn.AGGREGATE(15,6,IF(BD[CLASIFICACIÓN]=$B$2,ROW(BD[CLASIFICACIÓN])-ROW('PT2 (FILTRAR)'!$E$5)+1,NA()),ROWS($B$5:B142)),COLUMNS($B$5:B142)),"")</f>
        <v/>
      </c>
      <c r="C142" s="127" t="str">
        <f t="array" ref="C142">IFERROR(INDEX(BD[],_xlfn.AGGREGATE(15,6,IF(BD[CLASIFICACIÓN]=$B$2,ROW(BD[CLASIFICACIÓN])-ROW('PT2 (FILTRAR)'!$E$5)+1,NA()),ROWS($B$5:C142)),COLUMNS($B$5:C142)),"")</f>
        <v/>
      </c>
      <c r="D142" s="142" t="str">
        <f t="array" ref="D142">IFERROR(INDEX(BD[],_xlfn.AGGREGATE(15,6,IF(BD[CLASIFICACIÓN]=$B$2,ROW(BD[CLASIFICACIÓN])-ROW('PT2 (FILTRAR)'!$E$5)+1,NA()),ROWS($B$5:D142)),COLUMNS($B$5:D142)),"")</f>
        <v/>
      </c>
      <c r="E142" s="126" t="str">
        <f t="array" ref="E142">IFERROR(INDEX(BD[],_xlfn.AGGREGATE(15,6,IF(BD[CLASIFICACIÓN]=$B$2,ROW(BD[CLASIFICACIÓN])-ROW('PT2 (FILTRAR)'!$E$5)+1,NA()),ROWS($B$5:E142)),COLUMNS($B$5:E142)),"")</f>
        <v/>
      </c>
      <c r="F142" s="126"/>
    </row>
    <row r="143" spans="2:6" x14ac:dyDescent="0.3">
      <c r="B143" s="126" t="str">
        <f t="array" ref="B143">IFERROR(INDEX(BD[],_xlfn.AGGREGATE(15,6,IF(BD[CLASIFICACIÓN]=$B$2,ROW(BD[CLASIFICACIÓN])-ROW('PT2 (FILTRAR)'!$E$5)+1,NA()),ROWS($B$5:B143)),COLUMNS($B$5:B143)),"")</f>
        <v/>
      </c>
      <c r="C143" s="127" t="str">
        <f t="array" ref="C143">IFERROR(INDEX(BD[],_xlfn.AGGREGATE(15,6,IF(BD[CLASIFICACIÓN]=$B$2,ROW(BD[CLASIFICACIÓN])-ROW('PT2 (FILTRAR)'!$E$5)+1,NA()),ROWS($B$5:C143)),COLUMNS($B$5:C143)),"")</f>
        <v/>
      </c>
      <c r="D143" s="142" t="str">
        <f t="array" ref="D143">IFERROR(INDEX(BD[],_xlfn.AGGREGATE(15,6,IF(BD[CLASIFICACIÓN]=$B$2,ROW(BD[CLASIFICACIÓN])-ROW('PT2 (FILTRAR)'!$E$5)+1,NA()),ROWS($B$5:D143)),COLUMNS($B$5:D143)),"")</f>
        <v/>
      </c>
      <c r="E143" s="126" t="str">
        <f t="array" ref="E143">IFERROR(INDEX(BD[],_xlfn.AGGREGATE(15,6,IF(BD[CLASIFICACIÓN]=$B$2,ROW(BD[CLASIFICACIÓN])-ROW('PT2 (FILTRAR)'!$E$5)+1,NA()),ROWS($B$5:E143)),COLUMNS($B$5:E143)),"")</f>
        <v/>
      </c>
      <c r="F143" s="126"/>
    </row>
    <row r="144" spans="2:6" x14ac:dyDescent="0.3">
      <c r="B144" s="126" t="str">
        <f t="array" ref="B144">IFERROR(INDEX(BD[],_xlfn.AGGREGATE(15,6,IF(BD[CLASIFICACIÓN]=$B$2,ROW(BD[CLASIFICACIÓN])-ROW('PT2 (FILTRAR)'!$E$5)+1,NA()),ROWS($B$5:B144)),COLUMNS($B$5:B144)),"")</f>
        <v/>
      </c>
      <c r="C144" s="127" t="str">
        <f t="array" ref="C144">IFERROR(INDEX(BD[],_xlfn.AGGREGATE(15,6,IF(BD[CLASIFICACIÓN]=$B$2,ROW(BD[CLASIFICACIÓN])-ROW('PT2 (FILTRAR)'!$E$5)+1,NA()),ROWS($B$5:C144)),COLUMNS($B$5:C144)),"")</f>
        <v/>
      </c>
      <c r="D144" s="142" t="str">
        <f t="array" ref="D144">IFERROR(INDEX(BD[],_xlfn.AGGREGATE(15,6,IF(BD[CLASIFICACIÓN]=$B$2,ROW(BD[CLASIFICACIÓN])-ROW('PT2 (FILTRAR)'!$E$5)+1,NA()),ROWS($B$5:D144)),COLUMNS($B$5:D144)),"")</f>
        <v/>
      </c>
      <c r="E144" s="126" t="str">
        <f t="array" ref="E144">IFERROR(INDEX(BD[],_xlfn.AGGREGATE(15,6,IF(BD[CLASIFICACIÓN]=$B$2,ROW(BD[CLASIFICACIÓN])-ROW('PT2 (FILTRAR)'!$E$5)+1,NA()),ROWS($B$5:E144)),COLUMNS($B$5:E144)),"")</f>
        <v/>
      </c>
      <c r="F144" s="126"/>
    </row>
    <row r="145" spans="2:6" x14ac:dyDescent="0.3">
      <c r="B145" s="126" t="str">
        <f t="array" ref="B145">IFERROR(INDEX(BD[],_xlfn.AGGREGATE(15,6,IF(BD[CLASIFICACIÓN]=$B$2,ROW(BD[CLASIFICACIÓN])-ROW('PT2 (FILTRAR)'!$E$5)+1,NA()),ROWS($B$5:B145)),COLUMNS($B$5:B145)),"")</f>
        <v/>
      </c>
      <c r="C145" s="127" t="str">
        <f t="array" ref="C145">IFERROR(INDEX(BD[],_xlfn.AGGREGATE(15,6,IF(BD[CLASIFICACIÓN]=$B$2,ROW(BD[CLASIFICACIÓN])-ROW('PT2 (FILTRAR)'!$E$5)+1,NA()),ROWS($B$5:C145)),COLUMNS($B$5:C145)),"")</f>
        <v/>
      </c>
      <c r="D145" s="142" t="str">
        <f t="array" ref="D145">IFERROR(INDEX(BD[],_xlfn.AGGREGATE(15,6,IF(BD[CLASIFICACIÓN]=$B$2,ROW(BD[CLASIFICACIÓN])-ROW('PT2 (FILTRAR)'!$E$5)+1,NA()),ROWS($B$5:D145)),COLUMNS($B$5:D145)),"")</f>
        <v/>
      </c>
      <c r="E145" s="126" t="str">
        <f t="array" ref="E145">IFERROR(INDEX(BD[],_xlfn.AGGREGATE(15,6,IF(BD[CLASIFICACIÓN]=$B$2,ROW(BD[CLASIFICACIÓN])-ROW('PT2 (FILTRAR)'!$E$5)+1,NA()),ROWS($B$5:E145)),COLUMNS($B$5:E145)),"")</f>
        <v/>
      </c>
      <c r="F145" s="126"/>
    </row>
    <row r="146" spans="2:6" x14ac:dyDescent="0.3">
      <c r="B146" s="126" t="str">
        <f t="array" ref="B146">IFERROR(INDEX(BD[],_xlfn.AGGREGATE(15,6,IF(BD[CLASIFICACIÓN]=$B$2,ROW(BD[CLASIFICACIÓN])-ROW('PT2 (FILTRAR)'!$E$5)+1,NA()),ROWS($B$5:B146)),COLUMNS($B$5:B146)),"")</f>
        <v/>
      </c>
      <c r="C146" s="127" t="str">
        <f t="array" ref="C146">IFERROR(INDEX(BD[],_xlfn.AGGREGATE(15,6,IF(BD[CLASIFICACIÓN]=$B$2,ROW(BD[CLASIFICACIÓN])-ROW('PT2 (FILTRAR)'!$E$5)+1,NA()),ROWS($B$5:C146)),COLUMNS($B$5:C146)),"")</f>
        <v/>
      </c>
      <c r="D146" s="142" t="str">
        <f t="array" ref="D146">IFERROR(INDEX(BD[],_xlfn.AGGREGATE(15,6,IF(BD[CLASIFICACIÓN]=$B$2,ROW(BD[CLASIFICACIÓN])-ROW('PT2 (FILTRAR)'!$E$5)+1,NA()),ROWS($B$5:D146)),COLUMNS($B$5:D146)),"")</f>
        <v/>
      </c>
      <c r="E146" s="126" t="str">
        <f t="array" ref="E146">IFERROR(INDEX(BD[],_xlfn.AGGREGATE(15,6,IF(BD[CLASIFICACIÓN]=$B$2,ROW(BD[CLASIFICACIÓN])-ROW('PT2 (FILTRAR)'!$E$5)+1,NA()),ROWS($B$5:E146)),COLUMNS($B$5:E146)),"")</f>
        <v/>
      </c>
      <c r="F146" s="126"/>
    </row>
    <row r="147" spans="2:6" x14ac:dyDescent="0.3">
      <c r="B147" s="126" t="str">
        <f t="array" ref="B147">IFERROR(INDEX(BD[],_xlfn.AGGREGATE(15,6,IF(BD[CLASIFICACIÓN]=$B$2,ROW(BD[CLASIFICACIÓN])-ROW('PT2 (FILTRAR)'!$E$5)+1,NA()),ROWS($B$5:B147)),COLUMNS($B$5:B147)),"")</f>
        <v/>
      </c>
      <c r="C147" s="127" t="str">
        <f t="array" ref="C147">IFERROR(INDEX(BD[],_xlfn.AGGREGATE(15,6,IF(BD[CLASIFICACIÓN]=$B$2,ROW(BD[CLASIFICACIÓN])-ROW('PT2 (FILTRAR)'!$E$5)+1,NA()),ROWS($B$5:C147)),COLUMNS($B$5:C147)),"")</f>
        <v/>
      </c>
      <c r="D147" s="142" t="str">
        <f t="array" ref="D147">IFERROR(INDEX(BD[],_xlfn.AGGREGATE(15,6,IF(BD[CLASIFICACIÓN]=$B$2,ROW(BD[CLASIFICACIÓN])-ROW('PT2 (FILTRAR)'!$E$5)+1,NA()),ROWS($B$5:D147)),COLUMNS($B$5:D147)),"")</f>
        <v/>
      </c>
      <c r="E147" s="126" t="str">
        <f t="array" ref="E147">IFERROR(INDEX(BD[],_xlfn.AGGREGATE(15,6,IF(BD[CLASIFICACIÓN]=$B$2,ROW(BD[CLASIFICACIÓN])-ROW('PT2 (FILTRAR)'!$E$5)+1,NA()),ROWS($B$5:E147)),COLUMNS($B$5:E147)),"")</f>
        <v/>
      </c>
      <c r="F147" s="126"/>
    </row>
    <row r="148" spans="2:6" x14ac:dyDescent="0.3">
      <c r="B148" s="126" t="str">
        <f t="array" ref="B148">IFERROR(INDEX(BD[],_xlfn.AGGREGATE(15,6,IF(BD[CLASIFICACIÓN]=$B$2,ROW(BD[CLASIFICACIÓN])-ROW('PT2 (FILTRAR)'!$E$5)+1,NA()),ROWS($B$5:B148)),COLUMNS($B$5:B148)),"")</f>
        <v/>
      </c>
      <c r="C148" s="127" t="str">
        <f t="array" ref="C148">IFERROR(INDEX(BD[],_xlfn.AGGREGATE(15,6,IF(BD[CLASIFICACIÓN]=$B$2,ROW(BD[CLASIFICACIÓN])-ROW('PT2 (FILTRAR)'!$E$5)+1,NA()),ROWS($B$5:C148)),COLUMNS($B$5:C148)),"")</f>
        <v/>
      </c>
      <c r="D148" s="142" t="str">
        <f t="array" ref="D148">IFERROR(INDEX(BD[],_xlfn.AGGREGATE(15,6,IF(BD[CLASIFICACIÓN]=$B$2,ROW(BD[CLASIFICACIÓN])-ROW('PT2 (FILTRAR)'!$E$5)+1,NA()),ROWS($B$5:D148)),COLUMNS($B$5:D148)),"")</f>
        <v/>
      </c>
      <c r="E148" s="126" t="str">
        <f t="array" ref="E148">IFERROR(INDEX(BD[],_xlfn.AGGREGATE(15,6,IF(BD[CLASIFICACIÓN]=$B$2,ROW(BD[CLASIFICACIÓN])-ROW('PT2 (FILTRAR)'!$E$5)+1,NA()),ROWS($B$5:E148)),COLUMNS($B$5:E148)),"")</f>
        <v/>
      </c>
      <c r="F148" s="126"/>
    </row>
    <row r="149" spans="2:6" x14ac:dyDescent="0.3">
      <c r="B149" s="126" t="str">
        <f t="array" ref="B149">IFERROR(INDEX(BD[],_xlfn.AGGREGATE(15,6,IF(BD[CLASIFICACIÓN]=$B$2,ROW(BD[CLASIFICACIÓN])-ROW('PT2 (FILTRAR)'!$E$5)+1,NA()),ROWS($B$5:B149)),COLUMNS($B$5:B149)),"")</f>
        <v/>
      </c>
      <c r="C149" s="127" t="str">
        <f t="array" ref="C149">IFERROR(INDEX(BD[],_xlfn.AGGREGATE(15,6,IF(BD[CLASIFICACIÓN]=$B$2,ROW(BD[CLASIFICACIÓN])-ROW('PT2 (FILTRAR)'!$E$5)+1,NA()),ROWS($B$5:C149)),COLUMNS($B$5:C149)),"")</f>
        <v/>
      </c>
      <c r="D149" s="142" t="str">
        <f t="array" ref="D149">IFERROR(INDEX(BD[],_xlfn.AGGREGATE(15,6,IF(BD[CLASIFICACIÓN]=$B$2,ROW(BD[CLASIFICACIÓN])-ROW('PT2 (FILTRAR)'!$E$5)+1,NA()),ROWS($B$5:D149)),COLUMNS($B$5:D149)),"")</f>
        <v/>
      </c>
      <c r="E149" s="126" t="str">
        <f t="array" ref="E149">IFERROR(INDEX(BD[],_xlfn.AGGREGATE(15,6,IF(BD[CLASIFICACIÓN]=$B$2,ROW(BD[CLASIFICACIÓN])-ROW('PT2 (FILTRAR)'!$E$5)+1,NA()),ROWS($B$5:E149)),COLUMNS($B$5:E149)),"")</f>
        <v/>
      </c>
      <c r="F149" s="126"/>
    </row>
    <row r="150" spans="2:6" x14ac:dyDescent="0.3">
      <c r="B150" s="126" t="str">
        <f t="array" ref="B150">IFERROR(INDEX(BD[],_xlfn.AGGREGATE(15,6,IF(BD[CLASIFICACIÓN]=$B$2,ROW(BD[CLASIFICACIÓN])-ROW('PT2 (FILTRAR)'!$E$5)+1,NA()),ROWS($B$5:B150)),COLUMNS($B$5:B150)),"")</f>
        <v/>
      </c>
      <c r="C150" s="127" t="str">
        <f t="array" ref="C150">IFERROR(INDEX(BD[],_xlfn.AGGREGATE(15,6,IF(BD[CLASIFICACIÓN]=$B$2,ROW(BD[CLASIFICACIÓN])-ROW('PT2 (FILTRAR)'!$E$5)+1,NA()),ROWS($B$5:C150)),COLUMNS($B$5:C150)),"")</f>
        <v/>
      </c>
      <c r="D150" s="142" t="str">
        <f t="array" ref="D150">IFERROR(INDEX(BD[],_xlfn.AGGREGATE(15,6,IF(BD[CLASIFICACIÓN]=$B$2,ROW(BD[CLASIFICACIÓN])-ROW('PT2 (FILTRAR)'!$E$5)+1,NA()),ROWS($B$5:D150)),COLUMNS($B$5:D150)),"")</f>
        <v/>
      </c>
      <c r="E150" s="126" t="str">
        <f t="array" ref="E150">IFERROR(INDEX(BD[],_xlfn.AGGREGATE(15,6,IF(BD[CLASIFICACIÓN]=$B$2,ROW(BD[CLASIFICACIÓN])-ROW('PT2 (FILTRAR)'!$E$5)+1,NA()),ROWS($B$5:E150)),COLUMNS($B$5:E150)),"")</f>
        <v/>
      </c>
      <c r="F150" s="126"/>
    </row>
    <row r="151" spans="2:6" x14ac:dyDescent="0.3">
      <c r="B151" s="126" t="str">
        <f t="array" ref="B151">IFERROR(INDEX(BD[],_xlfn.AGGREGATE(15,6,IF(BD[CLASIFICACIÓN]=$B$2,ROW(BD[CLASIFICACIÓN])-ROW('PT2 (FILTRAR)'!$E$5)+1,NA()),ROWS($B$5:B151)),COLUMNS($B$5:B151)),"")</f>
        <v/>
      </c>
      <c r="C151" s="127" t="str">
        <f t="array" ref="C151">IFERROR(INDEX(BD[],_xlfn.AGGREGATE(15,6,IF(BD[CLASIFICACIÓN]=$B$2,ROW(BD[CLASIFICACIÓN])-ROW('PT2 (FILTRAR)'!$E$5)+1,NA()),ROWS($B$5:C151)),COLUMNS($B$5:C151)),"")</f>
        <v/>
      </c>
      <c r="D151" s="142" t="str">
        <f t="array" ref="D151">IFERROR(INDEX(BD[],_xlfn.AGGREGATE(15,6,IF(BD[CLASIFICACIÓN]=$B$2,ROW(BD[CLASIFICACIÓN])-ROW('PT2 (FILTRAR)'!$E$5)+1,NA()),ROWS($B$5:D151)),COLUMNS($B$5:D151)),"")</f>
        <v/>
      </c>
      <c r="E151" s="126" t="str">
        <f t="array" ref="E151">IFERROR(INDEX(BD[],_xlfn.AGGREGATE(15,6,IF(BD[CLASIFICACIÓN]=$B$2,ROW(BD[CLASIFICACIÓN])-ROW('PT2 (FILTRAR)'!$E$5)+1,NA()),ROWS($B$5:E151)),COLUMNS($B$5:E151)),"")</f>
        <v/>
      </c>
      <c r="F151" s="126"/>
    </row>
    <row r="152" spans="2:6" x14ac:dyDescent="0.3">
      <c r="B152" s="126" t="str">
        <f t="array" ref="B152">IFERROR(INDEX(BD[],_xlfn.AGGREGATE(15,6,IF(BD[CLASIFICACIÓN]=$B$2,ROW(BD[CLASIFICACIÓN])-ROW('PT2 (FILTRAR)'!$E$5)+1,NA()),ROWS($B$5:B152)),COLUMNS($B$5:B152)),"")</f>
        <v/>
      </c>
      <c r="C152" s="127" t="str">
        <f t="array" ref="C152">IFERROR(INDEX(BD[],_xlfn.AGGREGATE(15,6,IF(BD[CLASIFICACIÓN]=$B$2,ROW(BD[CLASIFICACIÓN])-ROW('PT2 (FILTRAR)'!$E$5)+1,NA()),ROWS($B$5:C152)),COLUMNS($B$5:C152)),"")</f>
        <v/>
      </c>
      <c r="D152" s="142" t="str">
        <f t="array" ref="D152">IFERROR(INDEX(BD[],_xlfn.AGGREGATE(15,6,IF(BD[CLASIFICACIÓN]=$B$2,ROW(BD[CLASIFICACIÓN])-ROW('PT2 (FILTRAR)'!$E$5)+1,NA()),ROWS($B$5:D152)),COLUMNS($B$5:D152)),"")</f>
        <v/>
      </c>
      <c r="E152" s="126" t="str">
        <f t="array" ref="E152">IFERROR(INDEX(BD[],_xlfn.AGGREGATE(15,6,IF(BD[CLASIFICACIÓN]=$B$2,ROW(BD[CLASIFICACIÓN])-ROW('PT2 (FILTRAR)'!$E$5)+1,NA()),ROWS($B$5:E152)),COLUMNS($B$5:E152)),"")</f>
        <v/>
      </c>
      <c r="F152" s="126"/>
    </row>
    <row r="153" spans="2:6" x14ac:dyDescent="0.3">
      <c r="B153" s="126" t="str">
        <f t="array" ref="B153">IFERROR(INDEX(BD[],_xlfn.AGGREGATE(15,6,IF(BD[CLASIFICACIÓN]=$B$2,ROW(BD[CLASIFICACIÓN])-ROW('PT2 (FILTRAR)'!$E$5)+1,NA()),ROWS($B$5:B153)),COLUMNS($B$5:B153)),"")</f>
        <v/>
      </c>
      <c r="C153" s="127" t="str">
        <f t="array" ref="C153">IFERROR(INDEX(BD[],_xlfn.AGGREGATE(15,6,IF(BD[CLASIFICACIÓN]=$B$2,ROW(BD[CLASIFICACIÓN])-ROW('PT2 (FILTRAR)'!$E$5)+1,NA()),ROWS($B$5:C153)),COLUMNS($B$5:C153)),"")</f>
        <v/>
      </c>
      <c r="D153" s="142" t="str">
        <f t="array" ref="D153">IFERROR(INDEX(BD[],_xlfn.AGGREGATE(15,6,IF(BD[CLASIFICACIÓN]=$B$2,ROW(BD[CLASIFICACIÓN])-ROW('PT2 (FILTRAR)'!$E$5)+1,NA()),ROWS($B$5:D153)),COLUMNS($B$5:D153)),"")</f>
        <v/>
      </c>
      <c r="E153" s="126" t="str">
        <f t="array" ref="E153">IFERROR(INDEX(BD[],_xlfn.AGGREGATE(15,6,IF(BD[CLASIFICACIÓN]=$B$2,ROW(BD[CLASIFICACIÓN])-ROW('PT2 (FILTRAR)'!$E$5)+1,NA()),ROWS($B$5:E153)),COLUMNS($B$5:E153)),"")</f>
        <v/>
      </c>
      <c r="F153" s="126"/>
    </row>
    <row r="154" spans="2:6" x14ac:dyDescent="0.3">
      <c r="B154" s="126" t="str">
        <f t="array" ref="B154">IFERROR(INDEX(BD[],_xlfn.AGGREGATE(15,6,IF(BD[CLASIFICACIÓN]=$B$2,ROW(BD[CLASIFICACIÓN])-ROW('PT2 (FILTRAR)'!$E$5)+1,NA()),ROWS($B$5:B154)),COLUMNS($B$5:B154)),"")</f>
        <v/>
      </c>
      <c r="C154" s="127" t="str">
        <f t="array" ref="C154">IFERROR(INDEX(BD[],_xlfn.AGGREGATE(15,6,IF(BD[CLASIFICACIÓN]=$B$2,ROW(BD[CLASIFICACIÓN])-ROW('PT2 (FILTRAR)'!$E$5)+1,NA()),ROWS($B$5:C154)),COLUMNS($B$5:C154)),"")</f>
        <v/>
      </c>
      <c r="D154" s="142" t="str">
        <f t="array" ref="D154">IFERROR(INDEX(BD[],_xlfn.AGGREGATE(15,6,IF(BD[CLASIFICACIÓN]=$B$2,ROW(BD[CLASIFICACIÓN])-ROW('PT2 (FILTRAR)'!$E$5)+1,NA()),ROWS($B$5:D154)),COLUMNS($B$5:D154)),"")</f>
        <v/>
      </c>
      <c r="E154" s="126" t="str">
        <f t="array" ref="E154">IFERROR(INDEX(BD[],_xlfn.AGGREGATE(15,6,IF(BD[CLASIFICACIÓN]=$B$2,ROW(BD[CLASIFICACIÓN])-ROW('PT2 (FILTRAR)'!$E$5)+1,NA()),ROWS($B$5:E154)),COLUMNS($B$5:E154)),"")</f>
        <v/>
      </c>
      <c r="F154" s="126"/>
    </row>
    <row r="155" spans="2:6" x14ac:dyDescent="0.3">
      <c r="B155" s="126" t="str">
        <f t="array" ref="B155">IFERROR(INDEX(BD[],_xlfn.AGGREGATE(15,6,IF(BD[CLASIFICACIÓN]=$B$2,ROW(BD[CLASIFICACIÓN])-ROW('PT2 (FILTRAR)'!$E$5)+1,NA()),ROWS($B$5:B155)),COLUMNS($B$5:B155)),"")</f>
        <v/>
      </c>
      <c r="C155" s="127" t="str">
        <f t="array" ref="C155">IFERROR(INDEX(BD[],_xlfn.AGGREGATE(15,6,IF(BD[CLASIFICACIÓN]=$B$2,ROW(BD[CLASIFICACIÓN])-ROW('PT2 (FILTRAR)'!$E$5)+1,NA()),ROWS($B$5:C155)),COLUMNS($B$5:C155)),"")</f>
        <v/>
      </c>
      <c r="D155" s="142" t="str">
        <f t="array" ref="D155">IFERROR(INDEX(BD[],_xlfn.AGGREGATE(15,6,IF(BD[CLASIFICACIÓN]=$B$2,ROW(BD[CLASIFICACIÓN])-ROW('PT2 (FILTRAR)'!$E$5)+1,NA()),ROWS($B$5:D155)),COLUMNS($B$5:D155)),"")</f>
        <v/>
      </c>
      <c r="E155" s="126" t="str">
        <f t="array" ref="E155">IFERROR(INDEX(BD[],_xlfn.AGGREGATE(15,6,IF(BD[CLASIFICACIÓN]=$B$2,ROW(BD[CLASIFICACIÓN])-ROW('PT2 (FILTRAR)'!$E$5)+1,NA()),ROWS($B$5:E155)),COLUMNS($B$5:E155)),"")</f>
        <v/>
      </c>
      <c r="F155" s="126"/>
    </row>
    <row r="156" spans="2:6" x14ac:dyDescent="0.3">
      <c r="B156" s="126" t="str">
        <f t="array" ref="B156">IFERROR(INDEX(BD[],_xlfn.AGGREGATE(15,6,IF(BD[CLASIFICACIÓN]=$B$2,ROW(BD[CLASIFICACIÓN])-ROW('PT2 (FILTRAR)'!$E$5)+1,NA()),ROWS($B$5:B156)),COLUMNS($B$5:B156)),"")</f>
        <v/>
      </c>
      <c r="C156" s="127" t="str">
        <f t="array" ref="C156">IFERROR(INDEX(BD[],_xlfn.AGGREGATE(15,6,IF(BD[CLASIFICACIÓN]=$B$2,ROW(BD[CLASIFICACIÓN])-ROW('PT2 (FILTRAR)'!$E$5)+1,NA()),ROWS($B$5:C156)),COLUMNS($B$5:C156)),"")</f>
        <v/>
      </c>
      <c r="D156" s="142" t="str">
        <f t="array" ref="D156">IFERROR(INDEX(BD[],_xlfn.AGGREGATE(15,6,IF(BD[CLASIFICACIÓN]=$B$2,ROW(BD[CLASIFICACIÓN])-ROW('PT2 (FILTRAR)'!$E$5)+1,NA()),ROWS($B$5:D156)),COLUMNS($B$5:D156)),"")</f>
        <v/>
      </c>
      <c r="E156" s="126" t="str">
        <f t="array" ref="E156">IFERROR(INDEX(BD[],_xlfn.AGGREGATE(15,6,IF(BD[CLASIFICACIÓN]=$B$2,ROW(BD[CLASIFICACIÓN])-ROW('PT2 (FILTRAR)'!$E$5)+1,NA()),ROWS($B$5:E156)),COLUMNS($B$5:E156)),"")</f>
        <v/>
      </c>
      <c r="F156" s="126"/>
    </row>
    <row r="157" spans="2:6" x14ac:dyDescent="0.3">
      <c r="B157" s="126" t="str">
        <f t="array" ref="B157">IFERROR(INDEX(BD[],_xlfn.AGGREGATE(15,6,IF(BD[CLASIFICACIÓN]=$B$2,ROW(BD[CLASIFICACIÓN])-ROW('PT2 (FILTRAR)'!$E$5)+1,NA()),ROWS($B$5:B157)),COLUMNS($B$5:B157)),"")</f>
        <v/>
      </c>
      <c r="C157" s="127" t="str">
        <f t="array" ref="C157">IFERROR(INDEX(BD[],_xlfn.AGGREGATE(15,6,IF(BD[CLASIFICACIÓN]=$B$2,ROW(BD[CLASIFICACIÓN])-ROW('PT2 (FILTRAR)'!$E$5)+1,NA()),ROWS($B$5:C157)),COLUMNS($B$5:C157)),"")</f>
        <v/>
      </c>
      <c r="D157" s="142" t="str">
        <f t="array" ref="D157">IFERROR(INDEX(BD[],_xlfn.AGGREGATE(15,6,IF(BD[CLASIFICACIÓN]=$B$2,ROW(BD[CLASIFICACIÓN])-ROW('PT2 (FILTRAR)'!$E$5)+1,NA()),ROWS($B$5:D157)),COLUMNS($B$5:D157)),"")</f>
        <v/>
      </c>
      <c r="E157" s="126" t="str">
        <f t="array" ref="E157">IFERROR(INDEX(BD[],_xlfn.AGGREGATE(15,6,IF(BD[CLASIFICACIÓN]=$B$2,ROW(BD[CLASIFICACIÓN])-ROW('PT2 (FILTRAR)'!$E$5)+1,NA()),ROWS($B$5:E157)),COLUMNS($B$5:E157)),"")</f>
        <v/>
      </c>
      <c r="F157" s="126"/>
    </row>
    <row r="158" spans="2:6" x14ac:dyDescent="0.3">
      <c r="B158" s="126" t="str">
        <f t="array" ref="B158">IFERROR(INDEX(BD[],_xlfn.AGGREGATE(15,6,IF(BD[CLASIFICACIÓN]=$B$2,ROW(BD[CLASIFICACIÓN])-ROW('PT2 (FILTRAR)'!$E$5)+1,NA()),ROWS($B$5:B158)),COLUMNS($B$5:B158)),"")</f>
        <v/>
      </c>
      <c r="C158" s="127" t="str">
        <f t="array" ref="C158">IFERROR(INDEX(BD[],_xlfn.AGGREGATE(15,6,IF(BD[CLASIFICACIÓN]=$B$2,ROW(BD[CLASIFICACIÓN])-ROW('PT2 (FILTRAR)'!$E$5)+1,NA()),ROWS($B$5:C158)),COLUMNS($B$5:C158)),"")</f>
        <v/>
      </c>
      <c r="D158" s="142" t="str">
        <f t="array" ref="D158">IFERROR(INDEX(BD[],_xlfn.AGGREGATE(15,6,IF(BD[CLASIFICACIÓN]=$B$2,ROW(BD[CLASIFICACIÓN])-ROW('PT2 (FILTRAR)'!$E$5)+1,NA()),ROWS($B$5:D158)),COLUMNS($B$5:D158)),"")</f>
        <v/>
      </c>
      <c r="E158" s="126" t="str">
        <f t="array" ref="E158">IFERROR(INDEX(BD[],_xlfn.AGGREGATE(15,6,IF(BD[CLASIFICACIÓN]=$B$2,ROW(BD[CLASIFICACIÓN])-ROW('PT2 (FILTRAR)'!$E$5)+1,NA()),ROWS($B$5:E158)),COLUMNS($B$5:E158)),"")</f>
        <v/>
      </c>
      <c r="F158" s="126"/>
    </row>
    <row r="159" spans="2:6" x14ac:dyDescent="0.3">
      <c r="B159" s="126" t="str">
        <f t="array" ref="B159">IFERROR(INDEX(BD[],_xlfn.AGGREGATE(15,6,IF(BD[CLASIFICACIÓN]=$B$2,ROW(BD[CLASIFICACIÓN])-ROW('PT2 (FILTRAR)'!$E$5)+1,NA()),ROWS($B$5:B159)),COLUMNS($B$5:B159)),"")</f>
        <v/>
      </c>
      <c r="C159" s="127" t="str">
        <f t="array" ref="C159">IFERROR(INDEX(BD[],_xlfn.AGGREGATE(15,6,IF(BD[CLASIFICACIÓN]=$B$2,ROW(BD[CLASIFICACIÓN])-ROW('PT2 (FILTRAR)'!$E$5)+1,NA()),ROWS($B$5:C159)),COLUMNS($B$5:C159)),"")</f>
        <v/>
      </c>
      <c r="D159" s="142" t="str">
        <f t="array" ref="D159">IFERROR(INDEX(BD[],_xlfn.AGGREGATE(15,6,IF(BD[CLASIFICACIÓN]=$B$2,ROW(BD[CLASIFICACIÓN])-ROW('PT2 (FILTRAR)'!$E$5)+1,NA()),ROWS($B$5:D159)),COLUMNS($B$5:D159)),"")</f>
        <v/>
      </c>
      <c r="E159" s="126" t="str">
        <f t="array" ref="E159">IFERROR(INDEX(BD[],_xlfn.AGGREGATE(15,6,IF(BD[CLASIFICACIÓN]=$B$2,ROW(BD[CLASIFICACIÓN])-ROW('PT2 (FILTRAR)'!$E$5)+1,NA()),ROWS($B$5:E159)),COLUMNS($B$5:E159)),"")</f>
        <v/>
      </c>
      <c r="F159" s="126"/>
    </row>
    <row r="160" spans="2:6" x14ac:dyDescent="0.3">
      <c r="B160" s="126" t="str">
        <f t="array" ref="B160">IFERROR(INDEX(BD[],_xlfn.AGGREGATE(15,6,IF(BD[CLASIFICACIÓN]=$B$2,ROW(BD[CLASIFICACIÓN])-ROW('PT2 (FILTRAR)'!$E$5)+1,NA()),ROWS($B$5:B160)),COLUMNS($B$5:B160)),"")</f>
        <v/>
      </c>
      <c r="C160" s="127" t="str">
        <f t="array" ref="C160">IFERROR(INDEX(BD[],_xlfn.AGGREGATE(15,6,IF(BD[CLASIFICACIÓN]=$B$2,ROW(BD[CLASIFICACIÓN])-ROW('PT2 (FILTRAR)'!$E$5)+1,NA()),ROWS($B$5:C160)),COLUMNS($B$5:C160)),"")</f>
        <v/>
      </c>
      <c r="D160" s="142" t="str">
        <f t="array" ref="D160">IFERROR(INDEX(BD[],_xlfn.AGGREGATE(15,6,IF(BD[CLASIFICACIÓN]=$B$2,ROW(BD[CLASIFICACIÓN])-ROW('PT2 (FILTRAR)'!$E$5)+1,NA()),ROWS($B$5:D160)),COLUMNS($B$5:D160)),"")</f>
        <v/>
      </c>
      <c r="E160" s="126" t="str">
        <f t="array" ref="E160">IFERROR(INDEX(BD[],_xlfn.AGGREGATE(15,6,IF(BD[CLASIFICACIÓN]=$B$2,ROW(BD[CLASIFICACIÓN])-ROW('PT2 (FILTRAR)'!$E$5)+1,NA()),ROWS($B$5:E160)),COLUMNS($B$5:E160)),"")</f>
        <v/>
      </c>
      <c r="F160" s="126"/>
    </row>
    <row r="161" spans="2:6" x14ac:dyDescent="0.3">
      <c r="B161" s="126" t="str">
        <f t="array" ref="B161">IFERROR(INDEX(BD[],_xlfn.AGGREGATE(15,6,IF(BD[CLASIFICACIÓN]=$B$2,ROW(BD[CLASIFICACIÓN])-ROW('PT2 (FILTRAR)'!$E$5)+1,NA()),ROWS($B$5:B161)),COLUMNS($B$5:B161)),"")</f>
        <v/>
      </c>
      <c r="C161" s="127" t="str">
        <f t="array" ref="C161">IFERROR(INDEX(BD[],_xlfn.AGGREGATE(15,6,IF(BD[CLASIFICACIÓN]=$B$2,ROW(BD[CLASIFICACIÓN])-ROW('PT2 (FILTRAR)'!$E$5)+1,NA()),ROWS($B$5:C161)),COLUMNS($B$5:C161)),"")</f>
        <v/>
      </c>
      <c r="D161" s="142" t="str">
        <f t="array" ref="D161">IFERROR(INDEX(BD[],_xlfn.AGGREGATE(15,6,IF(BD[CLASIFICACIÓN]=$B$2,ROW(BD[CLASIFICACIÓN])-ROW('PT2 (FILTRAR)'!$E$5)+1,NA()),ROWS($B$5:D161)),COLUMNS($B$5:D161)),"")</f>
        <v/>
      </c>
      <c r="E161" s="126" t="str">
        <f t="array" ref="E161">IFERROR(INDEX(BD[],_xlfn.AGGREGATE(15,6,IF(BD[CLASIFICACIÓN]=$B$2,ROW(BD[CLASIFICACIÓN])-ROW('PT2 (FILTRAR)'!$E$5)+1,NA()),ROWS($B$5:E161)),COLUMNS($B$5:E161)),"")</f>
        <v/>
      </c>
      <c r="F161" s="126"/>
    </row>
    <row r="162" spans="2:6" x14ac:dyDescent="0.3">
      <c r="B162" s="126" t="str">
        <f t="array" ref="B162">IFERROR(INDEX(BD[],_xlfn.AGGREGATE(15,6,IF(BD[CLASIFICACIÓN]=$B$2,ROW(BD[CLASIFICACIÓN])-ROW('PT2 (FILTRAR)'!$E$5)+1,NA()),ROWS($B$5:B162)),COLUMNS($B$5:B162)),"")</f>
        <v/>
      </c>
      <c r="C162" s="127" t="str">
        <f t="array" ref="C162">IFERROR(INDEX(BD[],_xlfn.AGGREGATE(15,6,IF(BD[CLASIFICACIÓN]=$B$2,ROW(BD[CLASIFICACIÓN])-ROW('PT2 (FILTRAR)'!$E$5)+1,NA()),ROWS($B$5:C162)),COLUMNS($B$5:C162)),"")</f>
        <v/>
      </c>
      <c r="D162" s="142" t="str">
        <f t="array" ref="D162">IFERROR(INDEX(BD[],_xlfn.AGGREGATE(15,6,IF(BD[CLASIFICACIÓN]=$B$2,ROW(BD[CLASIFICACIÓN])-ROW('PT2 (FILTRAR)'!$E$5)+1,NA()),ROWS($B$5:D162)),COLUMNS($B$5:D162)),"")</f>
        <v/>
      </c>
      <c r="E162" s="126" t="str">
        <f t="array" ref="E162">IFERROR(INDEX(BD[],_xlfn.AGGREGATE(15,6,IF(BD[CLASIFICACIÓN]=$B$2,ROW(BD[CLASIFICACIÓN])-ROW('PT2 (FILTRAR)'!$E$5)+1,NA()),ROWS($B$5:E162)),COLUMNS($B$5:E162)),"")</f>
        <v/>
      </c>
      <c r="F162" s="126"/>
    </row>
    <row r="163" spans="2:6" x14ac:dyDescent="0.3">
      <c r="B163" s="126" t="str">
        <f t="array" ref="B163">IFERROR(INDEX(BD[],_xlfn.AGGREGATE(15,6,IF(BD[CLASIFICACIÓN]=$B$2,ROW(BD[CLASIFICACIÓN])-ROW('PT2 (FILTRAR)'!$E$5)+1,NA()),ROWS($B$5:B163)),COLUMNS($B$5:B163)),"")</f>
        <v/>
      </c>
      <c r="C163" s="127" t="str">
        <f t="array" ref="C163">IFERROR(INDEX(BD[],_xlfn.AGGREGATE(15,6,IF(BD[CLASIFICACIÓN]=$B$2,ROW(BD[CLASIFICACIÓN])-ROW('PT2 (FILTRAR)'!$E$5)+1,NA()),ROWS($B$5:C163)),COLUMNS($B$5:C163)),"")</f>
        <v/>
      </c>
      <c r="D163" s="142" t="str">
        <f t="array" ref="D163">IFERROR(INDEX(BD[],_xlfn.AGGREGATE(15,6,IF(BD[CLASIFICACIÓN]=$B$2,ROW(BD[CLASIFICACIÓN])-ROW('PT2 (FILTRAR)'!$E$5)+1,NA()),ROWS($B$5:D163)),COLUMNS($B$5:D163)),"")</f>
        <v/>
      </c>
      <c r="E163" s="126" t="str">
        <f t="array" ref="E163">IFERROR(INDEX(BD[],_xlfn.AGGREGATE(15,6,IF(BD[CLASIFICACIÓN]=$B$2,ROW(BD[CLASIFICACIÓN])-ROW('PT2 (FILTRAR)'!$E$5)+1,NA()),ROWS($B$5:E163)),COLUMNS($B$5:E163)),"")</f>
        <v/>
      </c>
      <c r="F163" s="126"/>
    </row>
    <row r="164" spans="2:6" x14ac:dyDescent="0.3">
      <c r="B164" s="126" t="str">
        <f t="array" ref="B164">IFERROR(INDEX(BD[],_xlfn.AGGREGATE(15,6,IF(BD[CLASIFICACIÓN]=$B$2,ROW(BD[CLASIFICACIÓN])-ROW('PT2 (FILTRAR)'!$E$5)+1,NA()),ROWS($B$5:B164)),COLUMNS($B$5:B164)),"")</f>
        <v/>
      </c>
      <c r="C164" s="127" t="str">
        <f t="array" ref="C164">IFERROR(INDEX(BD[],_xlfn.AGGREGATE(15,6,IF(BD[CLASIFICACIÓN]=$B$2,ROW(BD[CLASIFICACIÓN])-ROW('PT2 (FILTRAR)'!$E$5)+1,NA()),ROWS($B$5:C164)),COLUMNS($B$5:C164)),"")</f>
        <v/>
      </c>
      <c r="D164" s="142" t="str">
        <f t="array" ref="D164">IFERROR(INDEX(BD[],_xlfn.AGGREGATE(15,6,IF(BD[CLASIFICACIÓN]=$B$2,ROW(BD[CLASIFICACIÓN])-ROW('PT2 (FILTRAR)'!$E$5)+1,NA()),ROWS($B$5:D164)),COLUMNS($B$5:D164)),"")</f>
        <v/>
      </c>
      <c r="E164" s="126" t="str">
        <f t="array" ref="E164">IFERROR(INDEX(BD[],_xlfn.AGGREGATE(15,6,IF(BD[CLASIFICACIÓN]=$B$2,ROW(BD[CLASIFICACIÓN])-ROW('PT2 (FILTRAR)'!$E$5)+1,NA()),ROWS($B$5:E164)),COLUMNS($B$5:E164)),"")</f>
        <v/>
      </c>
      <c r="F164" s="126"/>
    </row>
    <row r="165" spans="2:6" x14ac:dyDescent="0.3">
      <c r="B165" s="126" t="str">
        <f t="array" ref="B165">IFERROR(INDEX(BD[],_xlfn.AGGREGATE(15,6,IF(BD[CLASIFICACIÓN]=$B$2,ROW(BD[CLASIFICACIÓN])-ROW('PT2 (FILTRAR)'!$E$5)+1,NA()),ROWS($B$5:B165)),COLUMNS($B$5:B165)),"")</f>
        <v/>
      </c>
      <c r="C165" s="127" t="str">
        <f t="array" ref="C165">IFERROR(INDEX(BD[],_xlfn.AGGREGATE(15,6,IF(BD[CLASIFICACIÓN]=$B$2,ROW(BD[CLASIFICACIÓN])-ROW('PT2 (FILTRAR)'!$E$5)+1,NA()),ROWS($B$5:C165)),COLUMNS($B$5:C165)),"")</f>
        <v/>
      </c>
      <c r="D165" s="142" t="str">
        <f t="array" ref="D165">IFERROR(INDEX(BD[],_xlfn.AGGREGATE(15,6,IF(BD[CLASIFICACIÓN]=$B$2,ROW(BD[CLASIFICACIÓN])-ROW('PT2 (FILTRAR)'!$E$5)+1,NA()),ROWS($B$5:D165)),COLUMNS($B$5:D165)),"")</f>
        <v/>
      </c>
      <c r="E165" s="126" t="str">
        <f t="array" ref="E165">IFERROR(INDEX(BD[],_xlfn.AGGREGATE(15,6,IF(BD[CLASIFICACIÓN]=$B$2,ROW(BD[CLASIFICACIÓN])-ROW('PT2 (FILTRAR)'!$E$5)+1,NA()),ROWS($B$5:E165)),COLUMNS($B$5:E165)),"")</f>
        <v/>
      </c>
      <c r="F165" s="126"/>
    </row>
    <row r="166" spans="2:6" x14ac:dyDescent="0.3">
      <c r="B166" s="126" t="str">
        <f t="array" ref="B166">IFERROR(INDEX(BD[],_xlfn.AGGREGATE(15,6,IF(BD[CLASIFICACIÓN]=$B$2,ROW(BD[CLASIFICACIÓN])-ROW('PT2 (FILTRAR)'!$E$5)+1,NA()),ROWS($B$5:B166)),COLUMNS($B$5:B166)),"")</f>
        <v/>
      </c>
      <c r="C166" s="127" t="str">
        <f t="array" ref="C166">IFERROR(INDEX(BD[],_xlfn.AGGREGATE(15,6,IF(BD[CLASIFICACIÓN]=$B$2,ROW(BD[CLASIFICACIÓN])-ROW('PT2 (FILTRAR)'!$E$5)+1,NA()),ROWS($B$5:C166)),COLUMNS($B$5:C166)),"")</f>
        <v/>
      </c>
      <c r="D166" s="142" t="str">
        <f t="array" ref="D166">IFERROR(INDEX(BD[],_xlfn.AGGREGATE(15,6,IF(BD[CLASIFICACIÓN]=$B$2,ROW(BD[CLASIFICACIÓN])-ROW('PT2 (FILTRAR)'!$E$5)+1,NA()),ROWS($B$5:D166)),COLUMNS($B$5:D166)),"")</f>
        <v/>
      </c>
      <c r="E166" s="126" t="str">
        <f t="array" ref="E166">IFERROR(INDEX(BD[],_xlfn.AGGREGATE(15,6,IF(BD[CLASIFICACIÓN]=$B$2,ROW(BD[CLASIFICACIÓN])-ROW('PT2 (FILTRAR)'!$E$5)+1,NA()),ROWS($B$5:E166)),COLUMNS($B$5:E166)),"")</f>
        <v/>
      </c>
      <c r="F166" s="126"/>
    </row>
    <row r="167" spans="2:6" x14ac:dyDescent="0.3">
      <c r="B167" s="126" t="str">
        <f t="array" ref="B167">IFERROR(INDEX(BD[],_xlfn.AGGREGATE(15,6,IF(BD[CLASIFICACIÓN]=$B$2,ROW(BD[CLASIFICACIÓN])-ROW('PT2 (FILTRAR)'!$E$5)+1,NA()),ROWS($B$5:B167)),COLUMNS($B$5:B167)),"")</f>
        <v/>
      </c>
      <c r="C167" s="127" t="str">
        <f t="array" ref="C167">IFERROR(INDEX(BD[],_xlfn.AGGREGATE(15,6,IF(BD[CLASIFICACIÓN]=$B$2,ROW(BD[CLASIFICACIÓN])-ROW('PT2 (FILTRAR)'!$E$5)+1,NA()),ROWS($B$5:C167)),COLUMNS($B$5:C167)),"")</f>
        <v/>
      </c>
      <c r="D167" s="142" t="str">
        <f t="array" ref="D167">IFERROR(INDEX(BD[],_xlfn.AGGREGATE(15,6,IF(BD[CLASIFICACIÓN]=$B$2,ROW(BD[CLASIFICACIÓN])-ROW('PT2 (FILTRAR)'!$E$5)+1,NA()),ROWS($B$5:D167)),COLUMNS($B$5:D167)),"")</f>
        <v/>
      </c>
      <c r="E167" s="126" t="str">
        <f t="array" ref="E167">IFERROR(INDEX(BD[],_xlfn.AGGREGATE(15,6,IF(BD[CLASIFICACIÓN]=$B$2,ROW(BD[CLASIFICACIÓN])-ROW('PT2 (FILTRAR)'!$E$5)+1,NA()),ROWS($B$5:E167)),COLUMNS($B$5:E167)),"")</f>
        <v/>
      </c>
      <c r="F167" s="126"/>
    </row>
    <row r="168" spans="2:6" x14ac:dyDescent="0.3">
      <c r="B168" s="126" t="str">
        <f t="array" ref="B168">IFERROR(INDEX(BD[],_xlfn.AGGREGATE(15,6,IF(BD[CLASIFICACIÓN]=$B$2,ROW(BD[CLASIFICACIÓN])-ROW('PT2 (FILTRAR)'!$E$5)+1,NA()),ROWS($B$5:B168)),COLUMNS($B$5:B168)),"")</f>
        <v/>
      </c>
      <c r="C168" s="127" t="str">
        <f t="array" ref="C168">IFERROR(INDEX(BD[],_xlfn.AGGREGATE(15,6,IF(BD[CLASIFICACIÓN]=$B$2,ROW(BD[CLASIFICACIÓN])-ROW('PT2 (FILTRAR)'!$E$5)+1,NA()),ROWS($B$5:C168)),COLUMNS($B$5:C168)),"")</f>
        <v/>
      </c>
      <c r="D168" s="142" t="str">
        <f t="array" ref="D168">IFERROR(INDEX(BD[],_xlfn.AGGREGATE(15,6,IF(BD[CLASIFICACIÓN]=$B$2,ROW(BD[CLASIFICACIÓN])-ROW('PT2 (FILTRAR)'!$E$5)+1,NA()),ROWS($B$5:D168)),COLUMNS($B$5:D168)),"")</f>
        <v/>
      </c>
      <c r="E168" s="126" t="str">
        <f t="array" ref="E168">IFERROR(INDEX(BD[],_xlfn.AGGREGATE(15,6,IF(BD[CLASIFICACIÓN]=$B$2,ROW(BD[CLASIFICACIÓN])-ROW('PT2 (FILTRAR)'!$E$5)+1,NA()),ROWS($B$5:E168)),COLUMNS($B$5:E168)),"")</f>
        <v/>
      </c>
      <c r="F168" s="126"/>
    </row>
    <row r="169" spans="2:6" x14ac:dyDescent="0.3">
      <c r="B169" s="126" t="str">
        <f t="array" ref="B169">IFERROR(INDEX(BD[],_xlfn.AGGREGATE(15,6,IF(BD[CLASIFICACIÓN]=$B$2,ROW(BD[CLASIFICACIÓN])-ROW('PT2 (FILTRAR)'!$E$5)+1,NA()),ROWS($B$5:B169)),COLUMNS($B$5:B169)),"")</f>
        <v/>
      </c>
      <c r="C169" s="127" t="str">
        <f t="array" ref="C169">IFERROR(INDEX(BD[],_xlfn.AGGREGATE(15,6,IF(BD[CLASIFICACIÓN]=$B$2,ROW(BD[CLASIFICACIÓN])-ROW('PT2 (FILTRAR)'!$E$5)+1,NA()),ROWS($B$5:C169)),COLUMNS($B$5:C169)),"")</f>
        <v/>
      </c>
      <c r="D169" s="142" t="str">
        <f t="array" ref="D169">IFERROR(INDEX(BD[],_xlfn.AGGREGATE(15,6,IF(BD[CLASIFICACIÓN]=$B$2,ROW(BD[CLASIFICACIÓN])-ROW('PT2 (FILTRAR)'!$E$5)+1,NA()),ROWS($B$5:D169)),COLUMNS($B$5:D169)),"")</f>
        <v/>
      </c>
      <c r="E169" s="126" t="str">
        <f t="array" ref="E169">IFERROR(INDEX(BD[],_xlfn.AGGREGATE(15,6,IF(BD[CLASIFICACIÓN]=$B$2,ROW(BD[CLASIFICACIÓN])-ROW('PT2 (FILTRAR)'!$E$5)+1,NA()),ROWS($B$5:E169)),COLUMNS($B$5:E169)),"")</f>
        <v/>
      </c>
      <c r="F169" s="126"/>
    </row>
    <row r="170" spans="2:6" x14ac:dyDescent="0.3">
      <c r="B170" s="126" t="str">
        <f t="array" ref="B170">IFERROR(INDEX(BD[],_xlfn.AGGREGATE(15,6,IF(BD[CLASIFICACIÓN]=$B$2,ROW(BD[CLASIFICACIÓN])-ROW('PT2 (FILTRAR)'!$E$5)+1,NA()),ROWS($B$5:B170)),COLUMNS($B$5:B170)),"")</f>
        <v/>
      </c>
      <c r="C170" s="127" t="str">
        <f t="array" ref="C170">IFERROR(INDEX(BD[],_xlfn.AGGREGATE(15,6,IF(BD[CLASIFICACIÓN]=$B$2,ROW(BD[CLASIFICACIÓN])-ROW('PT2 (FILTRAR)'!$E$5)+1,NA()),ROWS($B$5:C170)),COLUMNS($B$5:C170)),"")</f>
        <v/>
      </c>
      <c r="D170" s="142" t="str">
        <f t="array" ref="D170">IFERROR(INDEX(BD[],_xlfn.AGGREGATE(15,6,IF(BD[CLASIFICACIÓN]=$B$2,ROW(BD[CLASIFICACIÓN])-ROW('PT2 (FILTRAR)'!$E$5)+1,NA()),ROWS($B$5:D170)),COLUMNS($B$5:D170)),"")</f>
        <v/>
      </c>
      <c r="E170" s="126" t="str">
        <f t="array" ref="E170">IFERROR(INDEX(BD[],_xlfn.AGGREGATE(15,6,IF(BD[CLASIFICACIÓN]=$B$2,ROW(BD[CLASIFICACIÓN])-ROW('PT2 (FILTRAR)'!$E$5)+1,NA()),ROWS($B$5:E170)),COLUMNS($B$5:E170)),"")</f>
        <v/>
      </c>
      <c r="F170" s="126"/>
    </row>
    <row r="171" spans="2:6" x14ac:dyDescent="0.3">
      <c r="B171" s="126" t="str">
        <f t="array" ref="B171">IFERROR(INDEX(BD[],_xlfn.AGGREGATE(15,6,IF(BD[CLASIFICACIÓN]=$B$2,ROW(BD[CLASIFICACIÓN])-ROW('PT2 (FILTRAR)'!$E$5)+1,NA()),ROWS($B$5:B171)),COLUMNS($B$5:B171)),"")</f>
        <v/>
      </c>
      <c r="C171" s="127" t="str">
        <f t="array" ref="C171">IFERROR(INDEX(BD[],_xlfn.AGGREGATE(15,6,IF(BD[CLASIFICACIÓN]=$B$2,ROW(BD[CLASIFICACIÓN])-ROW('PT2 (FILTRAR)'!$E$5)+1,NA()),ROWS($B$5:C171)),COLUMNS($B$5:C171)),"")</f>
        <v/>
      </c>
      <c r="D171" s="142" t="str">
        <f t="array" ref="D171">IFERROR(INDEX(BD[],_xlfn.AGGREGATE(15,6,IF(BD[CLASIFICACIÓN]=$B$2,ROW(BD[CLASIFICACIÓN])-ROW('PT2 (FILTRAR)'!$E$5)+1,NA()),ROWS($B$5:D171)),COLUMNS($B$5:D171)),"")</f>
        <v/>
      </c>
      <c r="E171" s="126" t="str">
        <f t="array" ref="E171">IFERROR(INDEX(BD[],_xlfn.AGGREGATE(15,6,IF(BD[CLASIFICACIÓN]=$B$2,ROW(BD[CLASIFICACIÓN])-ROW('PT2 (FILTRAR)'!$E$5)+1,NA()),ROWS($B$5:E171)),COLUMNS($B$5:E171)),"")</f>
        <v/>
      </c>
      <c r="F171" s="126"/>
    </row>
    <row r="172" spans="2:6" x14ac:dyDescent="0.3">
      <c r="B172" s="126" t="str">
        <f t="array" ref="B172">IFERROR(INDEX(BD[],_xlfn.AGGREGATE(15,6,IF(BD[CLASIFICACIÓN]=$B$2,ROW(BD[CLASIFICACIÓN])-ROW('PT2 (FILTRAR)'!$E$5)+1,NA()),ROWS($B$5:B172)),COLUMNS($B$5:B172)),"")</f>
        <v/>
      </c>
      <c r="C172" s="127" t="str">
        <f t="array" ref="C172">IFERROR(INDEX(BD[],_xlfn.AGGREGATE(15,6,IF(BD[CLASIFICACIÓN]=$B$2,ROW(BD[CLASIFICACIÓN])-ROW('PT2 (FILTRAR)'!$E$5)+1,NA()),ROWS($B$5:C172)),COLUMNS($B$5:C172)),"")</f>
        <v/>
      </c>
      <c r="D172" s="142" t="str">
        <f t="array" ref="D172">IFERROR(INDEX(BD[],_xlfn.AGGREGATE(15,6,IF(BD[CLASIFICACIÓN]=$B$2,ROW(BD[CLASIFICACIÓN])-ROW('PT2 (FILTRAR)'!$E$5)+1,NA()),ROWS($B$5:D172)),COLUMNS($B$5:D172)),"")</f>
        <v/>
      </c>
      <c r="E172" s="126" t="str">
        <f t="array" ref="E172">IFERROR(INDEX(BD[],_xlfn.AGGREGATE(15,6,IF(BD[CLASIFICACIÓN]=$B$2,ROW(BD[CLASIFICACIÓN])-ROW('PT2 (FILTRAR)'!$E$5)+1,NA()),ROWS($B$5:E172)),COLUMNS($B$5:E172)),"")</f>
        <v/>
      </c>
      <c r="F172" s="126"/>
    </row>
    <row r="173" spans="2:6" x14ac:dyDescent="0.3">
      <c r="B173" s="126" t="str">
        <f t="array" ref="B173">IFERROR(INDEX(BD[],_xlfn.AGGREGATE(15,6,IF(BD[CLASIFICACIÓN]=$B$2,ROW(BD[CLASIFICACIÓN])-ROW('PT2 (FILTRAR)'!$E$5)+1,NA()),ROWS($B$5:B173)),COLUMNS($B$5:B173)),"")</f>
        <v/>
      </c>
      <c r="C173" s="127" t="str">
        <f t="array" ref="C173">IFERROR(INDEX(BD[],_xlfn.AGGREGATE(15,6,IF(BD[CLASIFICACIÓN]=$B$2,ROW(BD[CLASIFICACIÓN])-ROW('PT2 (FILTRAR)'!$E$5)+1,NA()),ROWS($B$5:C173)),COLUMNS($B$5:C173)),"")</f>
        <v/>
      </c>
      <c r="D173" s="142" t="str">
        <f t="array" ref="D173">IFERROR(INDEX(BD[],_xlfn.AGGREGATE(15,6,IF(BD[CLASIFICACIÓN]=$B$2,ROW(BD[CLASIFICACIÓN])-ROW('PT2 (FILTRAR)'!$E$5)+1,NA()),ROWS($B$5:D173)),COLUMNS($B$5:D173)),"")</f>
        <v/>
      </c>
      <c r="E173" s="126" t="str">
        <f t="array" ref="E173">IFERROR(INDEX(BD[],_xlfn.AGGREGATE(15,6,IF(BD[CLASIFICACIÓN]=$B$2,ROW(BD[CLASIFICACIÓN])-ROW('PT2 (FILTRAR)'!$E$5)+1,NA()),ROWS($B$5:E173)),COLUMNS($B$5:E173)),"")</f>
        <v/>
      </c>
      <c r="F173" s="126"/>
    </row>
    <row r="174" spans="2:6" x14ac:dyDescent="0.3">
      <c r="B174" s="126" t="str">
        <f t="array" ref="B174">IFERROR(INDEX(BD[],_xlfn.AGGREGATE(15,6,IF(BD[CLASIFICACIÓN]=$B$2,ROW(BD[CLASIFICACIÓN])-ROW('PT2 (FILTRAR)'!$E$5)+1,NA()),ROWS($B$5:B174)),COLUMNS($B$5:B174)),"")</f>
        <v/>
      </c>
      <c r="C174" s="127" t="str">
        <f t="array" ref="C174">IFERROR(INDEX(BD[],_xlfn.AGGREGATE(15,6,IF(BD[CLASIFICACIÓN]=$B$2,ROW(BD[CLASIFICACIÓN])-ROW('PT2 (FILTRAR)'!$E$5)+1,NA()),ROWS($B$5:C174)),COLUMNS($B$5:C174)),"")</f>
        <v/>
      </c>
      <c r="D174" s="142" t="str">
        <f t="array" ref="D174">IFERROR(INDEX(BD[],_xlfn.AGGREGATE(15,6,IF(BD[CLASIFICACIÓN]=$B$2,ROW(BD[CLASIFICACIÓN])-ROW('PT2 (FILTRAR)'!$E$5)+1,NA()),ROWS($B$5:D174)),COLUMNS($B$5:D174)),"")</f>
        <v/>
      </c>
      <c r="E174" s="126" t="str">
        <f t="array" ref="E174">IFERROR(INDEX(BD[],_xlfn.AGGREGATE(15,6,IF(BD[CLASIFICACIÓN]=$B$2,ROW(BD[CLASIFICACIÓN])-ROW('PT2 (FILTRAR)'!$E$5)+1,NA()),ROWS($B$5:E174)),COLUMNS($B$5:E174)),"")</f>
        <v/>
      </c>
      <c r="F174" s="126"/>
    </row>
    <row r="175" spans="2:6" x14ac:dyDescent="0.3">
      <c r="B175" s="126" t="str">
        <f t="array" ref="B175">IFERROR(INDEX(BD[],_xlfn.AGGREGATE(15,6,IF(BD[CLASIFICACIÓN]=$B$2,ROW(BD[CLASIFICACIÓN])-ROW('PT2 (FILTRAR)'!$E$5)+1,NA()),ROWS($B$5:B175)),COLUMNS($B$5:B175)),"")</f>
        <v/>
      </c>
      <c r="C175" s="127" t="str">
        <f t="array" ref="C175">IFERROR(INDEX(BD[],_xlfn.AGGREGATE(15,6,IF(BD[CLASIFICACIÓN]=$B$2,ROW(BD[CLASIFICACIÓN])-ROW('PT2 (FILTRAR)'!$E$5)+1,NA()),ROWS($B$5:C175)),COLUMNS($B$5:C175)),"")</f>
        <v/>
      </c>
      <c r="D175" s="142" t="str">
        <f t="array" ref="D175">IFERROR(INDEX(BD[],_xlfn.AGGREGATE(15,6,IF(BD[CLASIFICACIÓN]=$B$2,ROW(BD[CLASIFICACIÓN])-ROW('PT2 (FILTRAR)'!$E$5)+1,NA()),ROWS($B$5:D175)),COLUMNS($B$5:D175)),"")</f>
        <v/>
      </c>
      <c r="E175" s="126" t="str">
        <f t="array" ref="E175">IFERROR(INDEX(BD[],_xlfn.AGGREGATE(15,6,IF(BD[CLASIFICACIÓN]=$B$2,ROW(BD[CLASIFICACIÓN])-ROW('PT2 (FILTRAR)'!$E$5)+1,NA()),ROWS($B$5:E175)),COLUMNS($B$5:E175)),"")</f>
        <v/>
      </c>
      <c r="F175" s="126"/>
    </row>
    <row r="176" spans="2:6" x14ac:dyDescent="0.3">
      <c r="B176" s="126" t="str">
        <f t="array" ref="B176">IFERROR(INDEX(BD[],_xlfn.AGGREGATE(15,6,IF(BD[CLASIFICACIÓN]=$B$2,ROW(BD[CLASIFICACIÓN])-ROW('PT2 (FILTRAR)'!$E$5)+1,NA()),ROWS($B$5:B176)),COLUMNS($B$5:B176)),"")</f>
        <v/>
      </c>
      <c r="C176" s="127" t="str">
        <f t="array" ref="C176">IFERROR(INDEX(BD[],_xlfn.AGGREGATE(15,6,IF(BD[CLASIFICACIÓN]=$B$2,ROW(BD[CLASIFICACIÓN])-ROW('PT2 (FILTRAR)'!$E$5)+1,NA()),ROWS($B$5:C176)),COLUMNS($B$5:C176)),"")</f>
        <v/>
      </c>
      <c r="D176" s="142" t="str">
        <f t="array" ref="D176">IFERROR(INDEX(BD[],_xlfn.AGGREGATE(15,6,IF(BD[CLASIFICACIÓN]=$B$2,ROW(BD[CLASIFICACIÓN])-ROW('PT2 (FILTRAR)'!$E$5)+1,NA()),ROWS($B$5:D176)),COLUMNS($B$5:D176)),"")</f>
        <v/>
      </c>
      <c r="E176" s="126" t="str">
        <f t="array" ref="E176">IFERROR(INDEX(BD[],_xlfn.AGGREGATE(15,6,IF(BD[CLASIFICACIÓN]=$B$2,ROW(BD[CLASIFICACIÓN])-ROW('PT2 (FILTRAR)'!$E$5)+1,NA()),ROWS($B$5:E176)),COLUMNS($B$5:E176)),"")</f>
        <v/>
      </c>
      <c r="F176" s="126"/>
    </row>
    <row r="177" spans="2:6" x14ac:dyDescent="0.3">
      <c r="B177" s="126" t="str">
        <f t="array" ref="B177">IFERROR(INDEX(BD[],_xlfn.AGGREGATE(15,6,IF(BD[CLASIFICACIÓN]=$B$2,ROW(BD[CLASIFICACIÓN])-ROW('PT2 (FILTRAR)'!$E$5)+1,NA()),ROWS($B$5:B177)),COLUMNS($B$5:B177)),"")</f>
        <v/>
      </c>
      <c r="C177" s="127" t="str">
        <f t="array" ref="C177">IFERROR(INDEX(BD[],_xlfn.AGGREGATE(15,6,IF(BD[CLASIFICACIÓN]=$B$2,ROW(BD[CLASIFICACIÓN])-ROW('PT2 (FILTRAR)'!$E$5)+1,NA()),ROWS($B$5:C177)),COLUMNS($B$5:C177)),"")</f>
        <v/>
      </c>
      <c r="D177" s="142" t="str">
        <f t="array" ref="D177">IFERROR(INDEX(BD[],_xlfn.AGGREGATE(15,6,IF(BD[CLASIFICACIÓN]=$B$2,ROW(BD[CLASIFICACIÓN])-ROW('PT2 (FILTRAR)'!$E$5)+1,NA()),ROWS($B$5:D177)),COLUMNS($B$5:D177)),"")</f>
        <v/>
      </c>
      <c r="E177" s="126" t="str">
        <f t="array" ref="E177">IFERROR(INDEX(BD[],_xlfn.AGGREGATE(15,6,IF(BD[CLASIFICACIÓN]=$B$2,ROW(BD[CLASIFICACIÓN])-ROW('PT2 (FILTRAR)'!$E$5)+1,NA()),ROWS($B$5:E177)),COLUMNS($B$5:E177)),"")</f>
        <v/>
      </c>
      <c r="F177" s="126"/>
    </row>
    <row r="178" spans="2:6" x14ac:dyDescent="0.3">
      <c r="B178" s="126" t="str">
        <f t="array" ref="B178">IFERROR(INDEX(BD[],_xlfn.AGGREGATE(15,6,IF(BD[CLASIFICACIÓN]=$B$2,ROW(BD[CLASIFICACIÓN])-ROW('PT2 (FILTRAR)'!$E$5)+1,NA()),ROWS($B$5:B178)),COLUMNS($B$5:B178)),"")</f>
        <v/>
      </c>
      <c r="C178" s="127" t="str">
        <f t="array" ref="C178">IFERROR(INDEX(BD[],_xlfn.AGGREGATE(15,6,IF(BD[CLASIFICACIÓN]=$B$2,ROW(BD[CLASIFICACIÓN])-ROW('PT2 (FILTRAR)'!$E$5)+1,NA()),ROWS($B$5:C178)),COLUMNS($B$5:C178)),"")</f>
        <v/>
      </c>
      <c r="D178" s="142" t="str">
        <f t="array" ref="D178">IFERROR(INDEX(BD[],_xlfn.AGGREGATE(15,6,IF(BD[CLASIFICACIÓN]=$B$2,ROW(BD[CLASIFICACIÓN])-ROW('PT2 (FILTRAR)'!$E$5)+1,NA()),ROWS($B$5:D178)),COLUMNS($B$5:D178)),"")</f>
        <v/>
      </c>
      <c r="E178" s="126" t="str">
        <f t="array" ref="E178">IFERROR(INDEX(BD[],_xlfn.AGGREGATE(15,6,IF(BD[CLASIFICACIÓN]=$B$2,ROW(BD[CLASIFICACIÓN])-ROW('PT2 (FILTRAR)'!$E$5)+1,NA()),ROWS($B$5:E178)),COLUMNS($B$5:E178)),"")</f>
        <v/>
      </c>
      <c r="F178" s="126"/>
    </row>
    <row r="179" spans="2:6" x14ac:dyDescent="0.3">
      <c r="B179" s="126" t="str">
        <f t="array" ref="B179">IFERROR(INDEX(BD[],_xlfn.AGGREGATE(15,6,IF(BD[CLASIFICACIÓN]=$B$2,ROW(BD[CLASIFICACIÓN])-ROW('PT2 (FILTRAR)'!$E$5)+1,NA()),ROWS($B$5:B179)),COLUMNS($B$5:B179)),"")</f>
        <v/>
      </c>
      <c r="C179" s="127" t="str">
        <f t="array" ref="C179">IFERROR(INDEX(BD[],_xlfn.AGGREGATE(15,6,IF(BD[CLASIFICACIÓN]=$B$2,ROW(BD[CLASIFICACIÓN])-ROW('PT2 (FILTRAR)'!$E$5)+1,NA()),ROWS($B$5:C179)),COLUMNS($B$5:C179)),"")</f>
        <v/>
      </c>
      <c r="D179" s="142" t="str">
        <f t="array" ref="D179">IFERROR(INDEX(BD[],_xlfn.AGGREGATE(15,6,IF(BD[CLASIFICACIÓN]=$B$2,ROW(BD[CLASIFICACIÓN])-ROW('PT2 (FILTRAR)'!$E$5)+1,NA()),ROWS($B$5:D179)),COLUMNS($B$5:D179)),"")</f>
        <v/>
      </c>
      <c r="E179" s="126" t="str">
        <f t="array" ref="E179">IFERROR(INDEX(BD[],_xlfn.AGGREGATE(15,6,IF(BD[CLASIFICACIÓN]=$B$2,ROW(BD[CLASIFICACIÓN])-ROW('PT2 (FILTRAR)'!$E$5)+1,NA()),ROWS($B$5:E179)),COLUMNS($B$5:E179)),"")</f>
        <v/>
      </c>
      <c r="F179" s="126"/>
    </row>
    <row r="180" spans="2:6" x14ac:dyDescent="0.3">
      <c r="B180" s="126" t="str">
        <f t="array" ref="B180">IFERROR(INDEX(BD[],_xlfn.AGGREGATE(15,6,IF(BD[CLASIFICACIÓN]=$B$2,ROW(BD[CLASIFICACIÓN])-ROW('PT2 (FILTRAR)'!$E$5)+1,NA()),ROWS($B$5:B180)),COLUMNS($B$5:B180)),"")</f>
        <v/>
      </c>
      <c r="C180" s="127" t="str">
        <f t="array" ref="C180">IFERROR(INDEX(BD[],_xlfn.AGGREGATE(15,6,IF(BD[CLASIFICACIÓN]=$B$2,ROW(BD[CLASIFICACIÓN])-ROW('PT2 (FILTRAR)'!$E$5)+1,NA()),ROWS($B$5:C180)),COLUMNS($B$5:C180)),"")</f>
        <v/>
      </c>
      <c r="D180" s="142" t="str">
        <f t="array" ref="D180">IFERROR(INDEX(BD[],_xlfn.AGGREGATE(15,6,IF(BD[CLASIFICACIÓN]=$B$2,ROW(BD[CLASIFICACIÓN])-ROW('PT2 (FILTRAR)'!$E$5)+1,NA()),ROWS($B$5:D180)),COLUMNS($B$5:D180)),"")</f>
        <v/>
      </c>
      <c r="E180" s="126" t="str">
        <f t="array" ref="E180">IFERROR(INDEX(BD[],_xlfn.AGGREGATE(15,6,IF(BD[CLASIFICACIÓN]=$B$2,ROW(BD[CLASIFICACIÓN])-ROW('PT2 (FILTRAR)'!$E$5)+1,NA()),ROWS($B$5:E180)),COLUMNS($B$5:E180)),"")</f>
        <v/>
      </c>
      <c r="F180" s="126"/>
    </row>
    <row r="181" spans="2:6" x14ac:dyDescent="0.3">
      <c r="B181" s="126" t="str">
        <f t="array" ref="B181">IFERROR(INDEX(BD[],_xlfn.AGGREGATE(15,6,IF(BD[CLASIFICACIÓN]=$B$2,ROW(BD[CLASIFICACIÓN])-ROW('PT2 (FILTRAR)'!$E$5)+1,NA()),ROWS($B$5:B181)),COLUMNS($B$5:B181)),"")</f>
        <v/>
      </c>
      <c r="C181" s="127" t="str">
        <f t="array" ref="C181">IFERROR(INDEX(BD[],_xlfn.AGGREGATE(15,6,IF(BD[CLASIFICACIÓN]=$B$2,ROW(BD[CLASIFICACIÓN])-ROW('PT2 (FILTRAR)'!$E$5)+1,NA()),ROWS($B$5:C181)),COLUMNS($B$5:C181)),"")</f>
        <v/>
      </c>
      <c r="D181" s="142" t="str">
        <f t="array" ref="D181">IFERROR(INDEX(BD[],_xlfn.AGGREGATE(15,6,IF(BD[CLASIFICACIÓN]=$B$2,ROW(BD[CLASIFICACIÓN])-ROW('PT2 (FILTRAR)'!$E$5)+1,NA()),ROWS($B$5:D181)),COLUMNS($B$5:D181)),"")</f>
        <v/>
      </c>
      <c r="E181" s="126" t="str">
        <f t="array" ref="E181">IFERROR(INDEX(BD[],_xlfn.AGGREGATE(15,6,IF(BD[CLASIFICACIÓN]=$B$2,ROW(BD[CLASIFICACIÓN])-ROW('PT2 (FILTRAR)'!$E$5)+1,NA()),ROWS($B$5:E181)),COLUMNS($B$5:E181)),"")</f>
        <v/>
      </c>
      <c r="F181" s="126"/>
    </row>
    <row r="182" spans="2:6" x14ac:dyDescent="0.3">
      <c r="B182" s="126" t="str">
        <f t="array" ref="B182">IFERROR(INDEX(BD[],_xlfn.AGGREGATE(15,6,IF(BD[CLASIFICACIÓN]=$B$2,ROW(BD[CLASIFICACIÓN])-ROW('PT2 (FILTRAR)'!$E$5)+1,NA()),ROWS($B$5:B182)),COLUMNS($B$5:B182)),"")</f>
        <v/>
      </c>
      <c r="C182" s="127" t="str">
        <f t="array" ref="C182">IFERROR(INDEX(BD[],_xlfn.AGGREGATE(15,6,IF(BD[CLASIFICACIÓN]=$B$2,ROW(BD[CLASIFICACIÓN])-ROW('PT2 (FILTRAR)'!$E$5)+1,NA()),ROWS($B$5:C182)),COLUMNS($B$5:C182)),"")</f>
        <v/>
      </c>
      <c r="D182" s="142" t="str">
        <f t="array" ref="D182">IFERROR(INDEX(BD[],_xlfn.AGGREGATE(15,6,IF(BD[CLASIFICACIÓN]=$B$2,ROW(BD[CLASIFICACIÓN])-ROW('PT2 (FILTRAR)'!$E$5)+1,NA()),ROWS($B$5:D182)),COLUMNS($B$5:D182)),"")</f>
        <v/>
      </c>
      <c r="E182" s="126" t="str">
        <f t="array" ref="E182">IFERROR(INDEX(BD[],_xlfn.AGGREGATE(15,6,IF(BD[CLASIFICACIÓN]=$B$2,ROW(BD[CLASIFICACIÓN])-ROW('PT2 (FILTRAR)'!$E$5)+1,NA()),ROWS($B$5:E182)),COLUMNS($B$5:E182)),"")</f>
        <v/>
      </c>
      <c r="F182" s="126"/>
    </row>
    <row r="183" spans="2:6" x14ac:dyDescent="0.3">
      <c r="B183" s="126" t="str">
        <f t="array" ref="B183">IFERROR(INDEX(BD[],_xlfn.AGGREGATE(15,6,IF(BD[CLASIFICACIÓN]=$B$2,ROW(BD[CLASIFICACIÓN])-ROW('PT2 (FILTRAR)'!$E$5)+1,NA()),ROWS($B$5:B183)),COLUMNS($B$5:B183)),"")</f>
        <v/>
      </c>
      <c r="C183" s="127" t="str">
        <f t="array" ref="C183">IFERROR(INDEX(BD[],_xlfn.AGGREGATE(15,6,IF(BD[CLASIFICACIÓN]=$B$2,ROW(BD[CLASIFICACIÓN])-ROW('PT2 (FILTRAR)'!$E$5)+1,NA()),ROWS($B$5:C183)),COLUMNS($B$5:C183)),"")</f>
        <v/>
      </c>
      <c r="D183" s="142" t="str">
        <f t="array" ref="D183">IFERROR(INDEX(BD[],_xlfn.AGGREGATE(15,6,IF(BD[CLASIFICACIÓN]=$B$2,ROW(BD[CLASIFICACIÓN])-ROW('PT2 (FILTRAR)'!$E$5)+1,NA()),ROWS($B$5:D183)),COLUMNS($B$5:D183)),"")</f>
        <v/>
      </c>
      <c r="E183" s="126" t="str">
        <f t="array" ref="E183">IFERROR(INDEX(BD[],_xlfn.AGGREGATE(15,6,IF(BD[CLASIFICACIÓN]=$B$2,ROW(BD[CLASIFICACIÓN])-ROW('PT2 (FILTRAR)'!$E$5)+1,NA()),ROWS($B$5:E183)),COLUMNS($B$5:E183)),"")</f>
        <v/>
      </c>
      <c r="F183" s="126"/>
    </row>
    <row r="184" spans="2:6" x14ac:dyDescent="0.3">
      <c r="B184" s="126" t="str">
        <f t="array" ref="B184">IFERROR(INDEX(BD[],_xlfn.AGGREGATE(15,6,IF(BD[CLASIFICACIÓN]=$B$2,ROW(BD[CLASIFICACIÓN])-ROW('PT2 (FILTRAR)'!$E$5)+1,NA()),ROWS($B$5:B184)),COLUMNS($B$5:B184)),"")</f>
        <v/>
      </c>
      <c r="C184" s="127" t="str">
        <f t="array" ref="C184">IFERROR(INDEX(BD[],_xlfn.AGGREGATE(15,6,IF(BD[CLASIFICACIÓN]=$B$2,ROW(BD[CLASIFICACIÓN])-ROW('PT2 (FILTRAR)'!$E$5)+1,NA()),ROWS($B$5:C184)),COLUMNS($B$5:C184)),"")</f>
        <v/>
      </c>
      <c r="D184" s="142" t="str">
        <f t="array" ref="D184">IFERROR(INDEX(BD[],_xlfn.AGGREGATE(15,6,IF(BD[CLASIFICACIÓN]=$B$2,ROW(BD[CLASIFICACIÓN])-ROW('PT2 (FILTRAR)'!$E$5)+1,NA()),ROWS($B$5:D184)),COLUMNS($B$5:D184)),"")</f>
        <v/>
      </c>
      <c r="E184" s="126" t="str">
        <f t="array" ref="E184">IFERROR(INDEX(BD[],_xlfn.AGGREGATE(15,6,IF(BD[CLASIFICACIÓN]=$B$2,ROW(BD[CLASIFICACIÓN])-ROW('PT2 (FILTRAR)'!$E$5)+1,NA()),ROWS($B$5:E184)),COLUMNS($B$5:E184)),"")</f>
        <v/>
      </c>
      <c r="F184" s="126"/>
    </row>
    <row r="185" spans="2:6" x14ac:dyDescent="0.3">
      <c r="B185" s="126" t="str">
        <f t="array" ref="B185">IFERROR(INDEX(BD[],_xlfn.AGGREGATE(15,6,IF(BD[CLASIFICACIÓN]=$B$2,ROW(BD[CLASIFICACIÓN])-ROW('PT2 (FILTRAR)'!$E$5)+1,NA()),ROWS($B$5:B185)),COLUMNS($B$5:B185)),"")</f>
        <v/>
      </c>
      <c r="C185" s="127" t="str">
        <f t="array" ref="C185">IFERROR(INDEX(BD[],_xlfn.AGGREGATE(15,6,IF(BD[CLASIFICACIÓN]=$B$2,ROW(BD[CLASIFICACIÓN])-ROW('PT2 (FILTRAR)'!$E$5)+1,NA()),ROWS($B$5:C185)),COLUMNS($B$5:C185)),"")</f>
        <v/>
      </c>
      <c r="D185" s="142" t="str">
        <f t="array" ref="D185">IFERROR(INDEX(BD[],_xlfn.AGGREGATE(15,6,IF(BD[CLASIFICACIÓN]=$B$2,ROW(BD[CLASIFICACIÓN])-ROW('PT2 (FILTRAR)'!$E$5)+1,NA()),ROWS($B$5:D185)),COLUMNS($B$5:D185)),"")</f>
        <v/>
      </c>
      <c r="E185" s="126" t="str">
        <f t="array" ref="E185">IFERROR(INDEX(BD[],_xlfn.AGGREGATE(15,6,IF(BD[CLASIFICACIÓN]=$B$2,ROW(BD[CLASIFICACIÓN])-ROW('PT2 (FILTRAR)'!$E$5)+1,NA()),ROWS($B$5:E185)),COLUMNS($B$5:E185)),"")</f>
        <v/>
      </c>
      <c r="F185" s="126"/>
    </row>
    <row r="186" spans="2:6" x14ac:dyDescent="0.3">
      <c r="B186" s="126" t="str">
        <f t="array" ref="B186">IFERROR(INDEX(BD[],_xlfn.AGGREGATE(15,6,IF(BD[CLASIFICACIÓN]=$B$2,ROW(BD[CLASIFICACIÓN])-ROW('PT2 (FILTRAR)'!$E$5)+1,NA()),ROWS($B$5:B186)),COLUMNS($B$5:B186)),"")</f>
        <v/>
      </c>
      <c r="C186" s="127" t="str">
        <f t="array" ref="C186">IFERROR(INDEX(BD[],_xlfn.AGGREGATE(15,6,IF(BD[CLASIFICACIÓN]=$B$2,ROW(BD[CLASIFICACIÓN])-ROW('PT2 (FILTRAR)'!$E$5)+1,NA()),ROWS($B$5:C186)),COLUMNS($B$5:C186)),"")</f>
        <v/>
      </c>
      <c r="D186" s="142" t="str">
        <f t="array" ref="D186">IFERROR(INDEX(BD[],_xlfn.AGGREGATE(15,6,IF(BD[CLASIFICACIÓN]=$B$2,ROW(BD[CLASIFICACIÓN])-ROW('PT2 (FILTRAR)'!$E$5)+1,NA()),ROWS($B$5:D186)),COLUMNS($B$5:D186)),"")</f>
        <v/>
      </c>
      <c r="E186" s="126" t="str">
        <f t="array" ref="E186">IFERROR(INDEX(BD[],_xlfn.AGGREGATE(15,6,IF(BD[CLASIFICACIÓN]=$B$2,ROW(BD[CLASIFICACIÓN])-ROW('PT2 (FILTRAR)'!$E$5)+1,NA()),ROWS($B$5:E186)),COLUMNS($B$5:E186)),"")</f>
        <v/>
      </c>
      <c r="F186" s="126"/>
    </row>
    <row r="187" spans="2:6" x14ac:dyDescent="0.3">
      <c r="B187" s="126" t="str">
        <f t="array" ref="B187">IFERROR(INDEX(BD[],_xlfn.AGGREGATE(15,6,IF(BD[CLASIFICACIÓN]=$B$2,ROW(BD[CLASIFICACIÓN])-ROW('PT2 (FILTRAR)'!$E$5)+1,NA()),ROWS($B$5:B187)),COLUMNS($B$5:B187)),"")</f>
        <v/>
      </c>
      <c r="C187" s="127" t="str">
        <f t="array" ref="C187">IFERROR(INDEX(BD[],_xlfn.AGGREGATE(15,6,IF(BD[CLASIFICACIÓN]=$B$2,ROW(BD[CLASIFICACIÓN])-ROW('PT2 (FILTRAR)'!$E$5)+1,NA()),ROWS($B$5:C187)),COLUMNS($B$5:C187)),"")</f>
        <v/>
      </c>
      <c r="D187" s="142" t="str">
        <f t="array" ref="D187">IFERROR(INDEX(BD[],_xlfn.AGGREGATE(15,6,IF(BD[CLASIFICACIÓN]=$B$2,ROW(BD[CLASIFICACIÓN])-ROW('PT2 (FILTRAR)'!$E$5)+1,NA()),ROWS($B$5:D187)),COLUMNS($B$5:D187)),"")</f>
        <v/>
      </c>
      <c r="E187" s="126" t="str">
        <f t="array" ref="E187">IFERROR(INDEX(BD[],_xlfn.AGGREGATE(15,6,IF(BD[CLASIFICACIÓN]=$B$2,ROW(BD[CLASIFICACIÓN])-ROW('PT2 (FILTRAR)'!$E$5)+1,NA()),ROWS($B$5:E187)),COLUMNS($B$5:E187)),"")</f>
        <v/>
      </c>
      <c r="F187" s="126"/>
    </row>
    <row r="188" spans="2:6" x14ac:dyDescent="0.3">
      <c r="B188" s="126" t="str">
        <f t="array" ref="B188">IFERROR(INDEX(BD[],_xlfn.AGGREGATE(15,6,IF(BD[CLASIFICACIÓN]=$B$2,ROW(BD[CLASIFICACIÓN])-ROW('PT2 (FILTRAR)'!$E$5)+1,NA()),ROWS($B$5:B188)),COLUMNS($B$5:B188)),"")</f>
        <v/>
      </c>
      <c r="C188" s="127" t="str">
        <f t="array" ref="C188">IFERROR(INDEX(BD[],_xlfn.AGGREGATE(15,6,IF(BD[CLASIFICACIÓN]=$B$2,ROW(BD[CLASIFICACIÓN])-ROW('PT2 (FILTRAR)'!$E$5)+1,NA()),ROWS($B$5:C188)),COLUMNS($B$5:C188)),"")</f>
        <v/>
      </c>
      <c r="D188" s="142" t="str">
        <f t="array" ref="D188">IFERROR(INDEX(BD[],_xlfn.AGGREGATE(15,6,IF(BD[CLASIFICACIÓN]=$B$2,ROW(BD[CLASIFICACIÓN])-ROW('PT2 (FILTRAR)'!$E$5)+1,NA()),ROWS($B$5:D188)),COLUMNS($B$5:D188)),"")</f>
        <v/>
      </c>
      <c r="E188" s="126" t="str">
        <f t="array" ref="E188">IFERROR(INDEX(BD[],_xlfn.AGGREGATE(15,6,IF(BD[CLASIFICACIÓN]=$B$2,ROW(BD[CLASIFICACIÓN])-ROW('PT2 (FILTRAR)'!$E$5)+1,NA()),ROWS($B$5:E188)),COLUMNS($B$5:E188)),"")</f>
        <v/>
      </c>
      <c r="F188" s="126"/>
    </row>
    <row r="189" spans="2:6" x14ac:dyDescent="0.3">
      <c r="B189" s="126" t="str">
        <f t="array" ref="B189">IFERROR(INDEX(BD[],_xlfn.AGGREGATE(15,6,IF(BD[CLASIFICACIÓN]=$B$2,ROW(BD[CLASIFICACIÓN])-ROW('PT2 (FILTRAR)'!$E$5)+1,NA()),ROWS($B$5:B189)),COLUMNS($B$5:B189)),"")</f>
        <v/>
      </c>
      <c r="C189" s="127" t="str">
        <f t="array" ref="C189">IFERROR(INDEX(BD[],_xlfn.AGGREGATE(15,6,IF(BD[CLASIFICACIÓN]=$B$2,ROW(BD[CLASIFICACIÓN])-ROW('PT2 (FILTRAR)'!$E$5)+1,NA()),ROWS($B$5:C189)),COLUMNS($B$5:C189)),"")</f>
        <v/>
      </c>
      <c r="D189" s="142" t="str">
        <f t="array" ref="D189">IFERROR(INDEX(BD[],_xlfn.AGGREGATE(15,6,IF(BD[CLASIFICACIÓN]=$B$2,ROW(BD[CLASIFICACIÓN])-ROW('PT2 (FILTRAR)'!$E$5)+1,NA()),ROWS($B$5:D189)),COLUMNS($B$5:D189)),"")</f>
        <v/>
      </c>
      <c r="E189" s="126" t="str">
        <f t="array" ref="E189">IFERROR(INDEX(BD[],_xlfn.AGGREGATE(15,6,IF(BD[CLASIFICACIÓN]=$B$2,ROW(BD[CLASIFICACIÓN])-ROW('PT2 (FILTRAR)'!$E$5)+1,NA()),ROWS($B$5:E189)),COLUMNS($B$5:E189)),"")</f>
        <v/>
      </c>
      <c r="F189" s="126"/>
    </row>
    <row r="190" spans="2:6" x14ac:dyDescent="0.3">
      <c r="B190" s="126" t="str">
        <f t="array" ref="B190">IFERROR(INDEX(BD[],_xlfn.AGGREGATE(15,6,IF(BD[CLASIFICACIÓN]=$B$2,ROW(BD[CLASIFICACIÓN])-ROW('PT2 (FILTRAR)'!$E$5)+1,NA()),ROWS($B$5:B190)),COLUMNS($B$5:B190)),"")</f>
        <v/>
      </c>
      <c r="C190" s="127" t="str">
        <f t="array" ref="C190">IFERROR(INDEX(BD[],_xlfn.AGGREGATE(15,6,IF(BD[CLASIFICACIÓN]=$B$2,ROW(BD[CLASIFICACIÓN])-ROW('PT2 (FILTRAR)'!$E$5)+1,NA()),ROWS($B$5:C190)),COLUMNS($B$5:C190)),"")</f>
        <v/>
      </c>
      <c r="D190" s="142" t="str">
        <f t="array" ref="D190">IFERROR(INDEX(BD[],_xlfn.AGGREGATE(15,6,IF(BD[CLASIFICACIÓN]=$B$2,ROW(BD[CLASIFICACIÓN])-ROW('PT2 (FILTRAR)'!$E$5)+1,NA()),ROWS($B$5:D190)),COLUMNS($B$5:D190)),"")</f>
        <v/>
      </c>
      <c r="E190" s="126" t="str">
        <f t="array" ref="E190">IFERROR(INDEX(BD[],_xlfn.AGGREGATE(15,6,IF(BD[CLASIFICACIÓN]=$B$2,ROW(BD[CLASIFICACIÓN])-ROW('PT2 (FILTRAR)'!$E$5)+1,NA()),ROWS($B$5:E190)),COLUMNS($B$5:E190)),"")</f>
        <v/>
      </c>
      <c r="F190" s="126"/>
    </row>
    <row r="191" spans="2:6" x14ac:dyDescent="0.3">
      <c r="B191" s="126" t="str">
        <f t="array" ref="B191">IFERROR(INDEX(BD[],_xlfn.AGGREGATE(15,6,IF(BD[CLASIFICACIÓN]=$B$2,ROW(BD[CLASIFICACIÓN])-ROW('PT2 (FILTRAR)'!$E$5)+1,NA()),ROWS($B$5:B191)),COLUMNS($B$5:B191)),"")</f>
        <v/>
      </c>
      <c r="C191" s="127" t="str">
        <f t="array" ref="C191">IFERROR(INDEX(BD[],_xlfn.AGGREGATE(15,6,IF(BD[CLASIFICACIÓN]=$B$2,ROW(BD[CLASIFICACIÓN])-ROW('PT2 (FILTRAR)'!$E$5)+1,NA()),ROWS($B$5:C191)),COLUMNS($B$5:C191)),"")</f>
        <v/>
      </c>
      <c r="D191" s="142" t="str">
        <f t="array" ref="D191">IFERROR(INDEX(BD[],_xlfn.AGGREGATE(15,6,IF(BD[CLASIFICACIÓN]=$B$2,ROW(BD[CLASIFICACIÓN])-ROW('PT2 (FILTRAR)'!$E$5)+1,NA()),ROWS($B$5:D191)),COLUMNS($B$5:D191)),"")</f>
        <v/>
      </c>
      <c r="E191" s="126" t="str">
        <f t="array" ref="E191">IFERROR(INDEX(BD[],_xlfn.AGGREGATE(15,6,IF(BD[CLASIFICACIÓN]=$B$2,ROW(BD[CLASIFICACIÓN])-ROW('PT2 (FILTRAR)'!$E$5)+1,NA()),ROWS($B$5:E191)),COLUMNS($B$5:E191)),"")</f>
        <v/>
      </c>
      <c r="F191" s="126"/>
    </row>
    <row r="192" spans="2:6" x14ac:dyDescent="0.3">
      <c r="B192" s="126" t="str">
        <f t="array" ref="B192">IFERROR(INDEX(BD[],_xlfn.AGGREGATE(15,6,IF(BD[CLASIFICACIÓN]=$B$2,ROW(BD[CLASIFICACIÓN])-ROW('PT2 (FILTRAR)'!$E$5)+1,NA()),ROWS($B$5:B192)),COLUMNS($B$5:B192)),"")</f>
        <v/>
      </c>
      <c r="C192" s="127" t="str">
        <f t="array" ref="C192">IFERROR(INDEX(BD[],_xlfn.AGGREGATE(15,6,IF(BD[CLASIFICACIÓN]=$B$2,ROW(BD[CLASIFICACIÓN])-ROW('PT2 (FILTRAR)'!$E$5)+1,NA()),ROWS($B$5:C192)),COLUMNS($B$5:C192)),"")</f>
        <v/>
      </c>
      <c r="D192" s="142" t="str">
        <f t="array" ref="D192">IFERROR(INDEX(BD[],_xlfn.AGGREGATE(15,6,IF(BD[CLASIFICACIÓN]=$B$2,ROW(BD[CLASIFICACIÓN])-ROW('PT2 (FILTRAR)'!$E$5)+1,NA()),ROWS($B$5:D192)),COLUMNS($B$5:D192)),"")</f>
        <v/>
      </c>
      <c r="E192" s="126" t="str">
        <f t="array" ref="E192">IFERROR(INDEX(BD[],_xlfn.AGGREGATE(15,6,IF(BD[CLASIFICACIÓN]=$B$2,ROW(BD[CLASIFICACIÓN])-ROW('PT2 (FILTRAR)'!$E$5)+1,NA()),ROWS($B$5:E192)),COLUMNS($B$5:E192)),"")</f>
        <v/>
      </c>
      <c r="F192" s="126"/>
    </row>
    <row r="193" spans="2:6" x14ac:dyDescent="0.3">
      <c r="B193" s="126" t="str">
        <f t="array" ref="B193">IFERROR(INDEX(BD[],_xlfn.AGGREGATE(15,6,IF(BD[CLASIFICACIÓN]=$B$2,ROW(BD[CLASIFICACIÓN])-ROW('PT2 (FILTRAR)'!$E$5)+1,NA()),ROWS($B$5:B193)),COLUMNS($B$5:B193)),"")</f>
        <v/>
      </c>
      <c r="C193" s="127" t="str">
        <f t="array" ref="C193">IFERROR(INDEX(BD[],_xlfn.AGGREGATE(15,6,IF(BD[CLASIFICACIÓN]=$B$2,ROW(BD[CLASIFICACIÓN])-ROW('PT2 (FILTRAR)'!$E$5)+1,NA()),ROWS($B$5:C193)),COLUMNS($B$5:C193)),"")</f>
        <v/>
      </c>
      <c r="D193" s="142" t="str">
        <f t="array" ref="D193">IFERROR(INDEX(BD[],_xlfn.AGGREGATE(15,6,IF(BD[CLASIFICACIÓN]=$B$2,ROW(BD[CLASIFICACIÓN])-ROW('PT2 (FILTRAR)'!$E$5)+1,NA()),ROWS($B$5:D193)),COLUMNS($B$5:D193)),"")</f>
        <v/>
      </c>
      <c r="E193" s="126" t="str">
        <f t="array" ref="E193">IFERROR(INDEX(BD[],_xlfn.AGGREGATE(15,6,IF(BD[CLASIFICACIÓN]=$B$2,ROW(BD[CLASIFICACIÓN])-ROW('PT2 (FILTRAR)'!$E$5)+1,NA()),ROWS($B$5:E193)),COLUMNS($B$5:E193)),"")</f>
        <v/>
      </c>
      <c r="F193" s="126"/>
    </row>
    <row r="194" spans="2:6" x14ac:dyDescent="0.3">
      <c r="B194" s="126" t="str">
        <f t="array" ref="B194">IFERROR(INDEX(BD[],_xlfn.AGGREGATE(15,6,IF(BD[CLASIFICACIÓN]=$B$2,ROW(BD[CLASIFICACIÓN])-ROW('PT2 (FILTRAR)'!$E$5)+1,NA()),ROWS($B$5:B194)),COLUMNS($B$5:B194)),"")</f>
        <v/>
      </c>
      <c r="C194" s="127" t="str">
        <f t="array" ref="C194">IFERROR(INDEX(BD[],_xlfn.AGGREGATE(15,6,IF(BD[CLASIFICACIÓN]=$B$2,ROW(BD[CLASIFICACIÓN])-ROW('PT2 (FILTRAR)'!$E$5)+1,NA()),ROWS($B$5:C194)),COLUMNS($B$5:C194)),"")</f>
        <v/>
      </c>
      <c r="D194" s="142" t="str">
        <f t="array" ref="D194">IFERROR(INDEX(BD[],_xlfn.AGGREGATE(15,6,IF(BD[CLASIFICACIÓN]=$B$2,ROW(BD[CLASIFICACIÓN])-ROW('PT2 (FILTRAR)'!$E$5)+1,NA()),ROWS($B$5:D194)),COLUMNS($B$5:D194)),"")</f>
        <v/>
      </c>
      <c r="E194" s="126" t="str">
        <f t="array" ref="E194">IFERROR(INDEX(BD[],_xlfn.AGGREGATE(15,6,IF(BD[CLASIFICACIÓN]=$B$2,ROW(BD[CLASIFICACIÓN])-ROW('PT2 (FILTRAR)'!$E$5)+1,NA()),ROWS($B$5:E194)),COLUMNS($B$5:E194)),"")</f>
        <v/>
      </c>
      <c r="F194" s="126"/>
    </row>
    <row r="195" spans="2:6" x14ac:dyDescent="0.3">
      <c r="B195" s="126" t="str">
        <f t="array" ref="B195">IFERROR(INDEX(BD[],_xlfn.AGGREGATE(15,6,IF(BD[CLASIFICACIÓN]=$B$2,ROW(BD[CLASIFICACIÓN])-ROW('PT2 (FILTRAR)'!$E$5)+1,NA()),ROWS($B$5:B195)),COLUMNS($B$5:B195)),"")</f>
        <v/>
      </c>
      <c r="C195" s="127" t="str">
        <f t="array" ref="C195">IFERROR(INDEX(BD[],_xlfn.AGGREGATE(15,6,IF(BD[CLASIFICACIÓN]=$B$2,ROW(BD[CLASIFICACIÓN])-ROW('PT2 (FILTRAR)'!$E$5)+1,NA()),ROWS($B$5:C195)),COLUMNS($B$5:C195)),"")</f>
        <v/>
      </c>
      <c r="D195" s="142" t="str">
        <f t="array" ref="D195">IFERROR(INDEX(BD[],_xlfn.AGGREGATE(15,6,IF(BD[CLASIFICACIÓN]=$B$2,ROW(BD[CLASIFICACIÓN])-ROW('PT2 (FILTRAR)'!$E$5)+1,NA()),ROWS($B$5:D195)),COLUMNS($B$5:D195)),"")</f>
        <v/>
      </c>
      <c r="E195" s="126" t="str">
        <f t="array" ref="E195">IFERROR(INDEX(BD[],_xlfn.AGGREGATE(15,6,IF(BD[CLASIFICACIÓN]=$B$2,ROW(BD[CLASIFICACIÓN])-ROW('PT2 (FILTRAR)'!$E$5)+1,NA()),ROWS($B$5:E195)),COLUMNS($B$5:E195)),"")</f>
        <v/>
      </c>
      <c r="F195" s="126"/>
    </row>
    <row r="196" spans="2:6" x14ac:dyDescent="0.3">
      <c r="B196" s="126" t="str">
        <f t="array" ref="B196">IFERROR(INDEX(BD[],_xlfn.AGGREGATE(15,6,IF(BD[CLASIFICACIÓN]=$B$2,ROW(BD[CLASIFICACIÓN])-ROW('PT2 (FILTRAR)'!$E$5)+1,NA()),ROWS($B$5:B196)),COLUMNS($B$5:B196)),"")</f>
        <v/>
      </c>
      <c r="C196" s="127" t="str">
        <f t="array" ref="C196">IFERROR(INDEX(BD[],_xlfn.AGGREGATE(15,6,IF(BD[CLASIFICACIÓN]=$B$2,ROW(BD[CLASIFICACIÓN])-ROW('PT2 (FILTRAR)'!$E$5)+1,NA()),ROWS($B$5:C196)),COLUMNS($B$5:C196)),"")</f>
        <v/>
      </c>
      <c r="D196" s="142" t="str">
        <f t="array" ref="D196">IFERROR(INDEX(BD[],_xlfn.AGGREGATE(15,6,IF(BD[CLASIFICACIÓN]=$B$2,ROW(BD[CLASIFICACIÓN])-ROW('PT2 (FILTRAR)'!$E$5)+1,NA()),ROWS($B$5:D196)),COLUMNS($B$5:D196)),"")</f>
        <v/>
      </c>
      <c r="E196" s="126" t="str">
        <f t="array" ref="E196">IFERROR(INDEX(BD[],_xlfn.AGGREGATE(15,6,IF(BD[CLASIFICACIÓN]=$B$2,ROW(BD[CLASIFICACIÓN])-ROW('PT2 (FILTRAR)'!$E$5)+1,NA()),ROWS($B$5:E196)),COLUMNS($B$5:E196)),"")</f>
        <v/>
      </c>
      <c r="F196" s="126"/>
    </row>
    <row r="197" spans="2:6" x14ac:dyDescent="0.3">
      <c r="B197" s="126" t="str">
        <f t="array" ref="B197">IFERROR(INDEX(BD[],_xlfn.AGGREGATE(15,6,IF(BD[CLASIFICACIÓN]=$B$2,ROW(BD[CLASIFICACIÓN])-ROW('PT2 (FILTRAR)'!$E$5)+1,NA()),ROWS($B$5:B197)),COLUMNS($B$5:B197)),"")</f>
        <v/>
      </c>
      <c r="C197" s="127" t="str">
        <f t="array" ref="C197">IFERROR(INDEX(BD[],_xlfn.AGGREGATE(15,6,IF(BD[CLASIFICACIÓN]=$B$2,ROW(BD[CLASIFICACIÓN])-ROW('PT2 (FILTRAR)'!$E$5)+1,NA()),ROWS($B$5:C197)),COLUMNS($B$5:C197)),"")</f>
        <v/>
      </c>
      <c r="D197" s="142" t="str">
        <f t="array" ref="D197">IFERROR(INDEX(BD[],_xlfn.AGGREGATE(15,6,IF(BD[CLASIFICACIÓN]=$B$2,ROW(BD[CLASIFICACIÓN])-ROW('PT2 (FILTRAR)'!$E$5)+1,NA()),ROWS($B$5:D197)),COLUMNS($B$5:D197)),"")</f>
        <v/>
      </c>
      <c r="E197" s="126" t="str">
        <f t="array" ref="E197">IFERROR(INDEX(BD[],_xlfn.AGGREGATE(15,6,IF(BD[CLASIFICACIÓN]=$B$2,ROW(BD[CLASIFICACIÓN])-ROW('PT2 (FILTRAR)'!$E$5)+1,NA()),ROWS($B$5:E197)),COLUMNS($B$5:E197)),"")</f>
        <v/>
      </c>
      <c r="F197" s="126"/>
    </row>
    <row r="198" spans="2:6" x14ac:dyDescent="0.3">
      <c r="B198" s="126" t="str">
        <f t="array" ref="B198">IFERROR(INDEX(BD[],_xlfn.AGGREGATE(15,6,IF(BD[CLASIFICACIÓN]=$B$2,ROW(BD[CLASIFICACIÓN])-ROW('PT2 (FILTRAR)'!$E$5)+1,NA()),ROWS($B$5:B198)),COLUMNS($B$5:B198)),"")</f>
        <v/>
      </c>
      <c r="C198" s="127" t="str">
        <f t="array" ref="C198">IFERROR(INDEX(BD[],_xlfn.AGGREGATE(15,6,IF(BD[CLASIFICACIÓN]=$B$2,ROW(BD[CLASIFICACIÓN])-ROW('PT2 (FILTRAR)'!$E$5)+1,NA()),ROWS($B$5:C198)),COLUMNS($B$5:C198)),"")</f>
        <v/>
      </c>
      <c r="D198" s="142" t="str">
        <f t="array" ref="D198">IFERROR(INDEX(BD[],_xlfn.AGGREGATE(15,6,IF(BD[CLASIFICACIÓN]=$B$2,ROW(BD[CLASIFICACIÓN])-ROW('PT2 (FILTRAR)'!$E$5)+1,NA()),ROWS($B$5:D198)),COLUMNS($B$5:D198)),"")</f>
        <v/>
      </c>
      <c r="E198" s="126" t="str">
        <f t="array" ref="E198">IFERROR(INDEX(BD[],_xlfn.AGGREGATE(15,6,IF(BD[CLASIFICACIÓN]=$B$2,ROW(BD[CLASIFICACIÓN])-ROW('PT2 (FILTRAR)'!$E$5)+1,NA()),ROWS($B$5:E198)),COLUMNS($B$5:E198)),"")</f>
        <v/>
      </c>
      <c r="F198" s="126"/>
    </row>
    <row r="199" spans="2:6" x14ac:dyDescent="0.3">
      <c r="B199" s="126" t="str">
        <f t="array" ref="B199">IFERROR(INDEX(BD[],_xlfn.AGGREGATE(15,6,IF(BD[CLASIFICACIÓN]=$B$2,ROW(BD[CLASIFICACIÓN])-ROW('PT2 (FILTRAR)'!$E$5)+1,NA()),ROWS($B$5:B199)),COLUMNS($B$5:B199)),"")</f>
        <v/>
      </c>
      <c r="C199" s="127" t="str">
        <f t="array" ref="C199">IFERROR(INDEX(BD[],_xlfn.AGGREGATE(15,6,IF(BD[CLASIFICACIÓN]=$B$2,ROW(BD[CLASIFICACIÓN])-ROW('PT2 (FILTRAR)'!$E$5)+1,NA()),ROWS($B$5:C199)),COLUMNS($B$5:C199)),"")</f>
        <v/>
      </c>
      <c r="D199" s="142" t="str">
        <f t="array" ref="D199">IFERROR(INDEX(BD[],_xlfn.AGGREGATE(15,6,IF(BD[CLASIFICACIÓN]=$B$2,ROW(BD[CLASIFICACIÓN])-ROW('PT2 (FILTRAR)'!$E$5)+1,NA()),ROWS($B$5:D199)),COLUMNS($B$5:D199)),"")</f>
        <v/>
      </c>
      <c r="E199" s="126" t="str">
        <f t="array" ref="E199">IFERROR(INDEX(BD[],_xlfn.AGGREGATE(15,6,IF(BD[CLASIFICACIÓN]=$B$2,ROW(BD[CLASIFICACIÓN])-ROW('PT2 (FILTRAR)'!$E$5)+1,NA()),ROWS($B$5:E199)),COLUMNS($B$5:E199)),"")</f>
        <v/>
      </c>
      <c r="F199" s="126"/>
    </row>
    <row r="200" spans="2:6" x14ac:dyDescent="0.3">
      <c r="B200" s="126" t="str">
        <f t="array" ref="B200">IFERROR(INDEX(BD[],_xlfn.AGGREGATE(15,6,IF(BD[CLASIFICACIÓN]=$B$2,ROW(BD[CLASIFICACIÓN])-ROW('PT2 (FILTRAR)'!$E$5)+1,NA()),ROWS($B$5:B200)),COLUMNS($B$5:B200)),"")</f>
        <v/>
      </c>
      <c r="C200" s="127" t="str">
        <f t="array" ref="C200">IFERROR(INDEX(BD[],_xlfn.AGGREGATE(15,6,IF(BD[CLASIFICACIÓN]=$B$2,ROW(BD[CLASIFICACIÓN])-ROW('PT2 (FILTRAR)'!$E$5)+1,NA()),ROWS($B$5:C200)),COLUMNS($B$5:C200)),"")</f>
        <v/>
      </c>
      <c r="D200" s="142" t="str">
        <f t="array" ref="D200">IFERROR(INDEX(BD[],_xlfn.AGGREGATE(15,6,IF(BD[CLASIFICACIÓN]=$B$2,ROW(BD[CLASIFICACIÓN])-ROW('PT2 (FILTRAR)'!$E$5)+1,NA()),ROWS($B$5:D200)),COLUMNS($B$5:D200)),"")</f>
        <v/>
      </c>
      <c r="E200" s="126" t="str">
        <f t="array" ref="E200">IFERROR(INDEX(BD[],_xlfn.AGGREGATE(15,6,IF(BD[CLASIFICACIÓN]=$B$2,ROW(BD[CLASIFICACIÓN])-ROW('PT2 (FILTRAR)'!$E$5)+1,NA()),ROWS($B$5:E200)),COLUMNS($B$5:E200)),"")</f>
        <v/>
      </c>
      <c r="F200" s="126"/>
    </row>
    <row r="201" spans="2:6" x14ac:dyDescent="0.3">
      <c r="B201" s="126" t="str">
        <f t="array" ref="B201">IFERROR(INDEX(BD[],_xlfn.AGGREGATE(15,6,IF(BD[CLASIFICACIÓN]=$B$2,ROW(BD[CLASIFICACIÓN])-ROW('PT2 (FILTRAR)'!$E$5)+1,NA()),ROWS($B$5:B201)),COLUMNS($B$5:B201)),"")</f>
        <v/>
      </c>
      <c r="C201" s="127" t="str">
        <f t="array" ref="C201">IFERROR(INDEX(BD[],_xlfn.AGGREGATE(15,6,IF(BD[CLASIFICACIÓN]=$B$2,ROW(BD[CLASIFICACIÓN])-ROW('PT2 (FILTRAR)'!$E$5)+1,NA()),ROWS($B$5:C201)),COLUMNS($B$5:C201)),"")</f>
        <v/>
      </c>
      <c r="D201" s="142" t="str">
        <f t="array" ref="D201">IFERROR(INDEX(BD[],_xlfn.AGGREGATE(15,6,IF(BD[CLASIFICACIÓN]=$B$2,ROW(BD[CLASIFICACIÓN])-ROW('PT2 (FILTRAR)'!$E$5)+1,NA()),ROWS($B$5:D201)),COLUMNS($B$5:D201)),"")</f>
        <v/>
      </c>
      <c r="E201" s="126" t="str">
        <f t="array" ref="E201">IFERROR(INDEX(BD[],_xlfn.AGGREGATE(15,6,IF(BD[CLASIFICACIÓN]=$B$2,ROW(BD[CLASIFICACIÓN])-ROW('PT2 (FILTRAR)'!$E$5)+1,NA()),ROWS($B$5:E201)),COLUMNS($B$5:E201)),"")</f>
        <v/>
      </c>
      <c r="F201" s="126"/>
    </row>
    <row r="202" spans="2:6" x14ac:dyDescent="0.3">
      <c r="B202" s="126" t="str">
        <f t="array" ref="B202">IFERROR(INDEX(BD[],_xlfn.AGGREGATE(15,6,IF(BD[CLASIFICACIÓN]=$B$2,ROW(BD[CLASIFICACIÓN])-ROW('PT2 (FILTRAR)'!$E$5)+1,NA()),ROWS($B$5:B202)),COLUMNS($B$5:B202)),"")</f>
        <v/>
      </c>
      <c r="C202" s="127" t="str">
        <f t="array" ref="C202">IFERROR(INDEX(BD[],_xlfn.AGGREGATE(15,6,IF(BD[CLASIFICACIÓN]=$B$2,ROW(BD[CLASIFICACIÓN])-ROW('PT2 (FILTRAR)'!$E$5)+1,NA()),ROWS($B$5:C202)),COLUMNS($B$5:C202)),"")</f>
        <v/>
      </c>
      <c r="D202" s="142" t="str">
        <f t="array" ref="D202">IFERROR(INDEX(BD[],_xlfn.AGGREGATE(15,6,IF(BD[CLASIFICACIÓN]=$B$2,ROW(BD[CLASIFICACIÓN])-ROW('PT2 (FILTRAR)'!$E$5)+1,NA()),ROWS($B$5:D202)),COLUMNS($B$5:D202)),"")</f>
        <v/>
      </c>
      <c r="E202" s="126" t="str">
        <f t="array" ref="E202">IFERROR(INDEX(BD[],_xlfn.AGGREGATE(15,6,IF(BD[CLASIFICACIÓN]=$B$2,ROW(BD[CLASIFICACIÓN])-ROW('PT2 (FILTRAR)'!$E$5)+1,NA()),ROWS($B$5:E202)),COLUMNS($B$5:E202)),"")</f>
        <v/>
      </c>
      <c r="F202" s="126"/>
    </row>
    <row r="203" spans="2:6" x14ac:dyDescent="0.3">
      <c r="B203" s="126" t="str">
        <f t="array" ref="B203">IFERROR(INDEX(BD[],_xlfn.AGGREGATE(15,6,IF(BD[CLASIFICACIÓN]=$B$2,ROW(BD[CLASIFICACIÓN])-ROW('PT2 (FILTRAR)'!$E$5)+1,NA()),ROWS($B$5:B203)),COLUMNS($B$5:B203)),"")</f>
        <v/>
      </c>
      <c r="C203" s="127" t="str">
        <f t="array" ref="C203">IFERROR(INDEX(BD[],_xlfn.AGGREGATE(15,6,IF(BD[CLASIFICACIÓN]=$B$2,ROW(BD[CLASIFICACIÓN])-ROW('PT2 (FILTRAR)'!$E$5)+1,NA()),ROWS($B$5:C203)),COLUMNS($B$5:C203)),"")</f>
        <v/>
      </c>
      <c r="D203" s="142" t="str">
        <f t="array" ref="D203">IFERROR(INDEX(BD[],_xlfn.AGGREGATE(15,6,IF(BD[CLASIFICACIÓN]=$B$2,ROW(BD[CLASIFICACIÓN])-ROW('PT2 (FILTRAR)'!$E$5)+1,NA()),ROWS($B$5:D203)),COLUMNS($B$5:D203)),"")</f>
        <v/>
      </c>
      <c r="E203" s="126" t="str">
        <f t="array" ref="E203">IFERROR(INDEX(BD[],_xlfn.AGGREGATE(15,6,IF(BD[CLASIFICACIÓN]=$B$2,ROW(BD[CLASIFICACIÓN])-ROW('PT2 (FILTRAR)'!$E$5)+1,NA()),ROWS($B$5:E203)),COLUMNS($B$5:E203)),"")</f>
        <v/>
      </c>
      <c r="F203" s="126"/>
    </row>
    <row r="204" spans="2:6" x14ac:dyDescent="0.3">
      <c r="B204" s="126" t="str">
        <f t="array" ref="B204">IFERROR(INDEX(BD[],_xlfn.AGGREGATE(15,6,IF(BD[CLASIFICACIÓN]=$B$2,ROW(BD[CLASIFICACIÓN])-ROW('PT2 (FILTRAR)'!$E$5)+1,NA()),ROWS($B$5:B204)),COLUMNS($B$5:B204)),"")</f>
        <v/>
      </c>
      <c r="C204" s="127" t="str">
        <f t="array" ref="C204">IFERROR(INDEX(BD[],_xlfn.AGGREGATE(15,6,IF(BD[CLASIFICACIÓN]=$B$2,ROW(BD[CLASIFICACIÓN])-ROW('PT2 (FILTRAR)'!$E$5)+1,NA()),ROWS($B$5:C204)),COLUMNS($B$5:C204)),"")</f>
        <v/>
      </c>
      <c r="D204" s="142" t="str">
        <f t="array" ref="D204">IFERROR(INDEX(BD[],_xlfn.AGGREGATE(15,6,IF(BD[CLASIFICACIÓN]=$B$2,ROW(BD[CLASIFICACIÓN])-ROW('PT2 (FILTRAR)'!$E$5)+1,NA()),ROWS($B$5:D204)),COLUMNS($B$5:D204)),"")</f>
        <v/>
      </c>
      <c r="E204" s="126" t="str">
        <f t="array" ref="E204">IFERROR(INDEX(BD[],_xlfn.AGGREGATE(15,6,IF(BD[CLASIFICACIÓN]=$B$2,ROW(BD[CLASIFICACIÓN])-ROW('PT2 (FILTRAR)'!$E$5)+1,NA()),ROWS($B$5:E204)),COLUMNS($B$5:E204)),"")</f>
        <v/>
      </c>
      <c r="F204" s="126"/>
    </row>
    <row r="205" spans="2:6" x14ac:dyDescent="0.3">
      <c r="B205" s="126" t="str">
        <f t="array" ref="B205">IFERROR(INDEX(BD[],_xlfn.AGGREGATE(15,6,IF(BD[CLASIFICACIÓN]=$B$2,ROW(BD[CLASIFICACIÓN])-ROW('PT2 (FILTRAR)'!$E$5)+1,NA()),ROWS($B$5:B205)),COLUMNS($B$5:B205)),"")</f>
        <v/>
      </c>
      <c r="C205" s="127" t="str">
        <f t="array" ref="C205">IFERROR(INDEX(BD[],_xlfn.AGGREGATE(15,6,IF(BD[CLASIFICACIÓN]=$B$2,ROW(BD[CLASIFICACIÓN])-ROW('PT2 (FILTRAR)'!$E$5)+1,NA()),ROWS($B$5:C205)),COLUMNS($B$5:C205)),"")</f>
        <v/>
      </c>
      <c r="D205" s="142" t="str">
        <f t="array" ref="D205">IFERROR(INDEX(BD[],_xlfn.AGGREGATE(15,6,IF(BD[CLASIFICACIÓN]=$B$2,ROW(BD[CLASIFICACIÓN])-ROW('PT2 (FILTRAR)'!$E$5)+1,NA()),ROWS($B$5:D205)),COLUMNS($B$5:D205)),"")</f>
        <v/>
      </c>
      <c r="E205" s="126" t="str">
        <f t="array" ref="E205">IFERROR(INDEX(BD[],_xlfn.AGGREGATE(15,6,IF(BD[CLASIFICACIÓN]=$B$2,ROW(BD[CLASIFICACIÓN])-ROW('PT2 (FILTRAR)'!$E$5)+1,NA()),ROWS($B$5:E205)),COLUMNS($B$5:E205)),"")</f>
        <v/>
      </c>
      <c r="F205" s="126"/>
    </row>
    <row r="206" spans="2:6" x14ac:dyDescent="0.3">
      <c r="B206" s="126" t="str">
        <f t="array" ref="B206">IFERROR(INDEX(BD[],_xlfn.AGGREGATE(15,6,IF(BD[CLASIFICACIÓN]=$B$2,ROW(BD[CLASIFICACIÓN])-ROW('PT2 (FILTRAR)'!$E$5)+1,NA()),ROWS($B$5:B206)),COLUMNS($B$5:B206)),"")</f>
        <v/>
      </c>
      <c r="C206" s="127" t="str">
        <f t="array" ref="C206">IFERROR(INDEX(BD[],_xlfn.AGGREGATE(15,6,IF(BD[CLASIFICACIÓN]=$B$2,ROW(BD[CLASIFICACIÓN])-ROW('PT2 (FILTRAR)'!$E$5)+1,NA()),ROWS($B$5:C206)),COLUMNS($B$5:C206)),"")</f>
        <v/>
      </c>
      <c r="D206" s="142" t="str">
        <f t="array" ref="D206">IFERROR(INDEX(BD[],_xlfn.AGGREGATE(15,6,IF(BD[CLASIFICACIÓN]=$B$2,ROW(BD[CLASIFICACIÓN])-ROW('PT2 (FILTRAR)'!$E$5)+1,NA()),ROWS($B$5:D206)),COLUMNS($B$5:D206)),"")</f>
        <v/>
      </c>
      <c r="E206" s="126" t="str">
        <f t="array" ref="E206">IFERROR(INDEX(BD[],_xlfn.AGGREGATE(15,6,IF(BD[CLASIFICACIÓN]=$B$2,ROW(BD[CLASIFICACIÓN])-ROW('PT2 (FILTRAR)'!$E$5)+1,NA()),ROWS($B$5:E206)),COLUMNS($B$5:E206)),"")</f>
        <v/>
      </c>
      <c r="F206" s="126"/>
    </row>
    <row r="207" spans="2:6" x14ac:dyDescent="0.3">
      <c r="B207" s="126" t="str">
        <f t="array" ref="B207">IFERROR(INDEX(BD[],_xlfn.AGGREGATE(15,6,IF(BD[CLASIFICACIÓN]=$B$2,ROW(BD[CLASIFICACIÓN])-ROW('PT2 (FILTRAR)'!$E$5)+1,NA()),ROWS($B$5:B207)),COLUMNS($B$5:B207)),"")</f>
        <v/>
      </c>
      <c r="C207" s="127" t="str">
        <f t="array" ref="C207">IFERROR(INDEX(BD[],_xlfn.AGGREGATE(15,6,IF(BD[CLASIFICACIÓN]=$B$2,ROW(BD[CLASIFICACIÓN])-ROW('PT2 (FILTRAR)'!$E$5)+1,NA()),ROWS($B$5:C207)),COLUMNS($B$5:C207)),"")</f>
        <v/>
      </c>
      <c r="D207" s="142" t="str">
        <f t="array" ref="D207">IFERROR(INDEX(BD[],_xlfn.AGGREGATE(15,6,IF(BD[CLASIFICACIÓN]=$B$2,ROW(BD[CLASIFICACIÓN])-ROW('PT2 (FILTRAR)'!$E$5)+1,NA()),ROWS($B$5:D207)),COLUMNS($B$5:D207)),"")</f>
        <v/>
      </c>
      <c r="E207" s="126" t="str">
        <f t="array" ref="E207">IFERROR(INDEX(BD[],_xlfn.AGGREGATE(15,6,IF(BD[CLASIFICACIÓN]=$B$2,ROW(BD[CLASIFICACIÓN])-ROW('PT2 (FILTRAR)'!$E$5)+1,NA()),ROWS($B$5:E207)),COLUMNS($B$5:E207)),"")</f>
        <v/>
      </c>
      <c r="F207" s="126"/>
    </row>
    <row r="208" spans="2:6" x14ac:dyDescent="0.3">
      <c r="B208" s="126" t="str">
        <f t="array" ref="B208">IFERROR(INDEX(BD[],_xlfn.AGGREGATE(15,6,IF(BD[CLASIFICACIÓN]=$B$2,ROW(BD[CLASIFICACIÓN])-ROW('PT2 (FILTRAR)'!$E$5)+1,NA()),ROWS($B$5:B208)),COLUMNS($B$5:B208)),"")</f>
        <v/>
      </c>
      <c r="C208" s="127" t="str">
        <f t="array" ref="C208">IFERROR(INDEX(BD[],_xlfn.AGGREGATE(15,6,IF(BD[CLASIFICACIÓN]=$B$2,ROW(BD[CLASIFICACIÓN])-ROW('PT2 (FILTRAR)'!$E$5)+1,NA()),ROWS($B$5:C208)),COLUMNS($B$5:C208)),"")</f>
        <v/>
      </c>
      <c r="D208" s="142" t="str">
        <f t="array" ref="D208">IFERROR(INDEX(BD[],_xlfn.AGGREGATE(15,6,IF(BD[CLASIFICACIÓN]=$B$2,ROW(BD[CLASIFICACIÓN])-ROW('PT2 (FILTRAR)'!$E$5)+1,NA()),ROWS($B$5:D208)),COLUMNS($B$5:D208)),"")</f>
        <v/>
      </c>
      <c r="E208" s="126" t="str">
        <f t="array" ref="E208">IFERROR(INDEX(BD[],_xlfn.AGGREGATE(15,6,IF(BD[CLASIFICACIÓN]=$B$2,ROW(BD[CLASIFICACIÓN])-ROW('PT2 (FILTRAR)'!$E$5)+1,NA()),ROWS($B$5:E208)),COLUMNS($B$5:E208)),"")</f>
        <v/>
      </c>
      <c r="F208" s="126"/>
    </row>
    <row r="209" spans="2:6" x14ac:dyDescent="0.3">
      <c r="B209" s="126" t="str">
        <f t="array" ref="B209">IFERROR(INDEX(BD[],_xlfn.AGGREGATE(15,6,IF(BD[CLASIFICACIÓN]=$B$2,ROW(BD[CLASIFICACIÓN])-ROW('PT2 (FILTRAR)'!$E$5)+1,NA()),ROWS($B$5:B209)),COLUMNS($B$5:B209)),"")</f>
        <v/>
      </c>
      <c r="C209" s="127" t="str">
        <f t="array" ref="C209">IFERROR(INDEX(BD[],_xlfn.AGGREGATE(15,6,IF(BD[CLASIFICACIÓN]=$B$2,ROW(BD[CLASIFICACIÓN])-ROW('PT2 (FILTRAR)'!$E$5)+1,NA()),ROWS($B$5:C209)),COLUMNS($B$5:C209)),"")</f>
        <v/>
      </c>
      <c r="D209" s="142" t="str">
        <f t="array" ref="D209">IFERROR(INDEX(BD[],_xlfn.AGGREGATE(15,6,IF(BD[CLASIFICACIÓN]=$B$2,ROW(BD[CLASIFICACIÓN])-ROW('PT2 (FILTRAR)'!$E$5)+1,NA()),ROWS($B$5:D209)),COLUMNS($B$5:D209)),"")</f>
        <v/>
      </c>
      <c r="E209" s="126" t="str">
        <f t="array" ref="E209">IFERROR(INDEX(BD[],_xlfn.AGGREGATE(15,6,IF(BD[CLASIFICACIÓN]=$B$2,ROW(BD[CLASIFICACIÓN])-ROW('PT2 (FILTRAR)'!$E$5)+1,NA()),ROWS($B$5:E209)),COLUMNS($B$5:E209)),"")</f>
        <v/>
      </c>
      <c r="F209" s="126"/>
    </row>
    <row r="210" spans="2:6" x14ac:dyDescent="0.3">
      <c r="B210" s="126" t="str">
        <f t="array" ref="B210">IFERROR(INDEX(BD[],_xlfn.AGGREGATE(15,6,IF(BD[CLASIFICACIÓN]=$B$2,ROW(BD[CLASIFICACIÓN])-ROW('PT2 (FILTRAR)'!$E$5)+1,NA()),ROWS($B$5:B210)),COLUMNS($B$5:B210)),"")</f>
        <v/>
      </c>
      <c r="C210" s="127" t="str">
        <f t="array" ref="C210">IFERROR(INDEX(BD[],_xlfn.AGGREGATE(15,6,IF(BD[CLASIFICACIÓN]=$B$2,ROW(BD[CLASIFICACIÓN])-ROW('PT2 (FILTRAR)'!$E$5)+1,NA()),ROWS($B$5:C210)),COLUMNS($B$5:C210)),"")</f>
        <v/>
      </c>
      <c r="D210" s="142" t="str">
        <f t="array" ref="D210">IFERROR(INDEX(BD[],_xlfn.AGGREGATE(15,6,IF(BD[CLASIFICACIÓN]=$B$2,ROW(BD[CLASIFICACIÓN])-ROW('PT2 (FILTRAR)'!$E$5)+1,NA()),ROWS($B$5:D210)),COLUMNS($B$5:D210)),"")</f>
        <v/>
      </c>
      <c r="E210" s="126" t="str">
        <f t="array" ref="E210">IFERROR(INDEX(BD[],_xlfn.AGGREGATE(15,6,IF(BD[CLASIFICACIÓN]=$B$2,ROW(BD[CLASIFICACIÓN])-ROW('PT2 (FILTRAR)'!$E$5)+1,NA()),ROWS($B$5:E210)),COLUMNS($B$5:E210)),"")</f>
        <v/>
      </c>
      <c r="F210" s="126"/>
    </row>
    <row r="211" spans="2:6" x14ac:dyDescent="0.3">
      <c r="B211" s="126" t="str">
        <f t="array" ref="B211">IFERROR(INDEX(BD[],_xlfn.AGGREGATE(15,6,IF(BD[CLASIFICACIÓN]=$B$2,ROW(BD[CLASIFICACIÓN])-ROW('PT2 (FILTRAR)'!$E$5)+1,NA()),ROWS($B$5:B211)),COLUMNS($B$5:B211)),"")</f>
        <v/>
      </c>
      <c r="C211" s="127" t="str">
        <f t="array" ref="C211">IFERROR(INDEX(BD[],_xlfn.AGGREGATE(15,6,IF(BD[CLASIFICACIÓN]=$B$2,ROW(BD[CLASIFICACIÓN])-ROW('PT2 (FILTRAR)'!$E$5)+1,NA()),ROWS($B$5:C211)),COLUMNS($B$5:C211)),"")</f>
        <v/>
      </c>
      <c r="D211" s="142" t="str">
        <f t="array" ref="D211">IFERROR(INDEX(BD[],_xlfn.AGGREGATE(15,6,IF(BD[CLASIFICACIÓN]=$B$2,ROW(BD[CLASIFICACIÓN])-ROW('PT2 (FILTRAR)'!$E$5)+1,NA()),ROWS($B$5:D211)),COLUMNS($B$5:D211)),"")</f>
        <v/>
      </c>
      <c r="E211" s="126" t="str">
        <f t="array" ref="E211">IFERROR(INDEX(BD[],_xlfn.AGGREGATE(15,6,IF(BD[CLASIFICACIÓN]=$B$2,ROW(BD[CLASIFICACIÓN])-ROW('PT2 (FILTRAR)'!$E$5)+1,NA()),ROWS($B$5:E211)),COLUMNS($B$5:E211)),"")</f>
        <v/>
      </c>
      <c r="F211" s="126"/>
    </row>
    <row r="212" spans="2:6" x14ac:dyDescent="0.3">
      <c r="B212" s="126" t="str">
        <f t="array" ref="B212">IFERROR(INDEX(BD[],_xlfn.AGGREGATE(15,6,IF(BD[CLASIFICACIÓN]=$B$2,ROW(BD[CLASIFICACIÓN])-ROW('PT2 (FILTRAR)'!$E$5)+1,NA()),ROWS($B$5:B212)),COLUMNS($B$5:B212)),"")</f>
        <v/>
      </c>
      <c r="C212" s="127" t="str">
        <f t="array" ref="C212">IFERROR(INDEX(BD[],_xlfn.AGGREGATE(15,6,IF(BD[CLASIFICACIÓN]=$B$2,ROW(BD[CLASIFICACIÓN])-ROW('PT2 (FILTRAR)'!$E$5)+1,NA()),ROWS($B$5:C212)),COLUMNS($B$5:C212)),"")</f>
        <v/>
      </c>
      <c r="D212" s="142" t="str">
        <f t="array" ref="D212">IFERROR(INDEX(BD[],_xlfn.AGGREGATE(15,6,IF(BD[CLASIFICACIÓN]=$B$2,ROW(BD[CLASIFICACIÓN])-ROW('PT2 (FILTRAR)'!$E$5)+1,NA()),ROWS($B$5:D212)),COLUMNS($B$5:D212)),"")</f>
        <v/>
      </c>
      <c r="E212" s="126" t="str">
        <f t="array" ref="E212">IFERROR(INDEX(BD[],_xlfn.AGGREGATE(15,6,IF(BD[CLASIFICACIÓN]=$B$2,ROW(BD[CLASIFICACIÓN])-ROW('PT2 (FILTRAR)'!$E$5)+1,NA()),ROWS($B$5:E212)),COLUMNS($B$5:E212)),"")</f>
        <v/>
      </c>
      <c r="F212" s="126"/>
    </row>
    <row r="213" spans="2:6" x14ac:dyDescent="0.3">
      <c r="B213" s="126" t="str">
        <f t="array" ref="B213">IFERROR(INDEX(BD[],_xlfn.AGGREGATE(15,6,IF(BD[CLASIFICACIÓN]=$B$2,ROW(BD[CLASIFICACIÓN])-ROW('PT2 (FILTRAR)'!$E$5)+1,NA()),ROWS($B$5:B213)),COLUMNS($B$5:B213)),"")</f>
        <v/>
      </c>
      <c r="C213" s="127" t="str">
        <f t="array" ref="C213">IFERROR(INDEX(BD[],_xlfn.AGGREGATE(15,6,IF(BD[CLASIFICACIÓN]=$B$2,ROW(BD[CLASIFICACIÓN])-ROW('PT2 (FILTRAR)'!$E$5)+1,NA()),ROWS($B$5:C213)),COLUMNS($B$5:C213)),"")</f>
        <v/>
      </c>
      <c r="D213" s="142" t="str">
        <f t="array" ref="D213">IFERROR(INDEX(BD[],_xlfn.AGGREGATE(15,6,IF(BD[CLASIFICACIÓN]=$B$2,ROW(BD[CLASIFICACIÓN])-ROW('PT2 (FILTRAR)'!$E$5)+1,NA()),ROWS($B$5:D213)),COLUMNS($B$5:D213)),"")</f>
        <v/>
      </c>
      <c r="E213" s="126" t="str">
        <f t="array" ref="E213">IFERROR(INDEX(BD[],_xlfn.AGGREGATE(15,6,IF(BD[CLASIFICACIÓN]=$B$2,ROW(BD[CLASIFICACIÓN])-ROW('PT2 (FILTRAR)'!$E$5)+1,NA()),ROWS($B$5:E213)),COLUMNS($B$5:E213)),"")</f>
        <v/>
      </c>
      <c r="F213" s="126"/>
    </row>
    <row r="214" spans="2:6" x14ac:dyDescent="0.3">
      <c r="B214" s="126" t="str">
        <f t="array" ref="B214">IFERROR(INDEX(BD[],_xlfn.AGGREGATE(15,6,IF(BD[CLASIFICACIÓN]=$B$2,ROW(BD[CLASIFICACIÓN])-ROW('PT2 (FILTRAR)'!$E$5)+1,NA()),ROWS($B$5:B214)),COLUMNS($B$5:B214)),"")</f>
        <v/>
      </c>
      <c r="C214" s="127" t="str">
        <f t="array" ref="C214">IFERROR(INDEX(BD[],_xlfn.AGGREGATE(15,6,IF(BD[CLASIFICACIÓN]=$B$2,ROW(BD[CLASIFICACIÓN])-ROW('PT2 (FILTRAR)'!$E$5)+1,NA()),ROWS($B$5:C214)),COLUMNS($B$5:C214)),"")</f>
        <v/>
      </c>
      <c r="D214" s="142" t="str">
        <f t="array" ref="D214">IFERROR(INDEX(BD[],_xlfn.AGGREGATE(15,6,IF(BD[CLASIFICACIÓN]=$B$2,ROW(BD[CLASIFICACIÓN])-ROW('PT2 (FILTRAR)'!$E$5)+1,NA()),ROWS($B$5:D214)),COLUMNS($B$5:D214)),"")</f>
        <v/>
      </c>
      <c r="E214" s="126" t="str">
        <f t="array" ref="E214">IFERROR(INDEX(BD[],_xlfn.AGGREGATE(15,6,IF(BD[CLASIFICACIÓN]=$B$2,ROW(BD[CLASIFICACIÓN])-ROW('PT2 (FILTRAR)'!$E$5)+1,NA()),ROWS($B$5:E214)),COLUMNS($B$5:E214)),"")</f>
        <v/>
      </c>
      <c r="F214" s="126"/>
    </row>
    <row r="215" spans="2:6" x14ac:dyDescent="0.3">
      <c r="B215" s="126" t="str">
        <f t="array" ref="B215">IFERROR(INDEX(BD[],_xlfn.AGGREGATE(15,6,IF(BD[CLASIFICACIÓN]=$B$2,ROW(BD[CLASIFICACIÓN])-ROW('PT2 (FILTRAR)'!$E$5)+1,NA()),ROWS($B$5:B215)),COLUMNS($B$5:B215)),"")</f>
        <v/>
      </c>
      <c r="C215" s="127" t="str">
        <f t="array" ref="C215">IFERROR(INDEX(BD[],_xlfn.AGGREGATE(15,6,IF(BD[CLASIFICACIÓN]=$B$2,ROW(BD[CLASIFICACIÓN])-ROW('PT2 (FILTRAR)'!$E$5)+1,NA()),ROWS($B$5:C215)),COLUMNS($B$5:C215)),"")</f>
        <v/>
      </c>
      <c r="D215" s="142" t="str">
        <f t="array" ref="D215">IFERROR(INDEX(BD[],_xlfn.AGGREGATE(15,6,IF(BD[CLASIFICACIÓN]=$B$2,ROW(BD[CLASIFICACIÓN])-ROW('PT2 (FILTRAR)'!$E$5)+1,NA()),ROWS($B$5:D215)),COLUMNS($B$5:D215)),"")</f>
        <v/>
      </c>
      <c r="E215" s="126" t="str">
        <f t="array" ref="E215">IFERROR(INDEX(BD[],_xlfn.AGGREGATE(15,6,IF(BD[CLASIFICACIÓN]=$B$2,ROW(BD[CLASIFICACIÓN])-ROW('PT2 (FILTRAR)'!$E$5)+1,NA()),ROWS($B$5:E215)),COLUMNS($B$5:E215)),"")</f>
        <v/>
      </c>
      <c r="F215" s="126"/>
    </row>
    <row r="216" spans="2:6" x14ac:dyDescent="0.3">
      <c r="B216" s="126" t="str">
        <f t="array" ref="B216">IFERROR(INDEX(BD[],_xlfn.AGGREGATE(15,6,IF(BD[CLASIFICACIÓN]=$B$2,ROW(BD[CLASIFICACIÓN])-ROW('PT2 (FILTRAR)'!$E$5)+1,NA()),ROWS($B$5:B216)),COLUMNS($B$5:B216)),"")</f>
        <v/>
      </c>
      <c r="C216" s="127" t="str">
        <f t="array" ref="C216">IFERROR(INDEX(BD[],_xlfn.AGGREGATE(15,6,IF(BD[CLASIFICACIÓN]=$B$2,ROW(BD[CLASIFICACIÓN])-ROW('PT2 (FILTRAR)'!$E$5)+1,NA()),ROWS($B$5:C216)),COLUMNS($B$5:C216)),"")</f>
        <v/>
      </c>
      <c r="D216" s="142" t="str">
        <f t="array" ref="D216">IFERROR(INDEX(BD[],_xlfn.AGGREGATE(15,6,IF(BD[CLASIFICACIÓN]=$B$2,ROW(BD[CLASIFICACIÓN])-ROW('PT2 (FILTRAR)'!$E$5)+1,NA()),ROWS($B$5:D216)),COLUMNS($B$5:D216)),"")</f>
        <v/>
      </c>
      <c r="E216" s="126" t="str">
        <f t="array" ref="E216">IFERROR(INDEX(BD[],_xlfn.AGGREGATE(15,6,IF(BD[CLASIFICACIÓN]=$B$2,ROW(BD[CLASIFICACIÓN])-ROW('PT2 (FILTRAR)'!$E$5)+1,NA()),ROWS($B$5:E216)),COLUMNS($B$5:E216)),"")</f>
        <v/>
      </c>
      <c r="F216" s="126"/>
    </row>
    <row r="217" spans="2:6" x14ac:dyDescent="0.3">
      <c r="B217" s="126" t="str">
        <f t="array" ref="B217">IFERROR(INDEX(BD[],_xlfn.AGGREGATE(15,6,IF(BD[CLASIFICACIÓN]=$B$2,ROW(BD[CLASIFICACIÓN])-ROW('PT2 (FILTRAR)'!$E$5)+1,NA()),ROWS($B$5:B217)),COLUMNS($B$5:B217)),"")</f>
        <v/>
      </c>
      <c r="C217" s="127" t="str">
        <f t="array" ref="C217">IFERROR(INDEX(BD[],_xlfn.AGGREGATE(15,6,IF(BD[CLASIFICACIÓN]=$B$2,ROW(BD[CLASIFICACIÓN])-ROW('PT2 (FILTRAR)'!$E$5)+1,NA()),ROWS($B$5:C217)),COLUMNS($B$5:C217)),"")</f>
        <v/>
      </c>
      <c r="D217" s="142" t="str">
        <f t="array" ref="D217">IFERROR(INDEX(BD[],_xlfn.AGGREGATE(15,6,IF(BD[CLASIFICACIÓN]=$B$2,ROW(BD[CLASIFICACIÓN])-ROW('PT2 (FILTRAR)'!$E$5)+1,NA()),ROWS($B$5:D217)),COLUMNS($B$5:D217)),"")</f>
        <v/>
      </c>
      <c r="E217" s="126" t="str">
        <f t="array" ref="E217">IFERROR(INDEX(BD[],_xlfn.AGGREGATE(15,6,IF(BD[CLASIFICACIÓN]=$B$2,ROW(BD[CLASIFICACIÓN])-ROW('PT2 (FILTRAR)'!$E$5)+1,NA()),ROWS($B$5:E217)),COLUMNS($B$5:E217)),"")</f>
        <v/>
      </c>
      <c r="F217" s="126"/>
    </row>
    <row r="218" spans="2:6" x14ac:dyDescent="0.3">
      <c r="B218" s="126" t="str">
        <f t="array" ref="B218">IFERROR(INDEX(BD[],_xlfn.AGGREGATE(15,6,IF(BD[CLASIFICACIÓN]=$B$2,ROW(BD[CLASIFICACIÓN])-ROW('PT2 (FILTRAR)'!$E$5)+1,NA()),ROWS($B$5:B218)),COLUMNS($B$5:B218)),"")</f>
        <v/>
      </c>
      <c r="C218" s="127" t="str">
        <f t="array" ref="C218">IFERROR(INDEX(BD[],_xlfn.AGGREGATE(15,6,IF(BD[CLASIFICACIÓN]=$B$2,ROW(BD[CLASIFICACIÓN])-ROW('PT2 (FILTRAR)'!$E$5)+1,NA()),ROWS($B$5:C218)),COLUMNS($B$5:C218)),"")</f>
        <v/>
      </c>
      <c r="D218" s="142" t="str">
        <f t="array" ref="D218">IFERROR(INDEX(BD[],_xlfn.AGGREGATE(15,6,IF(BD[CLASIFICACIÓN]=$B$2,ROW(BD[CLASIFICACIÓN])-ROW('PT2 (FILTRAR)'!$E$5)+1,NA()),ROWS($B$5:D218)),COLUMNS($B$5:D218)),"")</f>
        <v/>
      </c>
      <c r="E218" s="126" t="str">
        <f t="array" ref="E218">IFERROR(INDEX(BD[],_xlfn.AGGREGATE(15,6,IF(BD[CLASIFICACIÓN]=$B$2,ROW(BD[CLASIFICACIÓN])-ROW('PT2 (FILTRAR)'!$E$5)+1,NA()),ROWS($B$5:E218)),COLUMNS($B$5:E218)),"")</f>
        <v/>
      </c>
      <c r="F218" s="126"/>
    </row>
    <row r="219" spans="2:6" x14ac:dyDescent="0.3">
      <c r="B219" s="126" t="str">
        <f t="array" ref="B219">IFERROR(INDEX(BD[],_xlfn.AGGREGATE(15,6,IF(BD[CLASIFICACIÓN]=$B$2,ROW(BD[CLASIFICACIÓN])-ROW('PT2 (FILTRAR)'!$E$5)+1,NA()),ROWS($B$5:B219)),COLUMNS($B$5:B219)),"")</f>
        <v/>
      </c>
      <c r="C219" s="127" t="str">
        <f t="array" ref="C219">IFERROR(INDEX(BD[],_xlfn.AGGREGATE(15,6,IF(BD[CLASIFICACIÓN]=$B$2,ROW(BD[CLASIFICACIÓN])-ROW('PT2 (FILTRAR)'!$E$5)+1,NA()),ROWS($B$5:C219)),COLUMNS($B$5:C219)),"")</f>
        <v/>
      </c>
      <c r="D219" s="142" t="str">
        <f t="array" ref="D219">IFERROR(INDEX(BD[],_xlfn.AGGREGATE(15,6,IF(BD[CLASIFICACIÓN]=$B$2,ROW(BD[CLASIFICACIÓN])-ROW('PT2 (FILTRAR)'!$E$5)+1,NA()),ROWS($B$5:D219)),COLUMNS($B$5:D219)),"")</f>
        <v/>
      </c>
      <c r="E219" s="126" t="str">
        <f t="array" ref="E219">IFERROR(INDEX(BD[],_xlfn.AGGREGATE(15,6,IF(BD[CLASIFICACIÓN]=$B$2,ROW(BD[CLASIFICACIÓN])-ROW('PT2 (FILTRAR)'!$E$5)+1,NA()),ROWS($B$5:E219)),COLUMNS($B$5:E219)),"")</f>
        <v/>
      </c>
      <c r="F219" s="126"/>
    </row>
    <row r="220" spans="2:6" x14ac:dyDescent="0.3">
      <c r="B220" s="126" t="str">
        <f t="array" ref="B220">IFERROR(INDEX(BD[],_xlfn.AGGREGATE(15,6,IF(BD[CLASIFICACIÓN]=$B$2,ROW(BD[CLASIFICACIÓN])-ROW('PT2 (FILTRAR)'!$E$5)+1,NA()),ROWS($B$5:B220)),COLUMNS($B$5:B220)),"")</f>
        <v/>
      </c>
      <c r="C220" s="127" t="str">
        <f t="array" ref="C220">IFERROR(INDEX(BD[],_xlfn.AGGREGATE(15,6,IF(BD[CLASIFICACIÓN]=$B$2,ROW(BD[CLASIFICACIÓN])-ROW('PT2 (FILTRAR)'!$E$5)+1,NA()),ROWS($B$5:C220)),COLUMNS($B$5:C220)),"")</f>
        <v/>
      </c>
      <c r="D220" s="142" t="str">
        <f t="array" ref="D220">IFERROR(INDEX(BD[],_xlfn.AGGREGATE(15,6,IF(BD[CLASIFICACIÓN]=$B$2,ROW(BD[CLASIFICACIÓN])-ROW('PT2 (FILTRAR)'!$E$5)+1,NA()),ROWS($B$5:D220)),COLUMNS($B$5:D220)),"")</f>
        <v/>
      </c>
      <c r="E220" s="126" t="str">
        <f t="array" ref="E220">IFERROR(INDEX(BD[],_xlfn.AGGREGATE(15,6,IF(BD[CLASIFICACIÓN]=$B$2,ROW(BD[CLASIFICACIÓN])-ROW('PT2 (FILTRAR)'!$E$5)+1,NA()),ROWS($B$5:E220)),COLUMNS($B$5:E220)),"")</f>
        <v/>
      </c>
      <c r="F220" s="126"/>
    </row>
    <row r="221" spans="2:6" x14ac:dyDescent="0.3">
      <c r="B221" s="126" t="str">
        <f t="array" ref="B221">IFERROR(INDEX(BD[],_xlfn.AGGREGATE(15,6,IF(BD[CLASIFICACIÓN]=$B$2,ROW(BD[CLASIFICACIÓN])-ROW('PT2 (FILTRAR)'!$E$5)+1,NA()),ROWS($B$5:B221)),COLUMNS($B$5:B221)),"")</f>
        <v/>
      </c>
      <c r="C221" s="127" t="str">
        <f t="array" ref="C221">IFERROR(INDEX(BD[],_xlfn.AGGREGATE(15,6,IF(BD[CLASIFICACIÓN]=$B$2,ROW(BD[CLASIFICACIÓN])-ROW('PT2 (FILTRAR)'!$E$5)+1,NA()),ROWS($B$5:C221)),COLUMNS($B$5:C221)),"")</f>
        <v/>
      </c>
      <c r="D221" s="142" t="str">
        <f t="array" ref="D221">IFERROR(INDEX(BD[],_xlfn.AGGREGATE(15,6,IF(BD[CLASIFICACIÓN]=$B$2,ROW(BD[CLASIFICACIÓN])-ROW('PT2 (FILTRAR)'!$E$5)+1,NA()),ROWS($B$5:D221)),COLUMNS($B$5:D221)),"")</f>
        <v/>
      </c>
      <c r="E221" s="126" t="str">
        <f t="array" ref="E221">IFERROR(INDEX(BD[],_xlfn.AGGREGATE(15,6,IF(BD[CLASIFICACIÓN]=$B$2,ROW(BD[CLASIFICACIÓN])-ROW('PT2 (FILTRAR)'!$E$5)+1,NA()),ROWS($B$5:E221)),COLUMNS($B$5:E221)),"")</f>
        <v/>
      </c>
      <c r="F221" s="126"/>
    </row>
    <row r="222" spans="2:6" x14ac:dyDescent="0.3">
      <c r="B222" s="126" t="str">
        <f t="array" ref="B222">IFERROR(INDEX(BD[],_xlfn.AGGREGATE(15,6,IF(BD[CLASIFICACIÓN]=$B$2,ROW(BD[CLASIFICACIÓN])-ROW('PT2 (FILTRAR)'!$E$5)+1,NA()),ROWS($B$5:B222)),COLUMNS($B$5:B222)),"")</f>
        <v/>
      </c>
      <c r="C222" s="127" t="str">
        <f t="array" ref="C222">IFERROR(INDEX(BD[],_xlfn.AGGREGATE(15,6,IF(BD[CLASIFICACIÓN]=$B$2,ROW(BD[CLASIFICACIÓN])-ROW('PT2 (FILTRAR)'!$E$5)+1,NA()),ROWS($B$5:C222)),COLUMNS($B$5:C222)),"")</f>
        <v/>
      </c>
      <c r="D222" s="142" t="str">
        <f t="array" ref="D222">IFERROR(INDEX(BD[],_xlfn.AGGREGATE(15,6,IF(BD[CLASIFICACIÓN]=$B$2,ROW(BD[CLASIFICACIÓN])-ROW('PT2 (FILTRAR)'!$E$5)+1,NA()),ROWS($B$5:D222)),COLUMNS($B$5:D222)),"")</f>
        <v/>
      </c>
      <c r="E222" s="126" t="str">
        <f t="array" ref="E222">IFERROR(INDEX(BD[],_xlfn.AGGREGATE(15,6,IF(BD[CLASIFICACIÓN]=$B$2,ROW(BD[CLASIFICACIÓN])-ROW('PT2 (FILTRAR)'!$E$5)+1,NA()),ROWS($B$5:E222)),COLUMNS($B$5:E222)),"")</f>
        <v/>
      </c>
      <c r="F222" s="126"/>
    </row>
    <row r="223" spans="2:6" x14ac:dyDescent="0.3">
      <c r="B223" s="126" t="str">
        <f t="array" ref="B223">IFERROR(INDEX(BD[],_xlfn.AGGREGATE(15,6,IF(BD[CLASIFICACIÓN]=$B$2,ROW(BD[CLASIFICACIÓN])-ROW('PT2 (FILTRAR)'!$E$5)+1,NA()),ROWS($B$5:B223)),COLUMNS($B$5:B223)),"")</f>
        <v/>
      </c>
      <c r="C223" s="127" t="str">
        <f t="array" ref="C223">IFERROR(INDEX(BD[],_xlfn.AGGREGATE(15,6,IF(BD[CLASIFICACIÓN]=$B$2,ROW(BD[CLASIFICACIÓN])-ROW('PT2 (FILTRAR)'!$E$5)+1,NA()),ROWS($B$5:C223)),COLUMNS($B$5:C223)),"")</f>
        <v/>
      </c>
      <c r="D223" s="142" t="str">
        <f t="array" ref="D223">IFERROR(INDEX(BD[],_xlfn.AGGREGATE(15,6,IF(BD[CLASIFICACIÓN]=$B$2,ROW(BD[CLASIFICACIÓN])-ROW('PT2 (FILTRAR)'!$E$5)+1,NA()),ROWS($B$5:D223)),COLUMNS($B$5:D223)),"")</f>
        <v/>
      </c>
      <c r="E223" s="126" t="str">
        <f t="array" ref="E223">IFERROR(INDEX(BD[],_xlfn.AGGREGATE(15,6,IF(BD[CLASIFICACIÓN]=$B$2,ROW(BD[CLASIFICACIÓN])-ROW('PT2 (FILTRAR)'!$E$5)+1,NA()),ROWS($B$5:E223)),COLUMNS($B$5:E223)),"")</f>
        <v/>
      </c>
      <c r="F223" s="126"/>
    </row>
    <row r="224" spans="2:6" x14ac:dyDescent="0.3">
      <c r="B224" s="126" t="str">
        <f t="array" ref="B224">IFERROR(INDEX(BD[],_xlfn.AGGREGATE(15,6,IF(BD[CLASIFICACIÓN]=$B$2,ROW(BD[CLASIFICACIÓN])-ROW('PT2 (FILTRAR)'!$E$5)+1,NA()),ROWS($B$5:B224)),COLUMNS($B$5:B224)),"")</f>
        <v/>
      </c>
      <c r="C224" s="127" t="str">
        <f t="array" ref="C224">IFERROR(INDEX(BD[],_xlfn.AGGREGATE(15,6,IF(BD[CLASIFICACIÓN]=$B$2,ROW(BD[CLASIFICACIÓN])-ROW('PT2 (FILTRAR)'!$E$5)+1,NA()),ROWS($B$5:C224)),COLUMNS($B$5:C224)),"")</f>
        <v/>
      </c>
      <c r="D224" s="142" t="str">
        <f t="array" ref="D224">IFERROR(INDEX(BD[],_xlfn.AGGREGATE(15,6,IF(BD[CLASIFICACIÓN]=$B$2,ROW(BD[CLASIFICACIÓN])-ROW('PT2 (FILTRAR)'!$E$5)+1,NA()),ROWS($B$5:D224)),COLUMNS($B$5:D224)),"")</f>
        <v/>
      </c>
      <c r="E224" s="126" t="str">
        <f t="array" ref="E224">IFERROR(INDEX(BD[],_xlfn.AGGREGATE(15,6,IF(BD[CLASIFICACIÓN]=$B$2,ROW(BD[CLASIFICACIÓN])-ROW('PT2 (FILTRAR)'!$E$5)+1,NA()),ROWS($B$5:E224)),COLUMNS($B$5:E224)),"")</f>
        <v/>
      </c>
      <c r="F224" s="126"/>
    </row>
    <row r="225" spans="2:6" x14ac:dyDescent="0.3">
      <c r="B225" s="126" t="str">
        <f t="array" ref="B225">IFERROR(INDEX(BD[],_xlfn.AGGREGATE(15,6,IF(BD[CLASIFICACIÓN]=$B$2,ROW(BD[CLASIFICACIÓN])-ROW('PT2 (FILTRAR)'!$E$5)+1,NA()),ROWS($B$5:B225)),COLUMNS($B$5:B225)),"")</f>
        <v/>
      </c>
      <c r="C225" s="127" t="str">
        <f t="array" ref="C225">IFERROR(INDEX(BD[],_xlfn.AGGREGATE(15,6,IF(BD[CLASIFICACIÓN]=$B$2,ROW(BD[CLASIFICACIÓN])-ROW('PT2 (FILTRAR)'!$E$5)+1,NA()),ROWS($B$5:C225)),COLUMNS($B$5:C225)),"")</f>
        <v/>
      </c>
      <c r="D225" s="142" t="str">
        <f t="array" ref="D225">IFERROR(INDEX(BD[],_xlfn.AGGREGATE(15,6,IF(BD[CLASIFICACIÓN]=$B$2,ROW(BD[CLASIFICACIÓN])-ROW('PT2 (FILTRAR)'!$E$5)+1,NA()),ROWS($B$5:D225)),COLUMNS($B$5:D225)),"")</f>
        <v/>
      </c>
      <c r="E225" s="126" t="str">
        <f t="array" ref="E225">IFERROR(INDEX(BD[],_xlfn.AGGREGATE(15,6,IF(BD[CLASIFICACIÓN]=$B$2,ROW(BD[CLASIFICACIÓN])-ROW('PT2 (FILTRAR)'!$E$5)+1,NA()),ROWS($B$5:E225)),COLUMNS($B$5:E225)),"")</f>
        <v/>
      </c>
      <c r="F225" s="126"/>
    </row>
    <row r="226" spans="2:6" x14ac:dyDescent="0.3">
      <c r="B226" s="126" t="str">
        <f t="array" ref="B226">IFERROR(INDEX(BD[],_xlfn.AGGREGATE(15,6,IF(BD[CLASIFICACIÓN]=$B$2,ROW(BD[CLASIFICACIÓN])-ROW('PT2 (FILTRAR)'!$E$5)+1,NA()),ROWS($B$5:B226)),COLUMNS($B$5:B226)),"")</f>
        <v/>
      </c>
      <c r="C226" s="127" t="str">
        <f t="array" ref="C226">IFERROR(INDEX(BD[],_xlfn.AGGREGATE(15,6,IF(BD[CLASIFICACIÓN]=$B$2,ROW(BD[CLASIFICACIÓN])-ROW('PT2 (FILTRAR)'!$E$5)+1,NA()),ROWS($B$5:C226)),COLUMNS($B$5:C226)),"")</f>
        <v/>
      </c>
      <c r="D226" s="142" t="str">
        <f t="array" ref="D226">IFERROR(INDEX(BD[],_xlfn.AGGREGATE(15,6,IF(BD[CLASIFICACIÓN]=$B$2,ROW(BD[CLASIFICACIÓN])-ROW('PT2 (FILTRAR)'!$E$5)+1,NA()),ROWS($B$5:D226)),COLUMNS($B$5:D226)),"")</f>
        <v/>
      </c>
      <c r="E226" s="126" t="str">
        <f t="array" ref="E226">IFERROR(INDEX(BD[],_xlfn.AGGREGATE(15,6,IF(BD[CLASIFICACIÓN]=$B$2,ROW(BD[CLASIFICACIÓN])-ROW('PT2 (FILTRAR)'!$E$5)+1,NA()),ROWS($B$5:E226)),COLUMNS($B$5:E226)),"")</f>
        <v/>
      </c>
      <c r="F226" s="126"/>
    </row>
    <row r="227" spans="2:6" x14ac:dyDescent="0.3">
      <c r="B227" s="126" t="str">
        <f t="array" ref="B227">IFERROR(INDEX(BD[],_xlfn.AGGREGATE(15,6,IF(BD[CLASIFICACIÓN]=$B$2,ROW(BD[CLASIFICACIÓN])-ROW('PT2 (FILTRAR)'!$E$5)+1,NA()),ROWS($B$5:B227)),COLUMNS($B$5:B227)),"")</f>
        <v/>
      </c>
      <c r="C227" s="127" t="str">
        <f t="array" ref="C227">IFERROR(INDEX(BD[],_xlfn.AGGREGATE(15,6,IF(BD[CLASIFICACIÓN]=$B$2,ROW(BD[CLASIFICACIÓN])-ROW('PT2 (FILTRAR)'!$E$5)+1,NA()),ROWS($B$5:C227)),COLUMNS($B$5:C227)),"")</f>
        <v/>
      </c>
      <c r="D227" s="142" t="str">
        <f t="array" ref="D227">IFERROR(INDEX(BD[],_xlfn.AGGREGATE(15,6,IF(BD[CLASIFICACIÓN]=$B$2,ROW(BD[CLASIFICACIÓN])-ROW('PT2 (FILTRAR)'!$E$5)+1,NA()),ROWS($B$5:D227)),COLUMNS($B$5:D227)),"")</f>
        <v/>
      </c>
      <c r="E227" s="126" t="str">
        <f t="array" ref="E227">IFERROR(INDEX(BD[],_xlfn.AGGREGATE(15,6,IF(BD[CLASIFICACIÓN]=$B$2,ROW(BD[CLASIFICACIÓN])-ROW('PT2 (FILTRAR)'!$E$5)+1,NA()),ROWS($B$5:E227)),COLUMNS($B$5:E227)),"")</f>
        <v/>
      </c>
      <c r="F227" s="126"/>
    </row>
    <row r="228" spans="2:6" x14ac:dyDescent="0.3">
      <c r="B228" s="126" t="str">
        <f t="array" ref="B228">IFERROR(INDEX(BD[],_xlfn.AGGREGATE(15,6,IF(BD[CLASIFICACIÓN]=$B$2,ROW(BD[CLASIFICACIÓN])-ROW('PT2 (FILTRAR)'!$E$5)+1,NA()),ROWS($B$5:B228)),COLUMNS($B$5:B228)),"")</f>
        <v/>
      </c>
      <c r="C228" s="127" t="str">
        <f t="array" ref="C228">IFERROR(INDEX(BD[],_xlfn.AGGREGATE(15,6,IF(BD[CLASIFICACIÓN]=$B$2,ROW(BD[CLASIFICACIÓN])-ROW('PT2 (FILTRAR)'!$E$5)+1,NA()),ROWS($B$5:C228)),COLUMNS($B$5:C228)),"")</f>
        <v/>
      </c>
      <c r="D228" s="142" t="str">
        <f t="array" ref="D228">IFERROR(INDEX(BD[],_xlfn.AGGREGATE(15,6,IF(BD[CLASIFICACIÓN]=$B$2,ROW(BD[CLASIFICACIÓN])-ROW('PT2 (FILTRAR)'!$E$5)+1,NA()),ROWS($B$5:D228)),COLUMNS($B$5:D228)),"")</f>
        <v/>
      </c>
      <c r="E228" s="126" t="str">
        <f t="array" ref="E228">IFERROR(INDEX(BD[],_xlfn.AGGREGATE(15,6,IF(BD[CLASIFICACIÓN]=$B$2,ROW(BD[CLASIFICACIÓN])-ROW('PT2 (FILTRAR)'!$E$5)+1,NA()),ROWS($B$5:E228)),COLUMNS($B$5:E228)),"")</f>
        <v/>
      </c>
      <c r="F228" s="126"/>
    </row>
    <row r="229" spans="2:6" x14ac:dyDescent="0.3">
      <c r="B229" s="126" t="str">
        <f t="array" ref="B229">IFERROR(INDEX(BD[],_xlfn.AGGREGATE(15,6,IF(BD[CLASIFICACIÓN]=$B$2,ROW(BD[CLASIFICACIÓN])-ROW('PT2 (FILTRAR)'!$E$5)+1,NA()),ROWS($B$5:B229)),COLUMNS($B$5:B229)),"")</f>
        <v/>
      </c>
      <c r="C229" s="127" t="str">
        <f t="array" ref="C229">IFERROR(INDEX(BD[],_xlfn.AGGREGATE(15,6,IF(BD[CLASIFICACIÓN]=$B$2,ROW(BD[CLASIFICACIÓN])-ROW('PT2 (FILTRAR)'!$E$5)+1,NA()),ROWS($B$5:C229)),COLUMNS($B$5:C229)),"")</f>
        <v/>
      </c>
      <c r="D229" s="142" t="str">
        <f t="array" ref="D229">IFERROR(INDEX(BD[],_xlfn.AGGREGATE(15,6,IF(BD[CLASIFICACIÓN]=$B$2,ROW(BD[CLASIFICACIÓN])-ROW('PT2 (FILTRAR)'!$E$5)+1,NA()),ROWS($B$5:D229)),COLUMNS($B$5:D229)),"")</f>
        <v/>
      </c>
      <c r="E229" s="126" t="str">
        <f t="array" ref="E229">IFERROR(INDEX(BD[],_xlfn.AGGREGATE(15,6,IF(BD[CLASIFICACIÓN]=$B$2,ROW(BD[CLASIFICACIÓN])-ROW('PT2 (FILTRAR)'!$E$5)+1,NA()),ROWS($B$5:E229)),COLUMNS($B$5:E229)),"")</f>
        <v/>
      </c>
      <c r="F229" s="126"/>
    </row>
    <row r="230" spans="2:6" x14ac:dyDescent="0.3">
      <c r="B230" s="126" t="str">
        <f t="array" ref="B230">IFERROR(INDEX(BD[],_xlfn.AGGREGATE(15,6,IF(BD[CLASIFICACIÓN]=$B$2,ROW(BD[CLASIFICACIÓN])-ROW('PT2 (FILTRAR)'!$E$5)+1,NA()),ROWS($B$5:B230)),COLUMNS($B$5:B230)),"")</f>
        <v/>
      </c>
      <c r="C230" s="127" t="str">
        <f t="array" ref="C230">IFERROR(INDEX(BD[],_xlfn.AGGREGATE(15,6,IF(BD[CLASIFICACIÓN]=$B$2,ROW(BD[CLASIFICACIÓN])-ROW('PT2 (FILTRAR)'!$E$5)+1,NA()),ROWS($B$5:C230)),COLUMNS($B$5:C230)),"")</f>
        <v/>
      </c>
      <c r="D230" s="142" t="str">
        <f t="array" ref="D230">IFERROR(INDEX(BD[],_xlfn.AGGREGATE(15,6,IF(BD[CLASIFICACIÓN]=$B$2,ROW(BD[CLASIFICACIÓN])-ROW('PT2 (FILTRAR)'!$E$5)+1,NA()),ROWS($B$5:D230)),COLUMNS($B$5:D230)),"")</f>
        <v/>
      </c>
      <c r="E230" s="126" t="str">
        <f t="array" ref="E230">IFERROR(INDEX(BD[],_xlfn.AGGREGATE(15,6,IF(BD[CLASIFICACIÓN]=$B$2,ROW(BD[CLASIFICACIÓN])-ROW('PT2 (FILTRAR)'!$E$5)+1,NA()),ROWS($B$5:E230)),COLUMNS($B$5:E230)),"")</f>
        <v/>
      </c>
      <c r="F230" s="126"/>
    </row>
    <row r="231" spans="2:6" x14ac:dyDescent="0.3">
      <c r="B231" s="126" t="str">
        <f t="array" ref="B231">IFERROR(INDEX(BD[],_xlfn.AGGREGATE(15,6,IF(BD[CLASIFICACIÓN]=$B$2,ROW(BD[CLASIFICACIÓN])-ROW('PT2 (FILTRAR)'!$E$5)+1,NA()),ROWS($B$5:B231)),COLUMNS($B$5:B231)),"")</f>
        <v/>
      </c>
      <c r="C231" s="127" t="str">
        <f t="array" ref="C231">IFERROR(INDEX(BD[],_xlfn.AGGREGATE(15,6,IF(BD[CLASIFICACIÓN]=$B$2,ROW(BD[CLASIFICACIÓN])-ROW('PT2 (FILTRAR)'!$E$5)+1,NA()),ROWS($B$5:C231)),COLUMNS($B$5:C231)),"")</f>
        <v/>
      </c>
      <c r="D231" s="142" t="str">
        <f t="array" ref="D231">IFERROR(INDEX(BD[],_xlfn.AGGREGATE(15,6,IF(BD[CLASIFICACIÓN]=$B$2,ROW(BD[CLASIFICACIÓN])-ROW('PT2 (FILTRAR)'!$E$5)+1,NA()),ROWS($B$5:D231)),COLUMNS($B$5:D231)),"")</f>
        <v/>
      </c>
      <c r="E231" s="126" t="str">
        <f t="array" ref="E231">IFERROR(INDEX(BD[],_xlfn.AGGREGATE(15,6,IF(BD[CLASIFICACIÓN]=$B$2,ROW(BD[CLASIFICACIÓN])-ROW('PT2 (FILTRAR)'!$E$5)+1,NA()),ROWS($B$5:E231)),COLUMNS($B$5:E231)),"")</f>
        <v/>
      </c>
      <c r="F231" s="126"/>
    </row>
    <row r="232" spans="2:6" x14ac:dyDescent="0.3">
      <c r="B232" s="126" t="str">
        <f t="array" ref="B232">IFERROR(INDEX(BD[],_xlfn.AGGREGATE(15,6,IF(BD[CLASIFICACIÓN]=$B$2,ROW(BD[CLASIFICACIÓN])-ROW('PT2 (FILTRAR)'!$E$5)+1,NA()),ROWS($B$5:B232)),COLUMNS($B$5:B232)),"")</f>
        <v/>
      </c>
      <c r="C232" s="127" t="str">
        <f t="array" ref="C232">IFERROR(INDEX(BD[],_xlfn.AGGREGATE(15,6,IF(BD[CLASIFICACIÓN]=$B$2,ROW(BD[CLASIFICACIÓN])-ROW('PT2 (FILTRAR)'!$E$5)+1,NA()),ROWS($B$5:C232)),COLUMNS($B$5:C232)),"")</f>
        <v/>
      </c>
      <c r="D232" s="142" t="str">
        <f t="array" ref="D232">IFERROR(INDEX(BD[],_xlfn.AGGREGATE(15,6,IF(BD[CLASIFICACIÓN]=$B$2,ROW(BD[CLASIFICACIÓN])-ROW('PT2 (FILTRAR)'!$E$5)+1,NA()),ROWS($B$5:D232)),COLUMNS($B$5:D232)),"")</f>
        <v/>
      </c>
      <c r="E232" s="126" t="str">
        <f t="array" ref="E232">IFERROR(INDEX(BD[],_xlfn.AGGREGATE(15,6,IF(BD[CLASIFICACIÓN]=$B$2,ROW(BD[CLASIFICACIÓN])-ROW('PT2 (FILTRAR)'!$E$5)+1,NA()),ROWS($B$5:E232)),COLUMNS($B$5:E232)),"")</f>
        <v/>
      </c>
      <c r="F232" s="126"/>
    </row>
    <row r="233" spans="2:6" x14ac:dyDescent="0.3">
      <c r="B233" s="126" t="str">
        <f t="array" ref="B233">IFERROR(INDEX(BD[],_xlfn.AGGREGATE(15,6,IF(BD[CLASIFICACIÓN]=$B$2,ROW(BD[CLASIFICACIÓN])-ROW('PT2 (FILTRAR)'!$E$5)+1,NA()),ROWS($B$5:B233)),COLUMNS($B$5:B233)),"")</f>
        <v/>
      </c>
      <c r="C233" s="127" t="str">
        <f t="array" ref="C233">IFERROR(INDEX(BD[],_xlfn.AGGREGATE(15,6,IF(BD[CLASIFICACIÓN]=$B$2,ROW(BD[CLASIFICACIÓN])-ROW('PT2 (FILTRAR)'!$E$5)+1,NA()),ROWS($B$5:C233)),COLUMNS($B$5:C233)),"")</f>
        <v/>
      </c>
      <c r="D233" s="142" t="str">
        <f t="array" ref="D233">IFERROR(INDEX(BD[],_xlfn.AGGREGATE(15,6,IF(BD[CLASIFICACIÓN]=$B$2,ROW(BD[CLASIFICACIÓN])-ROW('PT2 (FILTRAR)'!$E$5)+1,NA()),ROWS($B$5:D233)),COLUMNS($B$5:D233)),"")</f>
        <v/>
      </c>
      <c r="E233" s="126" t="str">
        <f t="array" ref="E233">IFERROR(INDEX(BD[],_xlfn.AGGREGATE(15,6,IF(BD[CLASIFICACIÓN]=$B$2,ROW(BD[CLASIFICACIÓN])-ROW('PT2 (FILTRAR)'!$E$5)+1,NA()),ROWS($B$5:E233)),COLUMNS($B$5:E233)),"")</f>
        <v/>
      </c>
      <c r="F233" s="126"/>
    </row>
    <row r="234" spans="2:6" x14ac:dyDescent="0.3">
      <c r="B234" s="126" t="str">
        <f t="array" ref="B234">IFERROR(INDEX(BD[],_xlfn.AGGREGATE(15,6,IF(BD[CLASIFICACIÓN]=$B$2,ROW(BD[CLASIFICACIÓN])-ROW('PT2 (FILTRAR)'!$E$5)+1,NA()),ROWS($B$5:B234)),COLUMNS($B$5:B234)),"")</f>
        <v/>
      </c>
      <c r="C234" s="127" t="str">
        <f t="array" ref="C234">IFERROR(INDEX(BD[],_xlfn.AGGREGATE(15,6,IF(BD[CLASIFICACIÓN]=$B$2,ROW(BD[CLASIFICACIÓN])-ROW('PT2 (FILTRAR)'!$E$5)+1,NA()),ROWS($B$5:C234)),COLUMNS($B$5:C234)),"")</f>
        <v/>
      </c>
      <c r="D234" s="142" t="str">
        <f t="array" ref="D234">IFERROR(INDEX(BD[],_xlfn.AGGREGATE(15,6,IF(BD[CLASIFICACIÓN]=$B$2,ROW(BD[CLASIFICACIÓN])-ROW('PT2 (FILTRAR)'!$E$5)+1,NA()),ROWS($B$5:D234)),COLUMNS($B$5:D234)),"")</f>
        <v/>
      </c>
      <c r="E234" s="126" t="str">
        <f t="array" ref="E234">IFERROR(INDEX(BD[],_xlfn.AGGREGATE(15,6,IF(BD[CLASIFICACIÓN]=$B$2,ROW(BD[CLASIFICACIÓN])-ROW('PT2 (FILTRAR)'!$E$5)+1,NA()),ROWS($B$5:E234)),COLUMNS($B$5:E234)),"")</f>
        <v/>
      </c>
      <c r="F234" s="126"/>
    </row>
    <row r="235" spans="2:6" x14ac:dyDescent="0.3">
      <c r="B235" s="126" t="str">
        <f t="array" ref="B235">IFERROR(INDEX(BD[],_xlfn.AGGREGATE(15,6,IF(BD[CLASIFICACIÓN]=$B$2,ROW(BD[CLASIFICACIÓN])-ROW('PT2 (FILTRAR)'!$E$5)+1,NA()),ROWS($B$5:B235)),COLUMNS($B$5:B235)),"")</f>
        <v/>
      </c>
      <c r="C235" s="127" t="str">
        <f t="array" ref="C235">IFERROR(INDEX(BD[],_xlfn.AGGREGATE(15,6,IF(BD[CLASIFICACIÓN]=$B$2,ROW(BD[CLASIFICACIÓN])-ROW('PT2 (FILTRAR)'!$E$5)+1,NA()),ROWS($B$5:C235)),COLUMNS($B$5:C235)),"")</f>
        <v/>
      </c>
      <c r="D235" s="142" t="str">
        <f t="array" ref="D235">IFERROR(INDEX(BD[],_xlfn.AGGREGATE(15,6,IF(BD[CLASIFICACIÓN]=$B$2,ROW(BD[CLASIFICACIÓN])-ROW('PT2 (FILTRAR)'!$E$5)+1,NA()),ROWS($B$5:D235)),COLUMNS($B$5:D235)),"")</f>
        <v/>
      </c>
      <c r="E235" s="126" t="str">
        <f t="array" ref="E235">IFERROR(INDEX(BD[],_xlfn.AGGREGATE(15,6,IF(BD[CLASIFICACIÓN]=$B$2,ROW(BD[CLASIFICACIÓN])-ROW('PT2 (FILTRAR)'!$E$5)+1,NA()),ROWS($B$5:E235)),COLUMNS($B$5:E235)),"")</f>
        <v/>
      </c>
      <c r="F235" s="126"/>
    </row>
    <row r="236" spans="2:6" x14ac:dyDescent="0.3">
      <c r="B236" s="126" t="str">
        <f t="array" ref="B236">IFERROR(INDEX(BD[],_xlfn.AGGREGATE(15,6,IF(BD[CLASIFICACIÓN]=$B$2,ROW(BD[CLASIFICACIÓN])-ROW('PT2 (FILTRAR)'!$E$5)+1,NA()),ROWS($B$5:B236)),COLUMNS($B$5:B236)),"")</f>
        <v/>
      </c>
      <c r="C236" s="127" t="str">
        <f t="array" ref="C236">IFERROR(INDEX(BD[],_xlfn.AGGREGATE(15,6,IF(BD[CLASIFICACIÓN]=$B$2,ROW(BD[CLASIFICACIÓN])-ROW('PT2 (FILTRAR)'!$E$5)+1,NA()),ROWS($B$5:C236)),COLUMNS($B$5:C236)),"")</f>
        <v/>
      </c>
      <c r="D236" s="142" t="str">
        <f t="array" ref="D236">IFERROR(INDEX(BD[],_xlfn.AGGREGATE(15,6,IF(BD[CLASIFICACIÓN]=$B$2,ROW(BD[CLASIFICACIÓN])-ROW('PT2 (FILTRAR)'!$E$5)+1,NA()),ROWS($B$5:D236)),COLUMNS($B$5:D236)),"")</f>
        <v/>
      </c>
      <c r="E236" s="126" t="str">
        <f t="array" ref="E236">IFERROR(INDEX(BD[],_xlfn.AGGREGATE(15,6,IF(BD[CLASIFICACIÓN]=$B$2,ROW(BD[CLASIFICACIÓN])-ROW('PT2 (FILTRAR)'!$E$5)+1,NA()),ROWS($B$5:E236)),COLUMNS($B$5:E236)),"")</f>
        <v/>
      </c>
      <c r="F236" s="126"/>
    </row>
    <row r="237" spans="2:6" x14ac:dyDescent="0.3">
      <c r="B237" s="126" t="str">
        <f t="array" ref="B237">IFERROR(INDEX(BD[],_xlfn.AGGREGATE(15,6,IF(BD[CLASIFICACIÓN]=$B$2,ROW(BD[CLASIFICACIÓN])-ROW('PT2 (FILTRAR)'!$E$5)+1,NA()),ROWS($B$5:B237)),COLUMNS($B$5:B237)),"")</f>
        <v/>
      </c>
      <c r="C237" s="127" t="str">
        <f t="array" ref="C237">IFERROR(INDEX(BD[],_xlfn.AGGREGATE(15,6,IF(BD[CLASIFICACIÓN]=$B$2,ROW(BD[CLASIFICACIÓN])-ROW('PT2 (FILTRAR)'!$E$5)+1,NA()),ROWS($B$5:C237)),COLUMNS($B$5:C237)),"")</f>
        <v/>
      </c>
      <c r="D237" s="142" t="str">
        <f t="array" ref="D237">IFERROR(INDEX(BD[],_xlfn.AGGREGATE(15,6,IF(BD[CLASIFICACIÓN]=$B$2,ROW(BD[CLASIFICACIÓN])-ROW('PT2 (FILTRAR)'!$E$5)+1,NA()),ROWS($B$5:D237)),COLUMNS($B$5:D237)),"")</f>
        <v/>
      </c>
      <c r="E237" s="126" t="str">
        <f t="array" ref="E237">IFERROR(INDEX(BD[],_xlfn.AGGREGATE(15,6,IF(BD[CLASIFICACIÓN]=$B$2,ROW(BD[CLASIFICACIÓN])-ROW('PT2 (FILTRAR)'!$E$5)+1,NA()),ROWS($B$5:E237)),COLUMNS($B$5:E237)),"")</f>
        <v/>
      </c>
      <c r="F237" s="126"/>
    </row>
    <row r="238" spans="2:6" x14ac:dyDescent="0.3">
      <c r="B238" s="126" t="str">
        <f t="array" ref="B238">IFERROR(INDEX(BD[],_xlfn.AGGREGATE(15,6,IF(BD[CLASIFICACIÓN]=$B$2,ROW(BD[CLASIFICACIÓN])-ROW('PT2 (FILTRAR)'!$E$5)+1,NA()),ROWS($B$5:B238)),COLUMNS($B$5:B238)),"")</f>
        <v/>
      </c>
      <c r="C238" s="127" t="str">
        <f t="array" ref="C238">IFERROR(INDEX(BD[],_xlfn.AGGREGATE(15,6,IF(BD[CLASIFICACIÓN]=$B$2,ROW(BD[CLASIFICACIÓN])-ROW('PT2 (FILTRAR)'!$E$5)+1,NA()),ROWS($B$5:C238)),COLUMNS($B$5:C238)),"")</f>
        <v/>
      </c>
      <c r="D238" s="142" t="str">
        <f t="array" ref="D238">IFERROR(INDEX(BD[],_xlfn.AGGREGATE(15,6,IF(BD[CLASIFICACIÓN]=$B$2,ROW(BD[CLASIFICACIÓN])-ROW('PT2 (FILTRAR)'!$E$5)+1,NA()),ROWS($B$5:D238)),COLUMNS($B$5:D238)),"")</f>
        <v/>
      </c>
      <c r="E238" s="126" t="str">
        <f t="array" ref="E238">IFERROR(INDEX(BD[],_xlfn.AGGREGATE(15,6,IF(BD[CLASIFICACIÓN]=$B$2,ROW(BD[CLASIFICACIÓN])-ROW('PT2 (FILTRAR)'!$E$5)+1,NA()),ROWS($B$5:E238)),COLUMNS($B$5:E238)),"")</f>
        <v/>
      </c>
      <c r="F238" s="126"/>
    </row>
    <row r="239" spans="2:6" x14ac:dyDescent="0.3">
      <c r="B239" s="126" t="str">
        <f t="array" ref="B239">IFERROR(INDEX(BD[],_xlfn.AGGREGATE(15,6,IF(BD[CLASIFICACIÓN]=$B$2,ROW(BD[CLASIFICACIÓN])-ROW('PT2 (FILTRAR)'!$E$5)+1,NA()),ROWS($B$5:B239)),COLUMNS($B$5:B239)),"")</f>
        <v/>
      </c>
      <c r="C239" s="127" t="str">
        <f t="array" ref="C239">IFERROR(INDEX(BD[],_xlfn.AGGREGATE(15,6,IF(BD[CLASIFICACIÓN]=$B$2,ROW(BD[CLASIFICACIÓN])-ROW('PT2 (FILTRAR)'!$E$5)+1,NA()),ROWS($B$5:C239)),COLUMNS($B$5:C239)),"")</f>
        <v/>
      </c>
      <c r="D239" s="142" t="str">
        <f t="array" ref="D239">IFERROR(INDEX(BD[],_xlfn.AGGREGATE(15,6,IF(BD[CLASIFICACIÓN]=$B$2,ROW(BD[CLASIFICACIÓN])-ROW('PT2 (FILTRAR)'!$E$5)+1,NA()),ROWS($B$5:D239)),COLUMNS($B$5:D239)),"")</f>
        <v/>
      </c>
      <c r="E239" s="126" t="str">
        <f t="array" ref="E239">IFERROR(INDEX(BD[],_xlfn.AGGREGATE(15,6,IF(BD[CLASIFICACIÓN]=$B$2,ROW(BD[CLASIFICACIÓN])-ROW('PT2 (FILTRAR)'!$E$5)+1,NA()),ROWS($B$5:E239)),COLUMNS($B$5:E239)),"")</f>
        <v/>
      </c>
      <c r="F239" s="126"/>
    </row>
    <row r="240" spans="2:6" x14ac:dyDescent="0.3">
      <c r="B240" s="126" t="str">
        <f t="array" ref="B240">IFERROR(INDEX(BD[],_xlfn.AGGREGATE(15,6,IF(BD[CLASIFICACIÓN]=$B$2,ROW(BD[CLASIFICACIÓN])-ROW('PT2 (FILTRAR)'!$E$5)+1,NA()),ROWS($B$5:B240)),COLUMNS($B$5:B240)),"")</f>
        <v/>
      </c>
      <c r="C240" s="127" t="str">
        <f t="array" ref="C240">IFERROR(INDEX(BD[],_xlfn.AGGREGATE(15,6,IF(BD[CLASIFICACIÓN]=$B$2,ROW(BD[CLASIFICACIÓN])-ROW('PT2 (FILTRAR)'!$E$5)+1,NA()),ROWS($B$5:C240)),COLUMNS($B$5:C240)),"")</f>
        <v/>
      </c>
      <c r="D240" s="142" t="str">
        <f t="array" ref="D240">IFERROR(INDEX(BD[],_xlfn.AGGREGATE(15,6,IF(BD[CLASIFICACIÓN]=$B$2,ROW(BD[CLASIFICACIÓN])-ROW('PT2 (FILTRAR)'!$E$5)+1,NA()),ROWS($B$5:D240)),COLUMNS($B$5:D240)),"")</f>
        <v/>
      </c>
      <c r="E240" s="126" t="str">
        <f t="array" ref="E240">IFERROR(INDEX(BD[],_xlfn.AGGREGATE(15,6,IF(BD[CLASIFICACIÓN]=$B$2,ROW(BD[CLASIFICACIÓN])-ROW('PT2 (FILTRAR)'!$E$5)+1,NA()),ROWS($B$5:E240)),COLUMNS($B$5:E240)),"")</f>
        <v/>
      </c>
      <c r="F240" s="126"/>
    </row>
    <row r="241" spans="2:6" x14ac:dyDescent="0.3">
      <c r="B241" s="126" t="str">
        <f t="array" ref="B241">IFERROR(INDEX(BD[],_xlfn.AGGREGATE(15,6,IF(BD[CLASIFICACIÓN]=$B$2,ROW(BD[CLASIFICACIÓN])-ROW('PT2 (FILTRAR)'!$E$5)+1,NA()),ROWS($B$5:B241)),COLUMNS($B$5:B241)),"")</f>
        <v/>
      </c>
      <c r="C241" s="127" t="str">
        <f t="array" ref="C241">IFERROR(INDEX(BD[],_xlfn.AGGREGATE(15,6,IF(BD[CLASIFICACIÓN]=$B$2,ROW(BD[CLASIFICACIÓN])-ROW('PT2 (FILTRAR)'!$E$5)+1,NA()),ROWS($B$5:C241)),COLUMNS($B$5:C241)),"")</f>
        <v/>
      </c>
      <c r="D241" s="142" t="str">
        <f t="array" ref="D241">IFERROR(INDEX(BD[],_xlfn.AGGREGATE(15,6,IF(BD[CLASIFICACIÓN]=$B$2,ROW(BD[CLASIFICACIÓN])-ROW('PT2 (FILTRAR)'!$E$5)+1,NA()),ROWS($B$5:D241)),COLUMNS($B$5:D241)),"")</f>
        <v/>
      </c>
      <c r="E241" s="126" t="str">
        <f t="array" ref="E241">IFERROR(INDEX(BD[],_xlfn.AGGREGATE(15,6,IF(BD[CLASIFICACIÓN]=$B$2,ROW(BD[CLASIFICACIÓN])-ROW('PT2 (FILTRAR)'!$E$5)+1,NA()),ROWS($B$5:E241)),COLUMNS($B$5:E241)),"")</f>
        <v/>
      </c>
      <c r="F241" s="126"/>
    </row>
    <row r="242" spans="2:6" x14ac:dyDescent="0.3">
      <c r="B242" s="126" t="str">
        <f t="array" ref="B242">IFERROR(INDEX(BD[],_xlfn.AGGREGATE(15,6,IF(BD[CLASIFICACIÓN]=$B$2,ROW(BD[CLASIFICACIÓN])-ROW('PT2 (FILTRAR)'!$E$5)+1,NA()),ROWS($B$5:B242)),COLUMNS($B$5:B242)),"")</f>
        <v/>
      </c>
      <c r="C242" s="127" t="str">
        <f t="array" ref="C242">IFERROR(INDEX(BD[],_xlfn.AGGREGATE(15,6,IF(BD[CLASIFICACIÓN]=$B$2,ROW(BD[CLASIFICACIÓN])-ROW('PT2 (FILTRAR)'!$E$5)+1,NA()),ROWS($B$5:C242)),COLUMNS($B$5:C242)),"")</f>
        <v/>
      </c>
      <c r="D242" s="142" t="str">
        <f t="array" ref="D242">IFERROR(INDEX(BD[],_xlfn.AGGREGATE(15,6,IF(BD[CLASIFICACIÓN]=$B$2,ROW(BD[CLASIFICACIÓN])-ROW('PT2 (FILTRAR)'!$E$5)+1,NA()),ROWS($B$5:D242)),COLUMNS($B$5:D242)),"")</f>
        <v/>
      </c>
      <c r="E242" s="126" t="str">
        <f t="array" ref="E242">IFERROR(INDEX(BD[],_xlfn.AGGREGATE(15,6,IF(BD[CLASIFICACIÓN]=$B$2,ROW(BD[CLASIFICACIÓN])-ROW('PT2 (FILTRAR)'!$E$5)+1,NA()),ROWS($B$5:E242)),COLUMNS($B$5:E242)),"")</f>
        <v/>
      </c>
      <c r="F242" s="126"/>
    </row>
    <row r="243" spans="2:6" x14ac:dyDescent="0.3">
      <c r="B243" s="126" t="str">
        <f t="array" ref="B243">IFERROR(INDEX(BD[],_xlfn.AGGREGATE(15,6,IF(BD[CLASIFICACIÓN]=$B$2,ROW(BD[CLASIFICACIÓN])-ROW('PT2 (FILTRAR)'!$E$5)+1,NA()),ROWS($B$5:B243)),COLUMNS($B$5:B243)),"")</f>
        <v/>
      </c>
      <c r="C243" s="127" t="str">
        <f t="array" ref="C243">IFERROR(INDEX(BD[],_xlfn.AGGREGATE(15,6,IF(BD[CLASIFICACIÓN]=$B$2,ROW(BD[CLASIFICACIÓN])-ROW('PT2 (FILTRAR)'!$E$5)+1,NA()),ROWS($B$5:C243)),COLUMNS($B$5:C243)),"")</f>
        <v/>
      </c>
      <c r="D243" s="142" t="str">
        <f t="array" ref="D243">IFERROR(INDEX(BD[],_xlfn.AGGREGATE(15,6,IF(BD[CLASIFICACIÓN]=$B$2,ROW(BD[CLASIFICACIÓN])-ROW('PT2 (FILTRAR)'!$E$5)+1,NA()),ROWS($B$5:D243)),COLUMNS($B$5:D243)),"")</f>
        <v/>
      </c>
      <c r="E243" s="126" t="str">
        <f t="array" ref="E243">IFERROR(INDEX(BD[],_xlfn.AGGREGATE(15,6,IF(BD[CLASIFICACIÓN]=$B$2,ROW(BD[CLASIFICACIÓN])-ROW('PT2 (FILTRAR)'!$E$5)+1,NA()),ROWS($B$5:E243)),COLUMNS($B$5:E243)),"")</f>
        <v/>
      </c>
      <c r="F243" s="126"/>
    </row>
    <row r="244" spans="2:6" x14ac:dyDescent="0.3">
      <c r="B244" s="126" t="str">
        <f t="array" ref="B244">IFERROR(INDEX(BD[],_xlfn.AGGREGATE(15,6,IF(BD[CLASIFICACIÓN]=$B$2,ROW(BD[CLASIFICACIÓN])-ROW('PT2 (FILTRAR)'!$E$5)+1,NA()),ROWS($B$5:B244)),COLUMNS($B$5:B244)),"")</f>
        <v/>
      </c>
      <c r="C244" s="127" t="str">
        <f t="array" ref="C244">IFERROR(INDEX(BD[],_xlfn.AGGREGATE(15,6,IF(BD[CLASIFICACIÓN]=$B$2,ROW(BD[CLASIFICACIÓN])-ROW('PT2 (FILTRAR)'!$E$5)+1,NA()),ROWS($B$5:C244)),COLUMNS($B$5:C244)),"")</f>
        <v/>
      </c>
      <c r="D244" s="142" t="str">
        <f t="array" ref="D244">IFERROR(INDEX(BD[],_xlfn.AGGREGATE(15,6,IF(BD[CLASIFICACIÓN]=$B$2,ROW(BD[CLASIFICACIÓN])-ROW('PT2 (FILTRAR)'!$E$5)+1,NA()),ROWS($B$5:D244)),COLUMNS($B$5:D244)),"")</f>
        <v/>
      </c>
      <c r="E244" s="126" t="str">
        <f t="array" ref="E244">IFERROR(INDEX(BD[],_xlfn.AGGREGATE(15,6,IF(BD[CLASIFICACIÓN]=$B$2,ROW(BD[CLASIFICACIÓN])-ROW('PT2 (FILTRAR)'!$E$5)+1,NA()),ROWS($B$5:E244)),COLUMNS($B$5:E244)),"")</f>
        <v/>
      </c>
      <c r="F244" s="126"/>
    </row>
    <row r="245" spans="2:6" x14ac:dyDescent="0.3">
      <c r="B245" s="126" t="str">
        <f t="array" ref="B245">IFERROR(INDEX(BD[],_xlfn.AGGREGATE(15,6,IF(BD[CLASIFICACIÓN]=$B$2,ROW(BD[CLASIFICACIÓN])-ROW('PT2 (FILTRAR)'!$E$5)+1,NA()),ROWS($B$5:B245)),COLUMNS($B$5:B245)),"")</f>
        <v/>
      </c>
      <c r="C245" s="127" t="str">
        <f t="array" ref="C245">IFERROR(INDEX(BD[],_xlfn.AGGREGATE(15,6,IF(BD[CLASIFICACIÓN]=$B$2,ROW(BD[CLASIFICACIÓN])-ROW('PT2 (FILTRAR)'!$E$5)+1,NA()),ROWS($B$5:C245)),COLUMNS($B$5:C245)),"")</f>
        <v/>
      </c>
      <c r="D245" s="142" t="str">
        <f t="array" ref="D245">IFERROR(INDEX(BD[],_xlfn.AGGREGATE(15,6,IF(BD[CLASIFICACIÓN]=$B$2,ROW(BD[CLASIFICACIÓN])-ROW('PT2 (FILTRAR)'!$E$5)+1,NA()),ROWS($B$5:D245)),COLUMNS($B$5:D245)),"")</f>
        <v/>
      </c>
      <c r="E245" s="126" t="str">
        <f t="array" ref="E245">IFERROR(INDEX(BD[],_xlfn.AGGREGATE(15,6,IF(BD[CLASIFICACIÓN]=$B$2,ROW(BD[CLASIFICACIÓN])-ROW('PT2 (FILTRAR)'!$E$5)+1,NA()),ROWS($B$5:E245)),COLUMNS($B$5:E245)),"")</f>
        <v/>
      </c>
      <c r="F245" s="126"/>
    </row>
    <row r="246" spans="2:6" x14ac:dyDescent="0.3">
      <c r="B246" s="126" t="str">
        <f t="array" ref="B246">IFERROR(INDEX(BD[],_xlfn.AGGREGATE(15,6,IF(BD[CLASIFICACIÓN]=$B$2,ROW(BD[CLASIFICACIÓN])-ROW('PT2 (FILTRAR)'!$E$5)+1,NA()),ROWS($B$5:B246)),COLUMNS($B$5:B246)),"")</f>
        <v/>
      </c>
      <c r="C246" s="127" t="str">
        <f t="array" ref="C246">IFERROR(INDEX(BD[],_xlfn.AGGREGATE(15,6,IF(BD[CLASIFICACIÓN]=$B$2,ROW(BD[CLASIFICACIÓN])-ROW('PT2 (FILTRAR)'!$E$5)+1,NA()),ROWS($B$5:C246)),COLUMNS($B$5:C246)),"")</f>
        <v/>
      </c>
      <c r="D246" s="142" t="str">
        <f t="array" ref="D246">IFERROR(INDEX(BD[],_xlfn.AGGREGATE(15,6,IF(BD[CLASIFICACIÓN]=$B$2,ROW(BD[CLASIFICACIÓN])-ROW('PT2 (FILTRAR)'!$E$5)+1,NA()),ROWS($B$5:D246)),COLUMNS($B$5:D246)),"")</f>
        <v/>
      </c>
      <c r="E246" s="126" t="str">
        <f t="array" ref="E246">IFERROR(INDEX(BD[],_xlfn.AGGREGATE(15,6,IF(BD[CLASIFICACIÓN]=$B$2,ROW(BD[CLASIFICACIÓN])-ROW('PT2 (FILTRAR)'!$E$5)+1,NA()),ROWS($B$5:E246)),COLUMNS($B$5:E246)),"")</f>
        <v/>
      </c>
      <c r="F246" s="126"/>
    </row>
    <row r="247" spans="2:6" x14ac:dyDescent="0.3">
      <c r="B247" s="126" t="str">
        <f t="array" ref="B247">IFERROR(INDEX(BD[],_xlfn.AGGREGATE(15,6,IF(BD[CLASIFICACIÓN]=$B$2,ROW(BD[CLASIFICACIÓN])-ROW('PT2 (FILTRAR)'!$E$5)+1,NA()),ROWS($B$5:B247)),COLUMNS($B$5:B247)),"")</f>
        <v/>
      </c>
      <c r="C247" s="127" t="str">
        <f t="array" ref="C247">IFERROR(INDEX(BD[],_xlfn.AGGREGATE(15,6,IF(BD[CLASIFICACIÓN]=$B$2,ROW(BD[CLASIFICACIÓN])-ROW('PT2 (FILTRAR)'!$E$5)+1,NA()),ROWS($B$5:C247)),COLUMNS($B$5:C247)),"")</f>
        <v/>
      </c>
      <c r="D247" s="142" t="str">
        <f t="array" ref="D247">IFERROR(INDEX(BD[],_xlfn.AGGREGATE(15,6,IF(BD[CLASIFICACIÓN]=$B$2,ROW(BD[CLASIFICACIÓN])-ROW('PT2 (FILTRAR)'!$E$5)+1,NA()),ROWS($B$5:D247)),COLUMNS($B$5:D247)),"")</f>
        <v/>
      </c>
      <c r="E247" s="126" t="str">
        <f t="array" ref="E247">IFERROR(INDEX(BD[],_xlfn.AGGREGATE(15,6,IF(BD[CLASIFICACIÓN]=$B$2,ROW(BD[CLASIFICACIÓN])-ROW('PT2 (FILTRAR)'!$E$5)+1,NA()),ROWS($B$5:E247)),COLUMNS($B$5:E247)),"")</f>
        <v/>
      </c>
      <c r="F247" s="126"/>
    </row>
    <row r="248" spans="2:6" x14ac:dyDescent="0.3">
      <c r="B248" s="126" t="str">
        <f t="array" ref="B248">IFERROR(INDEX(BD[],_xlfn.AGGREGATE(15,6,IF(BD[CLASIFICACIÓN]=$B$2,ROW(BD[CLASIFICACIÓN])-ROW('PT2 (FILTRAR)'!$E$5)+1,NA()),ROWS($B$5:B248)),COLUMNS($B$5:B248)),"")</f>
        <v/>
      </c>
      <c r="C248" s="127" t="str">
        <f t="array" ref="C248">IFERROR(INDEX(BD[],_xlfn.AGGREGATE(15,6,IF(BD[CLASIFICACIÓN]=$B$2,ROW(BD[CLASIFICACIÓN])-ROW('PT2 (FILTRAR)'!$E$5)+1,NA()),ROWS($B$5:C248)),COLUMNS($B$5:C248)),"")</f>
        <v/>
      </c>
      <c r="D248" s="142" t="str">
        <f t="array" ref="D248">IFERROR(INDEX(BD[],_xlfn.AGGREGATE(15,6,IF(BD[CLASIFICACIÓN]=$B$2,ROW(BD[CLASIFICACIÓN])-ROW('PT2 (FILTRAR)'!$E$5)+1,NA()),ROWS($B$5:D248)),COLUMNS($B$5:D248)),"")</f>
        <v/>
      </c>
      <c r="E248" s="126" t="str">
        <f t="array" ref="E248">IFERROR(INDEX(BD[],_xlfn.AGGREGATE(15,6,IF(BD[CLASIFICACIÓN]=$B$2,ROW(BD[CLASIFICACIÓN])-ROW('PT2 (FILTRAR)'!$E$5)+1,NA()),ROWS($B$5:E248)),COLUMNS($B$5:E248)),"")</f>
        <v/>
      </c>
      <c r="F248" s="126"/>
    </row>
    <row r="249" spans="2:6" x14ac:dyDescent="0.3">
      <c r="B249" s="126" t="str">
        <f t="array" ref="B249">IFERROR(INDEX(BD[],_xlfn.AGGREGATE(15,6,IF(BD[CLASIFICACIÓN]=$B$2,ROW(BD[CLASIFICACIÓN])-ROW('PT2 (FILTRAR)'!$E$5)+1,NA()),ROWS($B$5:B249)),COLUMNS($B$5:B249)),"")</f>
        <v/>
      </c>
      <c r="C249" s="127" t="str">
        <f t="array" ref="C249">IFERROR(INDEX(BD[],_xlfn.AGGREGATE(15,6,IF(BD[CLASIFICACIÓN]=$B$2,ROW(BD[CLASIFICACIÓN])-ROW('PT2 (FILTRAR)'!$E$5)+1,NA()),ROWS($B$5:C249)),COLUMNS($B$5:C249)),"")</f>
        <v/>
      </c>
      <c r="D249" s="142" t="str">
        <f t="array" ref="D249">IFERROR(INDEX(BD[],_xlfn.AGGREGATE(15,6,IF(BD[CLASIFICACIÓN]=$B$2,ROW(BD[CLASIFICACIÓN])-ROW('PT2 (FILTRAR)'!$E$5)+1,NA()),ROWS($B$5:D249)),COLUMNS($B$5:D249)),"")</f>
        <v/>
      </c>
      <c r="E249" s="126" t="str">
        <f t="array" ref="E249">IFERROR(INDEX(BD[],_xlfn.AGGREGATE(15,6,IF(BD[CLASIFICACIÓN]=$B$2,ROW(BD[CLASIFICACIÓN])-ROW('PT2 (FILTRAR)'!$E$5)+1,NA()),ROWS($B$5:E249)),COLUMNS($B$5:E249)),"")</f>
        <v/>
      </c>
      <c r="F249" s="126"/>
    </row>
    <row r="250" spans="2:6" x14ac:dyDescent="0.3">
      <c r="B250" s="126" t="str">
        <f t="array" ref="B250">IFERROR(INDEX(BD[],_xlfn.AGGREGATE(15,6,IF(BD[CLASIFICACIÓN]=$B$2,ROW(BD[CLASIFICACIÓN])-ROW('PT2 (FILTRAR)'!$E$5)+1,NA()),ROWS($B$5:B250)),COLUMNS($B$5:B250)),"")</f>
        <v/>
      </c>
      <c r="C250" s="127" t="str">
        <f t="array" ref="C250">IFERROR(INDEX(BD[],_xlfn.AGGREGATE(15,6,IF(BD[CLASIFICACIÓN]=$B$2,ROW(BD[CLASIFICACIÓN])-ROW('PT2 (FILTRAR)'!$E$5)+1,NA()),ROWS($B$5:C250)),COLUMNS($B$5:C250)),"")</f>
        <v/>
      </c>
      <c r="D250" s="142" t="str">
        <f t="array" ref="D250">IFERROR(INDEX(BD[],_xlfn.AGGREGATE(15,6,IF(BD[CLASIFICACIÓN]=$B$2,ROW(BD[CLASIFICACIÓN])-ROW('PT2 (FILTRAR)'!$E$5)+1,NA()),ROWS($B$5:D250)),COLUMNS($B$5:D250)),"")</f>
        <v/>
      </c>
      <c r="E250" s="126" t="str">
        <f t="array" ref="E250">IFERROR(INDEX(BD[],_xlfn.AGGREGATE(15,6,IF(BD[CLASIFICACIÓN]=$B$2,ROW(BD[CLASIFICACIÓN])-ROW('PT2 (FILTRAR)'!$E$5)+1,NA()),ROWS($B$5:E250)),COLUMNS($B$5:E250)),"")</f>
        <v/>
      </c>
      <c r="F250" s="126"/>
    </row>
    <row r="251" spans="2:6" x14ac:dyDescent="0.3">
      <c r="B251" s="126" t="str">
        <f t="array" ref="B251">IFERROR(INDEX(BD[],_xlfn.AGGREGATE(15,6,IF(BD[CLASIFICACIÓN]=$B$2,ROW(BD[CLASIFICACIÓN])-ROW('PT2 (FILTRAR)'!$E$5)+1,NA()),ROWS($B$5:B251)),COLUMNS($B$5:B251)),"")</f>
        <v/>
      </c>
      <c r="C251" s="127" t="str">
        <f t="array" ref="C251">IFERROR(INDEX(BD[],_xlfn.AGGREGATE(15,6,IF(BD[CLASIFICACIÓN]=$B$2,ROW(BD[CLASIFICACIÓN])-ROW('PT2 (FILTRAR)'!$E$5)+1,NA()),ROWS($B$5:C251)),COLUMNS($B$5:C251)),"")</f>
        <v/>
      </c>
      <c r="D251" s="142" t="str">
        <f t="array" ref="D251">IFERROR(INDEX(BD[],_xlfn.AGGREGATE(15,6,IF(BD[CLASIFICACIÓN]=$B$2,ROW(BD[CLASIFICACIÓN])-ROW('PT2 (FILTRAR)'!$E$5)+1,NA()),ROWS($B$5:D251)),COLUMNS($B$5:D251)),"")</f>
        <v/>
      </c>
      <c r="E251" s="126" t="str">
        <f t="array" ref="E251">IFERROR(INDEX(BD[],_xlfn.AGGREGATE(15,6,IF(BD[CLASIFICACIÓN]=$B$2,ROW(BD[CLASIFICACIÓN])-ROW('PT2 (FILTRAR)'!$E$5)+1,NA()),ROWS($B$5:E251)),COLUMNS($B$5:E251)),"")</f>
        <v/>
      </c>
      <c r="F251" s="126"/>
    </row>
    <row r="252" spans="2:6" x14ac:dyDescent="0.3">
      <c r="B252" s="126" t="str">
        <f t="array" ref="B252">IFERROR(INDEX(BD[],_xlfn.AGGREGATE(15,6,IF(BD[CLASIFICACIÓN]=$B$2,ROW(BD[CLASIFICACIÓN])-ROW('PT2 (FILTRAR)'!$E$5)+1,NA()),ROWS($B$5:B252)),COLUMNS($B$5:B252)),"")</f>
        <v/>
      </c>
      <c r="C252" s="127" t="str">
        <f t="array" ref="C252">IFERROR(INDEX(BD[],_xlfn.AGGREGATE(15,6,IF(BD[CLASIFICACIÓN]=$B$2,ROW(BD[CLASIFICACIÓN])-ROW('PT2 (FILTRAR)'!$E$5)+1,NA()),ROWS($B$5:C252)),COLUMNS($B$5:C252)),"")</f>
        <v/>
      </c>
      <c r="D252" s="142" t="str">
        <f t="array" ref="D252">IFERROR(INDEX(BD[],_xlfn.AGGREGATE(15,6,IF(BD[CLASIFICACIÓN]=$B$2,ROW(BD[CLASIFICACIÓN])-ROW('PT2 (FILTRAR)'!$E$5)+1,NA()),ROWS($B$5:D252)),COLUMNS($B$5:D252)),"")</f>
        <v/>
      </c>
      <c r="E252" s="126" t="str">
        <f t="array" ref="E252">IFERROR(INDEX(BD[],_xlfn.AGGREGATE(15,6,IF(BD[CLASIFICACIÓN]=$B$2,ROW(BD[CLASIFICACIÓN])-ROW('PT2 (FILTRAR)'!$E$5)+1,NA()),ROWS($B$5:E252)),COLUMNS($B$5:E252)),"")</f>
        <v/>
      </c>
      <c r="F252" s="126"/>
    </row>
    <row r="253" spans="2:6" x14ac:dyDescent="0.3">
      <c r="B253" s="126" t="str">
        <f t="array" ref="B253">IFERROR(INDEX(BD[],_xlfn.AGGREGATE(15,6,IF(BD[CLASIFICACIÓN]=$B$2,ROW(BD[CLASIFICACIÓN])-ROW('PT2 (FILTRAR)'!$E$5)+1,NA()),ROWS($B$5:B253)),COLUMNS($B$5:B253)),"")</f>
        <v/>
      </c>
      <c r="C253" s="127" t="str">
        <f t="array" ref="C253">IFERROR(INDEX(BD[],_xlfn.AGGREGATE(15,6,IF(BD[CLASIFICACIÓN]=$B$2,ROW(BD[CLASIFICACIÓN])-ROW('PT2 (FILTRAR)'!$E$5)+1,NA()),ROWS($B$5:C253)),COLUMNS($B$5:C253)),"")</f>
        <v/>
      </c>
      <c r="D253" s="142" t="str">
        <f t="array" ref="D253">IFERROR(INDEX(BD[],_xlfn.AGGREGATE(15,6,IF(BD[CLASIFICACIÓN]=$B$2,ROW(BD[CLASIFICACIÓN])-ROW('PT2 (FILTRAR)'!$E$5)+1,NA()),ROWS($B$5:D253)),COLUMNS($B$5:D253)),"")</f>
        <v/>
      </c>
      <c r="E253" s="126" t="str">
        <f t="array" ref="E253">IFERROR(INDEX(BD[],_xlfn.AGGREGATE(15,6,IF(BD[CLASIFICACIÓN]=$B$2,ROW(BD[CLASIFICACIÓN])-ROW('PT2 (FILTRAR)'!$E$5)+1,NA()),ROWS($B$5:E253)),COLUMNS($B$5:E253)),"")</f>
        <v/>
      </c>
      <c r="F253" s="126"/>
    </row>
    <row r="254" spans="2:6" x14ac:dyDescent="0.3">
      <c r="B254" s="126" t="str">
        <f t="array" ref="B254">IFERROR(INDEX(BD[],_xlfn.AGGREGATE(15,6,IF(BD[CLASIFICACIÓN]=$B$2,ROW(BD[CLASIFICACIÓN])-ROW('PT2 (FILTRAR)'!$E$5)+1,NA()),ROWS($B$5:B254)),COLUMNS($B$5:B254)),"")</f>
        <v/>
      </c>
      <c r="C254" s="127" t="str">
        <f t="array" ref="C254">IFERROR(INDEX(BD[],_xlfn.AGGREGATE(15,6,IF(BD[CLASIFICACIÓN]=$B$2,ROW(BD[CLASIFICACIÓN])-ROW('PT2 (FILTRAR)'!$E$5)+1,NA()),ROWS($B$5:C254)),COLUMNS($B$5:C254)),"")</f>
        <v/>
      </c>
      <c r="D254" s="142" t="str">
        <f t="array" ref="D254">IFERROR(INDEX(BD[],_xlfn.AGGREGATE(15,6,IF(BD[CLASIFICACIÓN]=$B$2,ROW(BD[CLASIFICACIÓN])-ROW('PT2 (FILTRAR)'!$E$5)+1,NA()),ROWS($B$5:D254)),COLUMNS($B$5:D254)),"")</f>
        <v/>
      </c>
      <c r="E254" s="126" t="str">
        <f t="array" ref="E254">IFERROR(INDEX(BD[],_xlfn.AGGREGATE(15,6,IF(BD[CLASIFICACIÓN]=$B$2,ROW(BD[CLASIFICACIÓN])-ROW('PT2 (FILTRAR)'!$E$5)+1,NA()),ROWS($B$5:E254)),COLUMNS($B$5:E254)),"")</f>
        <v/>
      </c>
      <c r="F254" s="126"/>
    </row>
    <row r="255" spans="2:6" x14ac:dyDescent="0.3">
      <c r="B255" s="126" t="str">
        <f t="array" ref="B255">IFERROR(INDEX(BD[],_xlfn.AGGREGATE(15,6,IF(BD[CLASIFICACIÓN]=$B$2,ROW(BD[CLASIFICACIÓN])-ROW('PT2 (FILTRAR)'!$E$5)+1,NA()),ROWS($B$5:B255)),COLUMNS($B$5:B255)),"")</f>
        <v/>
      </c>
      <c r="C255" s="127" t="str">
        <f t="array" ref="C255">IFERROR(INDEX(BD[],_xlfn.AGGREGATE(15,6,IF(BD[CLASIFICACIÓN]=$B$2,ROW(BD[CLASIFICACIÓN])-ROW('PT2 (FILTRAR)'!$E$5)+1,NA()),ROWS($B$5:C255)),COLUMNS($B$5:C255)),"")</f>
        <v/>
      </c>
      <c r="D255" s="142" t="str">
        <f t="array" ref="D255">IFERROR(INDEX(BD[],_xlfn.AGGREGATE(15,6,IF(BD[CLASIFICACIÓN]=$B$2,ROW(BD[CLASIFICACIÓN])-ROW('PT2 (FILTRAR)'!$E$5)+1,NA()),ROWS($B$5:D255)),COLUMNS($B$5:D255)),"")</f>
        <v/>
      </c>
      <c r="E255" s="126" t="str">
        <f t="array" ref="E255">IFERROR(INDEX(BD[],_xlfn.AGGREGATE(15,6,IF(BD[CLASIFICACIÓN]=$B$2,ROW(BD[CLASIFICACIÓN])-ROW('PT2 (FILTRAR)'!$E$5)+1,NA()),ROWS($B$5:E255)),COLUMNS($B$5:E255)),"")</f>
        <v/>
      </c>
      <c r="F255" s="126"/>
    </row>
    <row r="256" spans="2:6" x14ac:dyDescent="0.3">
      <c r="B256" s="126" t="str">
        <f t="array" ref="B256">IFERROR(INDEX(BD[],_xlfn.AGGREGATE(15,6,IF(BD[CLASIFICACIÓN]=$B$2,ROW(BD[CLASIFICACIÓN])-ROW('PT2 (FILTRAR)'!$E$5)+1,NA()),ROWS($B$5:B256)),COLUMNS($B$5:B256)),"")</f>
        <v/>
      </c>
      <c r="C256" s="127" t="str">
        <f t="array" ref="C256">IFERROR(INDEX(BD[],_xlfn.AGGREGATE(15,6,IF(BD[CLASIFICACIÓN]=$B$2,ROW(BD[CLASIFICACIÓN])-ROW('PT2 (FILTRAR)'!$E$5)+1,NA()),ROWS($B$5:C256)),COLUMNS($B$5:C256)),"")</f>
        <v/>
      </c>
      <c r="D256" s="142" t="str">
        <f t="array" ref="D256">IFERROR(INDEX(BD[],_xlfn.AGGREGATE(15,6,IF(BD[CLASIFICACIÓN]=$B$2,ROW(BD[CLASIFICACIÓN])-ROW('PT2 (FILTRAR)'!$E$5)+1,NA()),ROWS($B$5:D256)),COLUMNS($B$5:D256)),"")</f>
        <v/>
      </c>
      <c r="E256" s="126" t="str">
        <f t="array" ref="E256">IFERROR(INDEX(BD[],_xlfn.AGGREGATE(15,6,IF(BD[CLASIFICACIÓN]=$B$2,ROW(BD[CLASIFICACIÓN])-ROW('PT2 (FILTRAR)'!$E$5)+1,NA()),ROWS($B$5:E256)),COLUMNS($B$5:E256)),"")</f>
        <v/>
      </c>
      <c r="F256" s="126"/>
    </row>
    <row r="257" spans="2:6" x14ac:dyDescent="0.3">
      <c r="B257" s="126" t="str">
        <f t="array" ref="B257">IFERROR(INDEX(BD[],_xlfn.AGGREGATE(15,6,IF(BD[CLASIFICACIÓN]=$B$2,ROW(BD[CLASIFICACIÓN])-ROW('PT2 (FILTRAR)'!$E$5)+1,NA()),ROWS($B$5:B257)),COLUMNS($B$5:B257)),"")</f>
        <v/>
      </c>
      <c r="C257" s="127" t="str">
        <f t="array" ref="C257">IFERROR(INDEX(BD[],_xlfn.AGGREGATE(15,6,IF(BD[CLASIFICACIÓN]=$B$2,ROW(BD[CLASIFICACIÓN])-ROW('PT2 (FILTRAR)'!$E$5)+1,NA()),ROWS($B$5:C257)),COLUMNS($B$5:C257)),"")</f>
        <v/>
      </c>
      <c r="D257" s="142" t="str">
        <f t="array" ref="D257">IFERROR(INDEX(BD[],_xlfn.AGGREGATE(15,6,IF(BD[CLASIFICACIÓN]=$B$2,ROW(BD[CLASIFICACIÓN])-ROW('PT2 (FILTRAR)'!$E$5)+1,NA()),ROWS($B$5:D257)),COLUMNS($B$5:D257)),"")</f>
        <v/>
      </c>
      <c r="E257" s="126" t="str">
        <f t="array" ref="E257">IFERROR(INDEX(BD[],_xlfn.AGGREGATE(15,6,IF(BD[CLASIFICACIÓN]=$B$2,ROW(BD[CLASIFICACIÓN])-ROW('PT2 (FILTRAR)'!$E$5)+1,NA()),ROWS($B$5:E257)),COLUMNS($B$5:E257)),"")</f>
        <v/>
      </c>
      <c r="F257" s="126"/>
    </row>
    <row r="258" spans="2:6" x14ac:dyDescent="0.3">
      <c r="B258" s="126" t="str">
        <f t="array" ref="B258">IFERROR(INDEX(BD[],_xlfn.AGGREGATE(15,6,IF(BD[CLASIFICACIÓN]=$B$2,ROW(BD[CLASIFICACIÓN])-ROW('PT2 (FILTRAR)'!$E$5)+1,NA()),ROWS($B$5:B258)),COLUMNS($B$5:B258)),"")</f>
        <v/>
      </c>
      <c r="C258" s="127" t="str">
        <f t="array" ref="C258">IFERROR(INDEX(BD[],_xlfn.AGGREGATE(15,6,IF(BD[CLASIFICACIÓN]=$B$2,ROW(BD[CLASIFICACIÓN])-ROW('PT2 (FILTRAR)'!$E$5)+1,NA()),ROWS($B$5:C258)),COLUMNS($B$5:C258)),"")</f>
        <v/>
      </c>
      <c r="D258" s="142" t="str">
        <f t="array" ref="D258">IFERROR(INDEX(BD[],_xlfn.AGGREGATE(15,6,IF(BD[CLASIFICACIÓN]=$B$2,ROW(BD[CLASIFICACIÓN])-ROW('PT2 (FILTRAR)'!$E$5)+1,NA()),ROWS($B$5:D258)),COLUMNS($B$5:D258)),"")</f>
        <v/>
      </c>
      <c r="E258" s="126" t="str">
        <f t="array" ref="E258">IFERROR(INDEX(BD[],_xlfn.AGGREGATE(15,6,IF(BD[CLASIFICACIÓN]=$B$2,ROW(BD[CLASIFICACIÓN])-ROW('PT2 (FILTRAR)'!$E$5)+1,NA()),ROWS($B$5:E258)),COLUMNS($B$5:E258)),"")</f>
        <v/>
      </c>
      <c r="F258" s="126"/>
    </row>
    <row r="259" spans="2:6" x14ac:dyDescent="0.3">
      <c r="B259" s="126" t="str">
        <f t="array" ref="B259">IFERROR(INDEX(BD[],_xlfn.AGGREGATE(15,6,IF(BD[CLASIFICACIÓN]=$B$2,ROW(BD[CLASIFICACIÓN])-ROW('PT2 (FILTRAR)'!$E$5)+1,NA()),ROWS($B$5:B259)),COLUMNS($B$5:B259)),"")</f>
        <v/>
      </c>
      <c r="C259" s="127" t="str">
        <f t="array" ref="C259">IFERROR(INDEX(BD[],_xlfn.AGGREGATE(15,6,IF(BD[CLASIFICACIÓN]=$B$2,ROW(BD[CLASIFICACIÓN])-ROW('PT2 (FILTRAR)'!$E$5)+1,NA()),ROWS($B$5:C259)),COLUMNS($B$5:C259)),"")</f>
        <v/>
      </c>
      <c r="D259" s="142" t="str">
        <f t="array" ref="D259">IFERROR(INDEX(BD[],_xlfn.AGGREGATE(15,6,IF(BD[CLASIFICACIÓN]=$B$2,ROW(BD[CLASIFICACIÓN])-ROW('PT2 (FILTRAR)'!$E$5)+1,NA()),ROWS($B$5:D259)),COLUMNS($B$5:D259)),"")</f>
        <v/>
      </c>
      <c r="E259" s="126" t="str">
        <f t="array" ref="E259">IFERROR(INDEX(BD[],_xlfn.AGGREGATE(15,6,IF(BD[CLASIFICACIÓN]=$B$2,ROW(BD[CLASIFICACIÓN])-ROW('PT2 (FILTRAR)'!$E$5)+1,NA()),ROWS($B$5:E259)),COLUMNS($B$5:E259)),"")</f>
        <v/>
      </c>
      <c r="F259" s="126"/>
    </row>
    <row r="260" spans="2:6" x14ac:dyDescent="0.3">
      <c r="B260" s="126" t="str">
        <f t="array" ref="B260">IFERROR(INDEX(BD[],_xlfn.AGGREGATE(15,6,IF(BD[CLASIFICACIÓN]=$B$2,ROW(BD[CLASIFICACIÓN])-ROW('PT2 (FILTRAR)'!$E$5)+1,NA()),ROWS($B$5:B260)),COLUMNS($B$5:B260)),"")</f>
        <v/>
      </c>
      <c r="C260" s="127" t="str">
        <f t="array" ref="C260">IFERROR(INDEX(BD[],_xlfn.AGGREGATE(15,6,IF(BD[CLASIFICACIÓN]=$B$2,ROW(BD[CLASIFICACIÓN])-ROW('PT2 (FILTRAR)'!$E$5)+1,NA()),ROWS($B$5:C260)),COLUMNS($B$5:C260)),"")</f>
        <v/>
      </c>
      <c r="D260" s="142" t="str">
        <f t="array" ref="D260">IFERROR(INDEX(BD[],_xlfn.AGGREGATE(15,6,IF(BD[CLASIFICACIÓN]=$B$2,ROW(BD[CLASIFICACIÓN])-ROW('PT2 (FILTRAR)'!$E$5)+1,NA()),ROWS($B$5:D260)),COLUMNS($B$5:D260)),"")</f>
        <v/>
      </c>
      <c r="E260" s="126" t="str">
        <f t="array" ref="E260">IFERROR(INDEX(BD[],_xlfn.AGGREGATE(15,6,IF(BD[CLASIFICACIÓN]=$B$2,ROW(BD[CLASIFICACIÓN])-ROW('PT2 (FILTRAR)'!$E$5)+1,NA()),ROWS($B$5:E260)),COLUMNS($B$5:E260)),"")</f>
        <v/>
      </c>
      <c r="F260" s="126"/>
    </row>
    <row r="261" spans="2:6" x14ac:dyDescent="0.3">
      <c r="B261" s="126" t="str">
        <f t="array" ref="B261">IFERROR(INDEX(BD[],_xlfn.AGGREGATE(15,6,IF(BD[CLASIFICACIÓN]=$B$2,ROW(BD[CLASIFICACIÓN])-ROW('PT2 (FILTRAR)'!$E$5)+1,NA()),ROWS($B$5:B261)),COLUMNS($B$5:B261)),"")</f>
        <v/>
      </c>
      <c r="C261" s="127" t="str">
        <f t="array" ref="C261">IFERROR(INDEX(BD[],_xlfn.AGGREGATE(15,6,IF(BD[CLASIFICACIÓN]=$B$2,ROW(BD[CLASIFICACIÓN])-ROW('PT2 (FILTRAR)'!$E$5)+1,NA()),ROWS($B$5:C261)),COLUMNS($B$5:C261)),"")</f>
        <v/>
      </c>
      <c r="D261" s="142" t="str">
        <f t="array" ref="D261">IFERROR(INDEX(BD[],_xlfn.AGGREGATE(15,6,IF(BD[CLASIFICACIÓN]=$B$2,ROW(BD[CLASIFICACIÓN])-ROW('PT2 (FILTRAR)'!$E$5)+1,NA()),ROWS($B$5:D261)),COLUMNS($B$5:D261)),"")</f>
        <v/>
      </c>
      <c r="E261" s="126" t="str">
        <f t="array" ref="E261">IFERROR(INDEX(BD[],_xlfn.AGGREGATE(15,6,IF(BD[CLASIFICACIÓN]=$B$2,ROW(BD[CLASIFICACIÓN])-ROW('PT2 (FILTRAR)'!$E$5)+1,NA()),ROWS($B$5:E261)),COLUMNS($B$5:E261)),"")</f>
        <v/>
      </c>
      <c r="F261" s="126"/>
    </row>
    <row r="262" spans="2:6" x14ac:dyDescent="0.3">
      <c r="B262" s="126" t="str">
        <f t="array" ref="B262">IFERROR(INDEX(BD[],_xlfn.AGGREGATE(15,6,IF(BD[CLASIFICACIÓN]=$B$2,ROW(BD[CLASIFICACIÓN])-ROW('PT2 (FILTRAR)'!$E$5)+1,NA()),ROWS($B$5:B262)),COLUMNS($B$5:B262)),"")</f>
        <v/>
      </c>
      <c r="C262" s="127" t="str">
        <f t="array" ref="C262">IFERROR(INDEX(BD[],_xlfn.AGGREGATE(15,6,IF(BD[CLASIFICACIÓN]=$B$2,ROW(BD[CLASIFICACIÓN])-ROW('PT2 (FILTRAR)'!$E$5)+1,NA()),ROWS($B$5:C262)),COLUMNS($B$5:C262)),"")</f>
        <v/>
      </c>
      <c r="D262" s="142" t="str">
        <f t="array" ref="D262">IFERROR(INDEX(BD[],_xlfn.AGGREGATE(15,6,IF(BD[CLASIFICACIÓN]=$B$2,ROW(BD[CLASIFICACIÓN])-ROW('PT2 (FILTRAR)'!$E$5)+1,NA()),ROWS($B$5:D262)),COLUMNS($B$5:D262)),"")</f>
        <v/>
      </c>
      <c r="E262" s="126" t="str">
        <f t="array" ref="E262">IFERROR(INDEX(BD[],_xlfn.AGGREGATE(15,6,IF(BD[CLASIFICACIÓN]=$B$2,ROW(BD[CLASIFICACIÓN])-ROW('PT2 (FILTRAR)'!$E$5)+1,NA()),ROWS($B$5:E262)),COLUMNS($B$5:E262)),"")</f>
        <v/>
      </c>
      <c r="F262" s="126"/>
    </row>
    <row r="263" spans="2:6" x14ac:dyDescent="0.3">
      <c r="B263" s="126" t="str">
        <f t="array" ref="B263">IFERROR(INDEX(BD[],_xlfn.AGGREGATE(15,6,IF(BD[CLASIFICACIÓN]=$B$2,ROW(BD[CLASIFICACIÓN])-ROW('PT2 (FILTRAR)'!$E$5)+1,NA()),ROWS($B$5:B263)),COLUMNS($B$5:B263)),"")</f>
        <v/>
      </c>
      <c r="C263" s="127" t="str">
        <f t="array" ref="C263">IFERROR(INDEX(BD[],_xlfn.AGGREGATE(15,6,IF(BD[CLASIFICACIÓN]=$B$2,ROW(BD[CLASIFICACIÓN])-ROW('PT2 (FILTRAR)'!$E$5)+1,NA()),ROWS($B$5:C263)),COLUMNS($B$5:C263)),"")</f>
        <v/>
      </c>
      <c r="D263" s="142" t="str">
        <f t="array" ref="D263">IFERROR(INDEX(BD[],_xlfn.AGGREGATE(15,6,IF(BD[CLASIFICACIÓN]=$B$2,ROW(BD[CLASIFICACIÓN])-ROW('PT2 (FILTRAR)'!$E$5)+1,NA()),ROWS($B$5:D263)),COLUMNS($B$5:D263)),"")</f>
        <v/>
      </c>
      <c r="E263" s="126" t="str">
        <f t="array" ref="E263">IFERROR(INDEX(BD[],_xlfn.AGGREGATE(15,6,IF(BD[CLASIFICACIÓN]=$B$2,ROW(BD[CLASIFICACIÓN])-ROW('PT2 (FILTRAR)'!$E$5)+1,NA()),ROWS($B$5:E263)),COLUMNS($B$5:E263)),"")</f>
        <v/>
      </c>
      <c r="F263" s="126"/>
    </row>
    <row r="264" spans="2:6" x14ac:dyDescent="0.3">
      <c r="B264" s="126" t="str">
        <f t="array" ref="B264">IFERROR(INDEX(BD[],_xlfn.AGGREGATE(15,6,IF(BD[CLASIFICACIÓN]=$B$2,ROW(BD[CLASIFICACIÓN])-ROW('PT2 (FILTRAR)'!$E$5)+1,NA()),ROWS($B$5:B264)),COLUMNS($B$5:B264)),"")</f>
        <v/>
      </c>
      <c r="C264" s="127" t="str">
        <f t="array" ref="C264">IFERROR(INDEX(BD[],_xlfn.AGGREGATE(15,6,IF(BD[CLASIFICACIÓN]=$B$2,ROW(BD[CLASIFICACIÓN])-ROW('PT2 (FILTRAR)'!$E$5)+1,NA()),ROWS($B$5:C264)),COLUMNS($B$5:C264)),"")</f>
        <v/>
      </c>
      <c r="D264" s="142" t="str">
        <f t="array" ref="D264">IFERROR(INDEX(BD[],_xlfn.AGGREGATE(15,6,IF(BD[CLASIFICACIÓN]=$B$2,ROW(BD[CLASIFICACIÓN])-ROW('PT2 (FILTRAR)'!$E$5)+1,NA()),ROWS($B$5:D264)),COLUMNS($B$5:D264)),"")</f>
        <v/>
      </c>
      <c r="E264" s="126" t="str">
        <f t="array" ref="E264">IFERROR(INDEX(BD[],_xlfn.AGGREGATE(15,6,IF(BD[CLASIFICACIÓN]=$B$2,ROW(BD[CLASIFICACIÓN])-ROW('PT2 (FILTRAR)'!$E$5)+1,NA()),ROWS($B$5:E264)),COLUMNS($B$5:E264)),"")</f>
        <v/>
      </c>
      <c r="F264" s="126"/>
    </row>
    <row r="265" spans="2:6" x14ac:dyDescent="0.3">
      <c r="B265" s="126" t="str">
        <f t="array" ref="B265">IFERROR(INDEX(BD[],_xlfn.AGGREGATE(15,6,IF(BD[CLASIFICACIÓN]=$B$2,ROW(BD[CLASIFICACIÓN])-ROW('PT2 (FILTRAR)'!$E$5)+1,NA()),ROWS($B$5:B265)),COLUMNS($B$5:B265)),"")</f>
        <v/>
      </c>
      <c r="C265" s="127" t="str">
        <f t="array" ref="C265">IFERROR(INDEX(BD[],_xlfn.AGGREGATE(15,6,IF(BD[CLASIFICACIÓN]=$B$2,ROW(BD[CLASIFICACIÓN])-ROW('PT2 (FILTRAR)'!$E$5)+1,NA()),ROWS($B$5:C265)),COLUMNS($B$5:C265)),"")</f>
        <v/>
      </c>
      <c r="D265" s="142" t="str">
        <f t="array" ref="D265">IFERROR(INDEX(BD[],_xlfn.AGGREGATE(15,6,IF(BD[CLASIFICACIÓN]=$B$2,ROW(BD[CLASIFICACIÓN])-ROW('PT2 (FILTRAR)'!$E$5)+1,NA()),ROWS($B$5:D265)),COLUMNS($B$5:D265)),"")</f>
        <v/>
      </c>
      <c r="E265" s="126" t="str">
        <f t="array" ref="E265">IFERROR(INDEX(BD[],_xlfn.AGGREGATE(15,6,IF(BD[CLASIFICACIÓN]=$B$2,ROW(BD[CLASIFICACIÓN])-ROW('PT2 (FILTRAR)'!$E$5)+1,NA()),ROWS($B$5:E265)),COLUMNS($B$5:E265)),"")</f>
        <v/>
      </c>
      <c r="F265" s="126"/>
    </row>
    <row r="266" spans="2:6" x14ac:dyDescent="0.3">
      <c r="B266" s="126" t="str">
        <f t="array" ref="B266">IFERROR(INDEX(BD[],_xlfn.AGGREGATE(15,6,IF(BD[CLASIFICACIÓN]=$B$2,ROW(BD[CLASIFICACIÓN])-ROW('PT2 (FILTRAR)'!$E$5)+1,NA()),ROWS($B$5:B266)),COLUMNS($B$5:B266)),"")</f>
        <v/>
      </c>
      <c r="C266" s="127" t="str">
        <f t="array" ref="C266">IFERROR(INDEX(BD[],_xlfn.AGGREGATE(15,6,IF(BD[CLASIFICACIÓN]=$B$2,ROW(BD[CLASIFICACIÓN])-ROW('PT2 (FILTRAR)'!$E$5)+1,NA()),ROWS($B$5:C266)),COLUMNS($B$5:C266)),"")</f>
        <v/>
      </c>
      <c r="D266" s="142" t="str">
        <f t="array" ref="D266">IFERROR(INDEX(BD[],_xlfn.AGGREGATE(15,6,IF(BD[CLASIFICACIÓN]=$B$2,ROW(BD[CLASIFICACIÓN])-ROW('PT2 (FILTRAR)'!$E$5)+1,NA()),ROWS($B$5:D266)),COLUMNS($B$5:D266)),"")</f>
        <v/>
      </c>
      <c r="E266" s="126" t="str">
        <f t="array" ref="E266">IFERROR(INDEX(BD[],_xlfn.AGGREGATE(15,6,IF(BD[CLASIFICACIÓN]=$B$2,ROW(BD[CLASIFICACIÓN])-ROW('PT2 (FILTRAR)'!$E$5)+1,NA()),ROWS($B$5:E266)),COLUMNS($B$5:E266)),"")</f>
        <v/>
      </c>
      <c r="F266" s="126"/>
    </row>
    <row r="267" spans="2:6" x14ac:dyDescent="0.3">
      <c r="B267" s="126" t="str">
        <f t="array" ref="B267">IFERROR(INDEX(BD[],_xlfn.AGGREGATE(15,6,IF(BD[CLASIFICACIÓN]=$B$2,ROW(BD[CLASIFICACIÓN])-ROW('PT2 (FILTRAR)'!$E$5)+1,NA()),ROWS($B$5:B267)),COLUMNS($B$5:B267)),"")</f>
        <v/>
      </c>
      <c r="C267" s="127" t="str">
        <f t="array" ref="C267">IFERROR(INDEX(BD[],_xlfn.AGGREGATE(15,6,IF(BD[CLASIFICACIÓN]=$B$2,ROW(BD[CLASIFICACIÓN])-ROW('PT2 (FILTRAR)'!$E$5)+1,NA()),ROWS($B$5:C267)),COLUMNS($B$5:C267)),"")</f>
        <v/>
      </c>
      <c r="D267" s="142" t="str">
        <f t="array" ref="D267">IFERROR(INDEX(BD[],_xlfn.AGGREGATE(15,6,IF(BD[CLASIFICACIÓN]=$B$2,ROW(BD[CLASIFICACIÓN])-ROW('PT2 (FILTRAR)'!$E$5)+1,NA()),ROWS($B$5:D267)),COLUMNS($B$5:D267)),"")</f>
        <v/>
      </c>
      <c r="E267" s="126" t="str">
        <f t="array" ref="E267">IFERROR(INDEX(BD[],_xlfn.AGGREGATE(15,6,IF(BD[CLASIFICACIÓN]=$B$2,ROW(BD[CLASIFICACIÓN])-ROW('PT2 (FILTRAR)'!$E$5)+1,NA()),ROWS($B$5:E267)),COLUMNS($B$5:E267)),"")</f>
        <v/>
      </c>
      <c r="F267" s="126"/>
    </row>
    <row r="268" spans="2:6" x14ac:dyDescent="0.3">
      <c r="B268" s="126" t="str">
        <f t="array" ref="B268">IFERROR(INDEX(BD[],_xlfn.AGGREGATE(15,6,IF(BD[CLASIFICACIÓN]=$B$2,ROW(BD[CLASIFICACIÓN])-ROW('PT2 (FILTRAR)'!$E$5)+1,NA()),ROWS($B$5:B268)),COLUMNS($B$5:B268)),"")</f>
        <v/>
      </c>
      <c r="C268" s="127" t="str">
        <f t="array" ref="C268">IFERROR(INDEX(BD[],_xlfn.AGGREGATE(15,6,IF(BD[CLASIFICACIÓN]=$B$2,ROW(BD[CLASIFICACIÓN])-ROW('PT2 (FILTRAR)'!$E$5)+1,NA()),ROWS($B$5:C268)),COLUMNS($B$5:C268)),"")</f>
        <v/>
      </c>
      <c r="D268" s="142" t="str">
        <f t="array" ref="D268">IFERROR(INDEX(BD[],_xlfn.AGGREGATE(15,6,IF(BD[CLASIFICACIÓN]=$B$2,ROW(BD[CLASIFICACIÓN])-ROW('PT2 (FILTRAR)'!$E$5)+1,NA()),ROWS($B$5:D268)),COLUMNS($B$5:D268)),"")</f>
        <v/>
      </c>
      <c r="E268" s="126" t="str">
        <f t="array" ref="E268">IFERROR(INDEX(BD[],_xlfn.AGGREGATE(15,6,IF(BD[CLASIFICACIÓN]=$B$2,ROW(BD[CLASIFICACIÓN])-ROW('PT2 (FILTRAR)'!$E$5)+1,NA()),ROWS($B$5:E268)),COLUMNS($B$5:E268)),"")</f>
        <v/>
      </c>
      <c r="F268" s="126"/>
    </row>
    <row r="269" spans="2:6" x14ac:dyDescent="0.3">
      <c r="B269" s="126" t="str">
        <f t="array" ref="B269">IFERROR(INDEX(BD[],_xlfn.AGGREGATE(15,6,IF(BD[CLASIFICACIÓN]=$B$2,ROW(BD[CLASIFICACIÓN])-ROW('PT2 (FILTRAR)'!$E$5)+1,NA()),ROWS($B$5:B269)),COLUMNS($B$5:B269)),"")</f>
        <v/>
      </c>
      <c r="C269" s="127" t="str">
        <f t="array" ref="C269">IFERROR(INDEX(BD[],_xlfn.AGGREGATE(15,6,IF(BD[CLASIFICACIÓN]=$B$2,ROW(BD[CLASIFICACIÓN])-ROW('PT2 (FILTRAR)'!$E$5)+1,NA()),ROWS($B$5:C269)),COLUMNS($B$5:C269)),"")</f>
        <v/>
      </c>
      <c r="D269" s="142" t="str">
        <f t="array" ref="D269">IFERROR(INDEX(BD[],_xlfn.AGGREGATE(15,6,IF(BD[CLASIFICACIÓN]=$B$2,ROW(BD[CLASIFICACIÓN])-ROW('PT2 (FILTRAR)'!$E$5)+1,NA()),ROWS($B$5:D269)),COLUMNS($B$5:D269)),"")</f>
        <v/>
      </c>
      <c r="E269" s="126" t="str">
        <f t="array" ref="E269">IFERROR(INDEX(BD[],_xlfn.AGGREGATE(15,6,IF(BD[CLASIFICACIÓN]=$B$2,ROW(BD[CLASIFICACIÓN])-ROW('PT2 (FILTRAR)'!$E$5)+1,NA()),ROWS($B$5:E269)),COLUMNS($B$5:E269)),"")</f>
        <v/>
      </c>
      <c r="F269" s="126"/>
    </row>
    <row r="270" spans="2:6" x14ac:dyDescent="0.3">
      <c r="B270" s="126" t="str">
        <f t="array" ref="B270">IFERROR(INDEX(BD[],_xlfn.AGGREGATE(15,6,IF(BD[CLASIFICACIÓN]=$B$2,ROW(BD[CLASIFICACIÓN])-ROW('PT2 (FILTRAR)'!$E$5)+1,NA()),ROWS($B$5:B270)),COLUMNS($B$5:B270)),"")</f>
        <v/>
      </c>
      <c r="C270" s="127" t="str">
        <f t="array" ref="C270">IFERROR(INDEX(BD[],_xlfn.AGGREGATE(15,6,IF(BD[CLASIFICACIÓN]=$B$2,ROW(BD[CLASIFICACIÓN])-ROW('PT2 (FILTRAR)'!$E$5)+1,NA()),ROWS($B$5:C270)),COLUMNS($B$5:C270)),"")</f>
        <v/>
      </c>
      <c r="D270" s="142" t="str">
        <f t="array" ref="D270">IFERROR(INDEX(BD[],_xlfn.AGGREGATE(15,6,IF(BD[CLASIFICACIÓN]=$B$2,ROW(BD[CLASIFICACIÓN])-ROW('PT2 (FILTRAR)'!$E$5)+1,NA()),ROWS($B$5:D270)),COLUMNS($B$5:D270)),"")</f>
        <v/>
      </c>
      <c r="E270" s="126" t="str">
        <f t="array" ref="E270">IFERROR(INDEX(BD[],_xlfn.AGGREGATE(15,6,IF(BD[CLASIFICACIÓN]=$B$2,ROW(BD[CLASIFICACIÓN])-ROW('PT2 (FILTRAR)'!$E$5)+1,NA()),ROWS($B$5:E270)),COLUMNS($B$5:E270)),"")</f>
        <v/>
      </c>
      <c r="F270" s="126"/>
    </row>
    <row r="271" spans="2:6" x14ac:dyDescent="0.3">
      <c r="B271" s="126" t="str">
        <f t="array" ref="B271">IFERROR(INDEX(BD[],_xlfn.AGGREGATE(15,6,IF(BD[CLASIFICACIÓN]=$B$2,ROW(BD[CLASIFICACIÓN])-ROW('PT2 (FILTRAR)'!$E$5)+1,NA()),ROWS($B$5:B271)),COLUMNS($B$5:B271)),"")</f>
        <v/>
      </c>
      <c r="C271" s="127" t="str">
        <f t="array" ref="C271">IFERROR(INDEX(BD[],_xlfn.AGGREGATE(15,6,IF(BD[CLASIFICACIÓN]=$B$2,ROW(BD[CLASIFICACIÓN])-ROW('PT2 (FILTRAR)'!$E$5)+1,NA()),ROWS($B$5:C271)),COLUMNS($B$5:C271)),"")</f>
        <v/>
      </c>
      <c r="D271" s="142" t="str">
        <f t="array" ref="D271">IFERROR(INDEX(BD[],_xlfn.AGGREGATE(15,6,IF(BD[CLASIFICACIÓN]=$B$2,ROW(BD[CLASIFICACIÓN])-ROW('PT2 (FILTRAR)'!$E$5)+1,NA()),ROWS($B$5:D271)),COLUMNS($B$5:D271)),"")</f>
        <v/>
      </c>
      <c r="E271" s="126" t="str">
        <f t="array" ref="E271">IFERROR(INDEX(BD[],_xlfn.AGGREGATE(15,6,IF(BD[CLASIFICACIÓN]=$B$2,ROW(BD[CLASIFICACIÓN])-ROW('PT2 (FILTRAR)'!$E$5)+1,NA()),ROWS($B$5:E271)),COLUMNS($B$5:E271)),"")</f>
        <v/>
      </c>
      <c r="F271" s="126"/>
    </row>
    <row r="272" spans="2:6" ht="18" x14ac:dyDescent="0.35">
      <c r="B272" s="143" t="s">
        <v>14</v>
      </c>
      <c r="C272" s="143" t="str">
        <f>+B2</f>
        <v>COBRANZA JUDICIAL</v>
      </c>
      <c r="D272" s="125">
        <f>SUM(D5:D271)</f>
        <v>386066</v>
      </c>
    </row>
  </sheetData>
  <mergeCells count="1">
    <mergeCell ref="B2:F2"/>
  </mergeCells>
  <dataValidations count="1">
    <dataValidation type="list" allowBlank="1" showInputMessage="1" showErrorMessage="1" sqref="F5:F153" xr:uid="{B618A786-FCE3-4290-BFB3-3B873E2B4841}">
      <formula1>$N$5:$N$12</formula1>
    </dataValidation>
  </dataValidation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1A31-E9D9-46B3-BFD0-FB04178AC5CC}">
  <sheetPr codeName="Hoja4"/>
  <dimension ref="B1:E272"/>
  <sheetViews>
    <sheetView workbookViewId="0">
      <selection activeCell="B2" sqref="B2:E2"/>
    </sheetView>
  </sheetViews>
  <sheetFormatPr baseColWidth="10" defaultColWidth="11.5546875" defaultRowHeight="14.4" x14ac:dyDescent="0.3"/>
  <cols>
    <col min="1" max="1" width="11.5546875" style="105"/>
    <col min="2" max="2" width="27.6640625" style="103" bestFit="1" customWidth="1"/>
    <col min="3" max="3" width="49.6640625" style="105" customWidth="1"/>
    <col min="4" max="4" width="20" style="105" customWidth="1"/>
    <col min="5" max="5" width="23.6640625" style="103" customWidth="1"/>
    <col min="6" max="16384" width="11.5546875" style="105"/>
  </cols>
  <sheetData>
    <row r="1" spans="2:5" x14ac:dyDescent="0.3">
      <c r="C1" s="139"/>
      <c r="D1" s="103"/>
    </row>
    <row r="2" spans="2:5" ht="22.95" customHeight="1" x14ac:dyDescent="0.45">
      <c r="B2" s="164" t="s">
        <v>32</v>
      </c>
      <c r="C2" s="164"/>
      <c r="D2" s="164"/>
      <c r="E2" s="164"/>
    </row>
    <row r="4" spans="2:5" s="116" customFormat="1" ht="28.95" customHeight="1" x14ac:dyDescent="0.3">
      <c r="B4" s="149" t="s">
        <v>1</v>
      </c>
      <c r="C4" s="149" t="s">
        <v>0</v>
      </c>
      <c r="D4" s="149" t="str">
        <f>[1]!'@PERIODO[A]'</f>
        <v>Abril/2026</v>
      </c>
      <c r="E4" s="149" t="s">
        <v>11</v>
      </c>
    </row>
    <row r="5" spans="2:5" x14ac:dyDescent="0.3">
      <c r="B5" s="126" t="str">
        <f t="array" ref="B5">IFERROR(INDEX(BD[],_xlfn.AGGREGATE(15,6,IF(BD[CLASIFICACIÓN]=$B$2,ROW(BD[CLASIFICACIÓN])-ROW('PT2 (FILTRAR)'!$E$5)+1,NA()),ROWS($B$5:B5)),COLUMNS($B$5:B5)),"")</f>
        <v>104-003-023</v>
      </c>
      <c r="C5" s="127" t="str">
        <f t="array" ref="C5">IFERROR(INDEX(BD[],_xlfn.AGGREGATE(15,6,IF(BD[CLASIFICACIÓN]=$B$2,ROW(BD[CLASIFICACIÓN])-ROW('PT2 (FILTRAR)'!$E$5)+1,NA()),ROWS($B$5:C5)),COLUMNS($B$5:C5)),"")</f>
        <v>O2-1205 ABRAHAM ROFFE</v>
      </c>
      <c r="D5" s="142">
        <f t="array" ref="D5">IFERROR(INDEX(BD[],_xlfn.AGGREGATE(15,6,IF(BD[CLASIFICACIÓN]=$B$2,ROW(BD[CLASIFICACIÓN])-ROW('PT2 (FILTRAR)'!$E$5)+1,NA()),ROWS($B$5:D5)),COLUMNS($B$5:D5)),"")</f>
        <v>39841</v>
      </c>
      <c r="E5" s="126" t="str">
        <f t="array" ref="E5">IFERROR(INDEX(BD[],_xlfn.AGGREGATE(15,6,IF(BD[CLASIFICACIÓN]=$B$2,ROW(BD[CLASIFICACIÓN])-ROW('PT2 (FILTRAR)'!$E$5)+1,NA()),ROWS($B$5:E5)),COLUMNS($B$5:E5)),"")</f>
        <v>MOROSOS</v>
      </c>
    </row>
    <row r="6" spans="2:5" x14ac:dyDescent="0.3">
      <c r="B6" s="126" t="str">
        <f t="array" ref="B6">IFERROR(INDEX(BD[],_xlfn.AGGREGATE(15,6,IF(BD[CLASIFICACIÓN]=$B$2,ROW(BD[CLASIFICACIÓN])-ROW('PT2 (FILTRAR)'!$E$5)+1,NA()),ROWS($B$5:B6)),COLUMNS($B$5:B6)),"")</f>
        <v>104-003-044</v>
      </c>
      <c r="C6" s="127" t="str">
        <f t="array" ref="C6">IFERROR(INDEX(BD[],_xlfn.AGGREGATE(15,6,IF(BD[CLASIFICACIÓN]=$B$2,ROW(BD[CLASIFICACIÓN])-ROW('PT2 (FILTRAR)'!$E$5)+1,NA()),ROWS($B$5:C6)),COLUMNS($B$5:C6)),"")</f>
        <v>O2-2206 MOISES ZAGA</v>
      </c>
      <c r="D6" s="142">
        <f t="array" ref="D6">IFERROR(INDEX(BD[],_xlfn.AGGREGATE(15,6,IF(BD[CLASIFICACIÓN]=$B$2,ROW(BD[CLASIFICACIÓN])-ROW('PT2 (FILTRAR)'!$E$5)+1,NA()),ROWS($B$5:D6)),COLUMNS($B$5:D6)),"")</f>
        <v>27288</v>
      </c>
      <c r="E6" s="126" t="str">
        <f t="array" ref="E6">IFERROR(INDEX(BD[],_xlfn.AGGREGATE(15,6,IF(BD[CLASIFICACIÓN]=$B$2,ROW(BD[CLASIFICACIÓN])-ROW('PT2 (FILTRAR)'!$E$5)+1,NA()),ROWS($B$5:E6)),COLUMNS($B$5:E6)),"")</f>
        <v>MOROSOS</v>
      </c>
    </row>
    <row r="7" spans="2:5" x14ac:dyDescent="0.3">
      <c r="B7" s="126" t="str">
        <f t="array" ref="B7">IFERROR(INDEX(BD[],_xlfn.AGGREGATE(15,6,IF(BD[CLASIFICACIÓN]=$B$2,ROW(BD[CLASIFICACIÓN])-ROW('PT2 (FILTRAR)'!$E$5)+1,NA()),ROWS($B$5:B7)),COLUMNS($B$5:B7)),"")</f>
        <v>104-001-009</v>
      </c>
      <c r="C7" s="127" t="str">
        <f t="array" ref="C7">IFERROR(INDEX(BD[],_xlfn.AGGREGATE(15,6,IF(BD[CLASIFICACIÓN]=$B$2,ROW(BD[CLASIFICACIÓN])-ROW('PT2 (FILTRAR)'!$E$5)+1,NA()),ROWS($B$5:C7)),COLUMNS($B$5:C7)),"")</f>
        <v>A-501 ALEJANDRO GOLDEBERG</v>
      </c>
      <c r="D7" s="142">
        <f t="array" ref="D7">IFERROR(INDEX(BD[],_xlfn.AGGREGATE(15,6,IF(BD[CLASIFICACIÓN]=$B$2,ROW(BD[CLASIFICACIÓN])-ROW('PT2 (FILTRAR)'!$E$5)+1,NA()),ROWS($B$5:D7)),COLUMNS($B$5:D7)),"")</f>
        <v>25000</v>
      </c>
      <c r="E7" s="126" t="str">
        <f t="array" ref="E7">IFERROR(INDEX(BD[],_xlfn.AGGREGATE(15,6,IF(BD[CLASIFICACIÓN]=$B$2,ROW(BD[CLASIFICACIÓN])-ROW('PT2 (FILTRAR)'!$E$5)+1,NA()),ROWS($B$5:E7)),COLUMNS($B$5:E7)),"")</f>
        <v>MOROSOS</v>
      </c>
    </row>
    <row r="8" spans="2:5" x14ac:dyDescent="0.3">
      <c r="B8" s="126" t="str">
        <f t="array" ref="B8">IFERROR(INDEX(BD[],_xlfn.AGGREGATE(15,6,IF(BD[CLASIFICACIÓN]=$B$2,ROW(BD[CLASIFICACIÓN])-ROW('PT2 (FILTRAR)'!$E$5)+1,NA()),ROWS($B$5:B8)),COLUMNS($B$5:B8)),"")</f>
        <v>104-001-043</v>
      </c>
      <c r="C8" s="127" t="str">
        <f t="array" ref="C8">IFERROR(INDEX(BD[],_xlfn.AGGREGATE(15,6,IF(BD[CLASIFICACIÓN]=$B$2,ROW(BD[CLASIFICACIÓN])-ROW('PT2 (FILTRAR)'!$E$5)+1,NA()),ROWS($B$5:C8)),COLUMNS($B$5:C8)),"")</f>
        <v>A-2201 FREDELLE MUSTRI</v>
      </c>
      <c r="D8" s="142">
        <f t="array" ref="D8">IFERROR(INDEX(BD[],_xlfn.AGGREGATE(15,6,IF(BD[CLASIFICACIÓN]=$B$2,ROW(BD[CLASIFICACIÓN])-ROW('PT2 (FILTRAR)'!$E$5)+1,NA()),ROWS($B$5:D8)),COLUMNS($B$5:D8)),"")</f>
        <v>28188</v>
      </c>
      <c r="E8" s="126" t="str">
        <f t="array" ref="E8">IFERROR(INDEX(BD[],_xlfn.AGGREGATE(15,6,IF(BD[CLASIFICACIÓN]=$B$2,ROW(BD[CLASIFICACIÓN])-ROW('PT2 (FILTRAR)'!$E$5)+1,NA()),ROWS($B$5:E8)),COLUMNS($B$5:E8)),"")</f>
        <v>MOROSOS</v>
      </c>
    </row>
    <row r="9" spans="2:5" x14ac:dyDescent="0.3">
      <c r="B9" s="126" t="str">
        <f t="array" ref="B9">IFERROR(INDEX(BD[],_xlfn.AGGREGATE(15,6,IF(BD[CLASIFICACIÓN]=$B$2,ROW(BD[CLASIFICACIÓN])-ROW('PT2 (FILTRAR)'!$E$5)+1,NA()),ROWS($B$5:B9)),COLUMNS($B$5:B9)),"")</f>
        <v>104-003-038</v>
      </c>
      <c r="C9" s="127" t="str">
        <f t="array" ref="C9">IFERROR(INDEX(BD[],_xlfn.AGGREGATE(15,6,IF(BD[CLASIFICACIÓN]=$B$2,ROW(BD[CLASIFICACIÓN])-ROW('PT2 (FILTRAR)'!$E$5)+1,NA()),ROWS($B$5:C9)),COLUMNS($B$5:C9)),"")</f>
        <v>O2-1906 JAIME SALEM</v>
      </c>
      <c r="D9" s="142">
        <f t="array" ref="D9">IFERROR(INDEX(BD[],_xlfn.AGGREGATE(15,6,IF(BD[CLASIFICACIÓN]=$B$2,ROW(BD[CLASIFICACIÓN])-ROW('PT2 (FILTRAR)'!$E$5)+1,NA()),ROWS($B$5:D9)),COLUMNS($B$5:D9)),"")</f>
        <v>27153</v>
      </c>
      <c r="E9" s="126" t="str">
        <f t="array" ref="E9">IFERROR(INDEX(BD[],_xlfn.AGGREGATE(15,6,IF(BD[CLASIFICACIÓN]=$B$2,ROW(BD[CLASIFICACIÓN])-ROW('PT2 (FILTRAR)'!$E$5)+1,NA()),ROWS($B$5:E9)),COLUMNS($B$5:E9)),"")</f>
        <v>MOROSOS</v>
      </c>
    </row>
    <row r="10" spans="2:5" x14ac:dyDescent="0.3">
      <c r="B10" s="126" t="str">
        <f t="array" ref="B10">IFERROR(INDEX(BD[],_xlfn.AGGREGATE(15,6,IF(BD[CLASIFICACIÓN]=$B$2,ROW(BD[CLASIFICACIÓN])-ROW('PT2 (FILTRAR)'!$E$5)+1,NA()),ROWS($B$5:B10)),COLUMNS($B$5:B10)),"")</f>
        <v>104-004-009</v>
      </c>
      <c r="C10" s="127" t="str">
        <f t="array" ref="C10">IFERROR(INDEX(BD[],_xlfn.AGGREGATE(15,6,IF(BD[CLASIFICACIÓN]=$B$2,ROW(BD[CLASIFICACIÓN])-ROW('PT2 (FILTRAR)'!$E$5)+1,NA()),ROWS($B$5:C10)),COLUMNS($B$5:C10)),"")</f>
        <v>C1-507 ROSA TURQUIE</v>
      </c>
      <c r="D10" s="142">
        <f t="array" ref="D10">IFERROR(INDEX(BD[],_xlfn.AGGREGATE(15,6,IF(BD[CLASIFICACIÓN]=$B$2,ROW(BD[CLASIFICACIÓN])-ROW('PT2 (FILTRAR)'!$E$5)+1,NA()),ROWS($B$5:D10)),COLUMNS($B$5:D10)),"")</f>
        <v>27888</v>
      </c>
      <c r="E10" s="126" t="str">
        <f t="array" ref="E10">IFERROR(INDEX(BD[],_xlfn.AGGREGATE(15,6,IF(BD[CLASIFICACIÓN]=$B$2,ROW(BD[CLASIFICACIÓN])-ROW('PT2 (FILTRAR)'!$E$5)+1,NA()),ROWS($B$5:E10)),COLUMNS($B$5:E10)),"")</f>
        <v>MOROSOS</v>
      </c>
    </row>
    <row r="11" spans="2:5" x14ac:dyDescent="0.3">
      <c r="B11" s="126" t="str">
        <f t="array" ref="B11">IFERROR(INDEX(BD[],_xlfn.AGGREGATE(15,6,IF(BD[CLASIFICACIÓN]=$B$2,ROW(BD[CLASIFICACIÓN])-ROW('PT2 (FILTRAR)'!$E$5)+1,NA()),ROWS($B$5:B11)),COLUMNS($B$5:B11)),"")</f>
        <v>104-006-021</v>
      </c>
      <c r="C11" s="127" t="str">
        <f t="array" ref="C11">IFERROR(INDEX(BD[],_xlfn.AGGREGATE(15,6,IF(BD[CLASIFICACIÓN]=$B$2,ROW(BD[CLASIFICACIÓN])-ROW('PT2 (FILTRAR)'!$E$5)+1,NA()),ROWS($B$5:C11)),COLUMNS($B$5:C11)),"")</f>
        <v>C3-1111 ESTHER ROMANO</v>
      </c>
      <c r="D11" s="142">
        <f t="array" ref="D11">IFERROR(INDEX(BD[],_xlfn.AGGREGATE(15,6,IF(BD[CLASIFICACIÓN]=$B$2,ROW(BD[CLASIFICACIÓN])-ROW('PT2 (FILTRAR)'!$E$5)+1,NA()),ROWS($B$5:D11)),COLUMNS($B$5:D11)),"")</f>
        <v>27956</v>
      </c>
      <c r="E11" s="126" t="str">
        <f t="array" ref="E11">IFERROR(INDEX(BD[],_xlfn.AGGREGATE(15,6,IF(BD[CLASIFICACIÓN]=$B$2,ROW(BD[CLASIFICACIÓN])-ROW('PT2 (FILTRAR)'!$E$5)+1,NA()),ROWS($B$5:E11)),COLUMNS($B$5:E11)),"")</f>
        <v>MOROSOS</v>
      </c>
    </row>
    <row r="12" spans="2:5" x14ac:dyDescent="0.3">
      <c r="B12" s="126" t="str">
        <f t="array" ref="B12">IFERROR(INDEX(BD[],_xlfn.AGGREGATE(15,6,IF(BD[CLASIFICACIÓN]=$B$2,ROW(BD[CLASIFICACIÓN])-ROW('PT2 (FILTRAR)'!$E$5)+1,NA()),ROWS($B$5:B12)),COLUMNS($B$5:B12)),"")</f>
        <v/>
      </c>
      <c r="C12" s="127" t="str">
        <f t="array" ref="C12">IFERROR(INDEX(BD[],_xlfn.AGGREGATE(15,6,IF(BD[CLASIFICACIÓN]=$B$2,ROW(BD[CLASIFICACIÓN])-ROW('PT2 (FILTRAR)'!$E$5)+1,NA()),ROWS($B$5:C12)),COLUMNS($B$5:C12)),"")</f>
        <v/>
      </c>
      <c r="D12" s="142" t="str">
        <f t="array" ref="D12">IFERROR(INDEX(BD[],_xlfn.AGGREGATE(15,6,IF(BD[CLASIFICACIÓN]=$B$2,ROW(BD[CLASIFICACIÓN])-ROW('PT2 (FILTRAR)'!$E$5)+1,NA()),ROWS($B$5:D12)),COLUMNS($B$5:D12)),"")</f>
        <v/>
      </c>
      <c r="E12" s="126" t="str">
        <f t="array" ref="E12">IFERROR(INDEX(BD[],_xlfn.AGGREGATE(15,6,IF(BD[CLASIFICACIÓN]=$B$2,ROW(BD[CLASIFICACIÓN])-ROW('PT2 (FILTRAR)'!$E$5)+1,NA()),ROWS($B$5:E12)),COLUMNS($B$5:E12)),"")</f>
        <v/>
      </c>
    </row>
    <row r="13" spans="2:5" x14ac:dyDescent="0.3">
      <c r="B13" s="126" t="str">
        <f t="array" ref="B13">IFERROR(INDEX(BD[],_xlfn.AGGREGATE(15,6,IF(BD[CLASIFICACIÓN]=$B$2,ROW(BD[CLASIFICACIÓN])-ROW('PT2 (FILTRAR)'!$E$5)+1,NA()),ROWS($B$5:B13)),COLUMNS($B$5:B13)),"")</f>
        <v/>
      </c>
      <c r="C13" s="127" t="str">
        <f t="array" ref="C13">IFERROR(INDEX(BD[],_xlfn.AGGREGATE(15,6,IF(BD[CLASIFICACIÓN]=$B$2,ROW(BD[CLASIFICACIÓN])-ROW('PT2 (FILTRAR)'!$E$5)+1,NA()),ROWS($B$5:C13)),COLUMNS($B$5:C13)),"")</f>
        <v/>
      </c>
      <c r="D13" s="142" t="str">
        <f t="array" ref="D13">IFERROR(INDEX(BD[],_xlfn.AGGREGATE(15,6,IF(BD[CLASIFICACIÓN]=$B$2,ROW(BD[CLASIFICACIÓN])-ROW('PT2 (FILTRAR)'!$E$5)+1,NA()),ROWS($B$5:D13)),COLUMNS($B$5:D13)),"")</f>
        <v/>
      </c>
      <c r="E13" s="126" t="str">
        <f t="array" ref="E13">IFERROR(INDEX(BD[],_xlfn.AGGREGATE(15,6,IF(BD[CLASIFICACIÓN]=$B$2,ROW(BD[CLASIFICACIÓN])-ROW('PT2 (FILTRAR)'!$E$5)+1,NA()),ROWS($B$5:E13)),COLUMNS($B$5:E13)),"")</f>
        <v/>
      </c>
    </row>
    <row r="14" spans="2:5" x14ac:dyDescent="0.3">
      <c r="B14" s="126" t="str">
        <f t="array" ref="B14">IFERROR(INDEX(BD[],_xlfn.AGGREGATE(15,6,IF(BD[CLASIFICACIÓN]=$B$2,ROW(BD[CLASIFICACIÓN])-ROW('PT2 (FILTRAR)'!$E$5)+1,NA()),ROWS($B$5:B14)),COLUMNS($B$5:B14)),"")</f>
        <v/>
      </c>
      <c r="C14" s="127" t="str">
        <f t="array" ref="C14">IFERROR(INDEX(BD[],_xlfn.AGGREGATE(15,6,IF(BD[CLASIFICACIÓN]=$B$2,ROW(BD[CLASIFICACIÓN])-ROW('PT2 (FILTRAR)'!$E$5)+1,NA()),ROWS($B$5:C14)),COLUMNS($B$5:C14)),"")</f>
        <v/>
      </c>
      <c r="D14" s="142" t="str">
        <f t="array" ref="D14">IFERROR(INDEX(BD[],_xlfn.AGGREGATE(15,6,IF(BD[CLASIFICACIÓN]=$B$2,ROW(BD[CLASIFICACIÓN])-ROW('PT2 (FILTRAR)'!$E$5)+1,NA()),ROWS($B$5:D14)),COLUMNS($B$5:D14)),"")</f>
        <v/>
      </c>
      <c r="E14" s="126" t="str">
        <f t="array" ref="E14">IFERROR(INDEX(BD[],_xlfn.AGGREGATE(15,6,IF(BD[CLASIFICACIÓN]=$B$2,ROW(BD[CLASIFICACIÓN])-ROW('PT2 (FILTRAR)'!$E$5)+1,NA()),ROWS($B$5:E14)),COLUMNS($B$5:E14)),"")</f>
        <v/>
      </c>
    </row>
    <row r="15" spans="2:5" x14ac:dyDescent="0.3">
      <c r="B15" s="126" t="str">
        <f t="array" ref="B15">IFERROR(INDEX(BD[],_xlfn.AGGREGATE(15,6,IF(BD[CLASIFICACIÓN]=$B$2,ROW(BD[CLASIFICACIÓN])-ROW('PT2 (FILTRAR)'!$E$5)+1,NA()),ROWS($B$5:B15)),COLUMNS($B$5:B15)),"")</f>
        <v/>
      </c>
      <c r="C15" s="127" t="str">
        <f t="array" ref="C15">IFERROR(INDEX(BD[],_xlfn.AGGREGATE(15,6,IF(BD[CLASIFICACIÓN]=$B$2,ROW(BD[CLASIFICACIÓN])-ROW('PT2 (FILTRAR)'!$E$5)+1,NA()),ROWS($B$5:C15)),COLUMNS($B$5:C15)),"")</f>
        <v/>
      </c>
      <c r="D15" s="142" t="str">
        <f t="array" ref="D15">IFERROR(INDEX(BD[],_xlfn.AGGREGATE(15,6,IF(BD[CLASIFICACIÓN]=$B$2,ROW(BD[CLASIFICACIÓN])-ROW('PT2 (FILTRAR)'!$E$5)+1,NA()),ROWS($B$5:D15)),COLUMNS($B$5:D15)),"")</f>
        <v/>
      </c>
      <c r="E15" s="126" t="str">
        <f t="array" ref="E15">IFERROR(INDEX(BD[],_xlfn.AGGREGATE(15,6,IF(BD[CLASIFICACIÓN]=$B$2,ROW(BD[CLASIFICACIÓN])-ROW('PT2 (FILTRAR)'!$E$5)+1,NA()),ROWS($B$5:E15)),COLUMNS($B$5:E15)),"")</f>
        <v/>
      </c>
    </row>
    <row r="16" spans="2:5" x14ac:dyDescent="0.3">
      <c r="B16" s="126" t="str">
        <f t="array" ref="B16">IFERROR(INDEX(BD[],_xlfn.AGGREGATE(15,6,IF(BD[CLASIFICACIÓN]=$B$2,ROW(BD[CLASIFICACIÓN])-ROW('PT2 (FILTRAR)'!$E$5)+1,NA()),ROWS($B$5:B16)),COLUMNS($B$5:B16)),"")</f>
        <v/>
      </c>
      <c r="C16" s="127" t="str">
        <f t="array" ref="C16">IFERROR(INDEX(BD[],_xlfn.AGGREGATE(15,6,IF(BD[CLASIFICACIÓN]=$B$2,ROW(BD[CLASIFICACIÓN])-ROW('PT2 (FILTRAR)'!$E$5)+1,NA()),ROWS($B$5:C16)),COLUMNS($B$5:C16)),"")</f>
        <v/>
      </c>
      <c r="D16" s="142" t="str">
        <f t="array" ref="D16">IFERROR(INDEX(BD[],_xlfn.AGGREGATE(15,6,IF(BD[CLASIFICACIÓN]=$B$2,ROW(BD[CLASIFICACIÓN])-ROW('PT2 (FILTRAR)'!$E$5)+1,NA()),ROWS($B$5:D16)),COLUMNS($B$5:D16)),"")</f>
        <v/>
      </c>
      <c r="E16" s="126" t="str">
        <f t="array" ref="E16">IFERROR(INDEX(BD[],_xlfn.AGGREGATE(15,6,IF(BD[CLASIFICACIÓN]=$B$2,ROW(BD[CLASIFICACIÓN])-ROW('PT2 (FILTRAR)'!$E$5)+1,NA()),ROWS($B$5:E16)),COLUMNS($B$5:E16)),"")</f>
        <v/>
      </c>
    </row>
    <row r="17" spans="2:5" x14ac:dyDescent="0.3">
      <c r="B17" s="126" t="str">
        <f t="array" ref="B17">IFERROR(INDEX(BD[],_xlfn.AGGREGATE(15,6,IF(BD[CLASIFICACIÓN]=$B$2,ROW(BD[CLASIFICACIÓN])-ROW('PT2 (FILTRAR)'!$E$5)+1,NA()),ROWS($B$5:B17)),COLUMNS($B$5:B17)),"")</f>
        <v/>
      </c>
      <c r="C17" s="127" t="str">
        <f t="array" ref="C17">IFERROR(INDEX(BD[],_xlfn.AGGREGATE(15,6,IF(BD[CLASIFICACIÓN]=$B$2,ROW(BD[CLASIFICACIÓN])-ROW('PT2 (FILTRAR)'!$E$5)+1,NA()),ROWS($B$5:C17)),COLUMNS($B$5:C17)),"")</f>
        <v/>
      </c>
      <c r="D17" s="142" t="str">
        <f t="array" ref="D17">IFERROR(INDEX(BD[],_xlfn.AGGREGATE(15,6,IF(BD[CLASIFICACIÓN]=$B$2,ROW(BD[CLASIFICACIÓN])-ROW('PT2 (FILTRAR)'!$E$5)+1,NA()),ROWS($B$5:D17)),COLUMNS($B$5:D17)),"")</f>
        <v/>
      </c>
      <c r="E17" s="126" t="str">
        <f t="array" ref="E17">IFERROR(INDEX(BD[],_xlfn.AGGREGATE(15,6,IF(BD[CLASIFICACIÓN]=$B$2,ROW(BD[CLASIFICACIÓN])-ROW('PT2 (FILTRAR)'!$E$5)+1,NA()),ROWS($B$5:E17)),COLUMNS($B$5:E17)),"")</f>
        <v/>
      </c>
    </row>
    <row r="18" spans="2:5" x14ac:dyDescent="0.3">
      <c r="B18" s="126" t="str">
        <f t="array" ref="B18">IFERROR(INDEX(BD[],_xlfn.AGGREGATE(15,6,IF(BD[CLASIFICACIÓN]=$B$2,ROW(BD[CLASIFICACIÓN])-ROW('PT2 (FILTRAR)'!$E$5)+1,NA()),ROWS($B$5:B18)),COLUMNS($B$5:B18)),"")</f>
        <v/>
      </c>
      <c r="C18" s="127" t="str">
        <f t="array" ref="C18">IFERROR(INDEX(BD[],_xlfn.AGGREGATE(15,6,IF(BD[CLASIFICACIÓN]=$B$2,ROW(BD[CLASIFICACIÓN])-ROW('PT2 (FILTRAR)'!$E$5)+1,NA()),ROWS($B$5:C18)),COLUMNS($B$5:C18)),"")</f>
        <v/>
      </c>
      <c r="D18" s="142" t="str">
        <f t="array" ref="D18">IFERROR(INDEX(BD[],_xlfn.AGGREGATE(15,6,IF(BD[CLASIFICACIÓN]=$B$2,ROW(BD[CLASIFICACIÓN])-ROW('PT2 (FILTRAR)'!$E$5)+1,NA()),ROWS($B$5:D18)),COLUMNS($B$5:D18)),"")</f>
        <v/>
      </c>
      <c r="E18" s="126" t="str">
        <f t="array" ref="E18">IFERROR(INDEX(BD[],_xlfn.AGGREGATE(15,6,IF(BD[CLASIFICACIÓN]=$B$2,ROW(BD[CLASIFICACIÓN])-ROW('PT2 (FILTRAR)'!$E$5)+1,NA()),ROWS($B$5:E18)),COLUMNS($B$5:E18)),"")</f>
        <v/>
      </c>
    </row>
    <row r="19" spans="2:5" x14ac:dyDescent="0.3">
      <c r="B19" s="126" t="str">
        <f t="array" ref="B19">IFERROR(INDEX(BD[],_xlfn.AGGREGATE(15,6,IF(BD[CLASIFICACIÓN]=$B$2,ROW(BD[CLASIFICACIÓN])-ROW('PT2 (FILTRAR)'!$E$5)+1,NA()),ROWS($B$5:B19)),COLUMNS($B$5:B19)),"")</f>
        <v/>
      </c>
      <c r="C19" s="127" t="str">
        <f t="array" ref="C19">IFERROR(INDEX(BD[],_xlfn.AGGREGATE(15,6,IF(BD[CLASIFICACIÓN]=$B$2,ROW(BD[CLASIFICACIÓN])-ROW('PT2 (FILTRAR)'!$E$5)+1,NA()),ROWS($B$5:C19)),COLUMNS($B$5:C19)),"")</f>
        <v/>
      </c>
      <c r="D19" s="142" t="str">
        <f t="array" ref="D19">IFERROR(INDEX(BD[],_xlfn.AGGREGATE(15,6,IF(BD[CLASIFICACIÓN]=$B$2,ROW(BD[CLASIFICACIÓN])-ROW('PT2 (FILTRAR)'!$E$5)+1,NA()),ROWS($B$5:D19)),COLUMNS($B$5:D19)),"")</f>
        <v/>
      </c>
      <c r="E19" s="126" t="str">
        <f t="array" ref="E19">IFERROR(INDEX(BD[],_xlfn.AGGREGATE(15,6,IF(BD[CLASIFICACIÓN]=$B$2,ROW(BD[CLASIFICACIÓN])-ROW('PT2 (FILTRAR)'!$E$5)+1,NA()),ROWS($B$5:E19)),COLUMNS($B$5:E19)),"")</f>
        <v/>
      </c>
    </row>
    <row r="20" spans="2:5" x14ac:dyDescent="0.3">
      <c r="B20" s="126" t="str">
        <f t="array" ref="B20">IFERROR(INDEX(BD[],_xlfn.AGGREGATE(15,6,IF(BD[CLASIFICACIÓN]=$B$2,ROW(BD[CLASIFICACIÓN])-ROW('PT2 (FILTRAR)'!$E$5)+1,NA()),ROWS($B$5:B20)),COLUMNS($B$5:B20)),"")</f>
        <v/>
      </c>
      <c r="C20" s="127" t="str">
        <f t="array" ref="C20">IFERROR(INDEX(BD[],_xlfn.AGGREGATE(15,6,IF(BD[CLASIFICACIÓN]=$B$2,ROW(BD[CLASIFICACIÓN])-ROW('PT2 (FILTRAR)'!$E$5)+1,NA()),ROWS($B$5:C20)),COLUMNS($B$5:C20)),"")</f>
        <v/>
      </c>
      <c r="D20" s="142" t="str">
        <f t="array" ref="D20">IFERROR(INDEX(BD[],_xlfn.AGGREGATE(15,6,IF(BD[CLASIFICACIÓN]=$B$2,ROW(BD[CLASIFICACIÓN])-ROW('PT2 (FILTRAR)'!$E$5)+1,NA()),ROWS($B$5:D20)),COLUMNS($B$5:D20)),"")</f>
        <v/>
      </c>
      <c r="E20" s="126" t="str">
        <f t="array" ref="E20">IFERROR(INDEX(BD[],_xlfn.AGGREGATE(15,6,IF(BD[CLASIFICACIÓN]=$B$2,ROW(BD[CLASIFICACIÓN])-ROW('PT2 (FILTRAR)'!$E$5)+1,NA()),ROWS($B$5:E20)),COLUMNS($B$5:E20)),"")</f>
        <v/>
      </c>
    </row>
    <row r="21" spans="2:5" x14ac:dyDescent="0.3">
      <c r="B21" s="126" t="str">
        <f t="array" ref="B21">IFERROR(INDEX(BD[],_xlfn.AGGREGATE(15,6,IF(BD[CLASIFICACIÓN]=$B$2,ROW(BD[CLASIFICACIÓN])-ROW('PT2 (FILTRAR)'!$E$5)+1,NA()),ROWS($B$5:B21)),COLUMNS($B$5:B21)),"")</f>
        <v/>
      </c>
      <c r="C21" s="127" t="str">
        <f t="array" ref="C21">IFERROR(INDEX(BD[],_xlfn.AGGREGATE(15,6,IF(BD[CLASIFICACIÓN]=$B$2,ROW(BD[CLASIFICACIÓN])-ROW('PT2 (FILTRAR)'!$E$5)+1,NA()),ROWS($B$5:C21)),COLUMNS($B$5:C21)),"")</f>
        <v/>
      </c>
      <c r="D21" s="142" t="str">
        <f t="array" ref="D21">IFERROR(INDEX(BD[],_xlfn.AGGREGATE(15,6,IF(BD[CLASIFICACIÓN]=$B$2,ROW(BD[CLASIFICACIÓN])-ROW('PT2 (FILTRAR)'!$E$5)+1,NA()),ROWS($B$5:D21)),COLUMNS($B$5:D21)),"")</f>
        <v/>
      </c>
      <c r="E21" s="126" t="str">
        <f t="array" ref="E21">IFERROR(INDEX(BD[],_xlfn.AGGREGATE(15,6,IF(BD[CLASIFICACIÓN]=$B$2,ROW(BD[CLASIFICACIÓN])-ROW('PT2 (FILTRAR)'!$E$5)+1,NA()),ROWS($B$5:E21)),COLUMNS($B$5:E21)),"")</f>
        <v/>
      </c>
    </row>
    <row r="22" spans="2:5" x14ac:dyDescent="0.3">
      <c r="B22" s="126" t="str">
        <f t="array" ref="B22">IFERROR(INDEX(BD[],_xlfn.AGGREGATE(15,6,IF(BD[CLASIFICACIÓN]=$B$2,ROW(BD[CLASIFICACIÓN])-ROW('PT2 (FILTRAR)'!$E$5)+1,NA()),ROWS($B$5:B22)),COLUMNS($B$5:B22)),"")</f>
        <v/>
      </c>
      <c r="C22" s="127" t="str">
        <f t="array" ref="C22">IFERROR(INDEX(BD[],_xlfn.AGGREGATE(15,6,IF(BD[CLASIFICACIÓN]=$B$2,ROW(BD[CLASIFICACIÓN])-ROW('PT2 (FILTRAR)'!$E$5)+1,NA()),ROWS($B$5:C22)),COLUMNS($B$5:C22)),"")</f>
        <v/>
      </c>
      <c r="D22" s="142" t="str">
        <f t="array" ref="D22">IFERROR(INDEX(BD[],_xlfn.AGGREGATE(15,6,IF(BD[CLASIFICACIÓN]=$B$2,ROW(BD[CLASIFICACIÓN])-ROW('PT2 (FILTRAR)'!$E$5)+1,NA()),ROWS($B$5:D22)),COLUMNS($B$5:D22)),"")</f>
        <v/>
      </c>
      <c r="E22" s="126" t="str">
        <f t="array" ref="E22">IFERROR(INDEX(BD[],_xlfn.AGGREGATE(15,6,IF(BD[CLASIFICACIÓN]=$B$2,ROW(BD[CLASIFICACIÓN])-ROW('PT2 (FILTRAR)'!$E$5)+1,NA()),ROWS($B$5:E22)),COLUMNS($B$5:E22)),"")</f>
        <v/>
      </c>
    </row>
    <row r="23" spans="2:5" x14ac:dyDescent="0.3">
      <c r="B23" s="126" t="str">
        <f t="array" ref="B23">IFERROR(INDEX(BD[],_xlfn.AGGREGATE(15,6,IF(BD[CLASIFICACIÓN]=$B$2,ROW(BD[CLASIFICACIÓN])-ROW('PT2 (FILTRAR)'!$E$5)+1,NA()),ROWS($B$5:B23)),COLUMNS($B$5:B23)),"")</f>
        <v/>
      </c>
      <c r="C23" s="127" t="str">
        <f t="array" ref="C23">IFERROR(INDEX(BD[],_xlfn.AGGREGATE(15,6,IF(BD[CLASIFICACIÓN]=$B$2,ROW(BD[CLASIFICACIÓN])-ROW('PT2 (FILTRAR)'!$E$5)+1,NA()),ROWS($B$5:C23)),COLUMNS($B$5:C23)),"")</f>
        <v/>
      </c>
      <c r="D23" s="142" t="str">
        <f t="array" ref="D23">IFERROR(INDEX(BD[],_xlfn.AGGREGATE(15,6,IF(BD[CLASIFICACIÓN]=$B$2,ROW(BD[CLASIFICACIÓN])-ROW('PT2 (FILTRAR)'!$E$5)+1,NA()),ROWS($B$5:D23)),COLUMNS($B$5:D23)),"")</f>
        <v/>
      </c>
      <c r="E23" s="126" t="str">
        <f t="array" ref="E23">IFERROR(INDEX(BD[],_xlfn.AGGREGATE(15,6,IF(BD[CLASIFICACIÓN]=$B$2,ROW(BD[CLASIFICACIÓN])-ROW('PT2 (FILTRAR)'!$E$5)+1,NA()),ROWS($B$5:E23)),COLUMNS($B$5:E23)),"")</f>
        <v/>
      </c>
    </row>
    <row r="24" spans="2:5" x14ac:dyDescent="0.3">
      <c r="B24" s="126" t="str">
        <f t="array" ref="B24">IFERROR(INDEX(BD[],_xlfn.AGGREGATE(15,6,IF(BD[CLASIFICACIÓN]=$B$2,ROW(BD[CLASIFICACIÓN])-ROW('PT2 (FILTRAR)'!$E$5)+1,NA()),ROWS($B$5:B24)),COLUMNS($B$5:B24)),"")</f>
        <v/>
      </c>
      <c r="C24" s="127" t="str">
        <f t="array" ref="C24">IFERROR(INDEX(BD[],_xlfn.AGGREGATE(15,6,IF(BD[CLASIFICACIÓN]=$B$2,ROW(BD[CLASIFICACIÓN])-ROW('PT2 (FILTRAR)'!$E$5)+1,NA()),ROWS($B$5:C24)),COLUMNS($B$5:C24)),"")</f>
        <v/>
      </c>
      <c r="D24" s="142" t="str">
        <f t="array" ref="D24">IFERROR(INDEX(BD[],_xlfn.AGGREGATE(15,6,IF(BD[CLASIFICACIÓN]=$B$2,ROW(BD[CLASIFICACIÓN])-ROW('PT2 (FILTRAR)'!$E$5)+1,NA()),ROWS($B$5:D24)),COLUMNS($B$5:D24)),"")</f>
        <v/>
      </c>
      <c r="E24" s="126" t="str">
        <f t="array" ref="E24">IFERROR(INDEX(BD[],_xlfn.AGGREGATE(15,6,IF(BD[CLASIFICACIÓN]=$B$2,ROW(BD[CLASIFICACIÓN])-ROW('PT2 (FILTRAR)'!$E$5)+1,NA()),ROWS($B$5:E24)),COLUMNS($B$5:E24)),"")</f>
        <v/>
      </c>
    </row>
    <row r="25" spans="2:5" x14ac:dyDescent="0.3">
      <c r="B25" s="126" t="str">
        <f t="array" ref="B25">IFERROR(INDEX(BD[],_xlfn.AGGREGATE(15,6,IF(BD[CLASIFICACIÓN]=$B$2,ROW(BD[CLASIFICACIÓN])-ROW('PT2 (FILTRAR)'!$E$5)+1,NA()),ROWS($B$5:B25)),COLUMNS($B$5:B25)),"")</f>
        <v/>
      </c>
      <c r="C25" s="127" t="str">
        <f t="array" ref="C25">IFERROR(INDEX(BD[],_xlfn.AGGREGATE(15,6,IF(BD[CLASIFICACIÓN]=$B$2,ROW(BD[CLASIFICACIÓN])-ROW('PT2 (FILTRAR)'!$E$5)+1,NA()),ROWS($B$5:C25)),COLUMNS($B$5:C25)),"")</f>
        <v/>
      </c>
      <c r="D25" s="142" t="str">
        <f t="array" ref="D25">IFERROR(INDEX(BD[],_xlfn.AGGREGATE(15,6,IF(BD[CLASIFICACIÓN]=$B$2,ROW(BD[CLASIFICACIÓN])-ROW('PT2 (FILTRAR)'!$E$5)+1,NA()),ROWS($B$5:D25)),COLUMNS($B$5:D25)),"")</f>
        <v/>
      </c>
      <c r="E25" s="126" t="str">
        <f t="array" ref="E25">IFERROR(INDEX(BD[],_xlfn.AGGREGATE(15,6,IF(BD[CLASIFICACIÓN]=$B$2,ROW(BD[CLASIFICACIÓN])-ROW('PT2 (FILTRAR)'!$E$5)+1,NA()),ROWS($B$5:E25)),COLUMNS($B$5:E25)),"")</f>
        <v/>
      </c>
    </row>
    <row r="26" spans="2:5" x14ac:dyDescent="0.3">
      <c r="B26" s="126" t="str">
        <f t="array" ref="B26">IFERROR(INDEX(BD[],_xlfn.AGGREGATE(15,6,IF(BD[CLASIFICACIÓN]=$B$2,ROW(BD[CLASIFICACIÓN])-ROW('PT2 (FILTRAR)'!$E$5)+1,NA()),ROWS($B$5:B26)),COLUMNS($B$5:B26)),"")</f>
        <v/>
      </c>
      <c r="C26" s="127" t="str">
        <f t="array" ref="C26">IFERROR(INDEX(BD[],_xlfn.AGGREGATE(15,6,IF(BD[CLASIFICACIÓN]=$B$2,ROW(BD[CLASIFICACIÓN])-ROW('PT2 (FILTRAR)'!$E$5)+1,NA()),ROWS($B$5:C26)),COLUMNS($B$5:C26)),"")</f>
        <v/>
      </c>
      <c r="D26" s="142" t="str">
        <f t="array" ref="D26">IFERROR(INDEX(BD[],_xlfn.AGGREGATE(15,6,IF(BD[CLASIFICACIÓN]=$B$2,ROW(BD[CLASIFICACIÓN])-ROW('PT2 (FILTRAR)'!$E$5)+1,NA()),ROWS($B$5:D26)),COLUMNS($B$5:D26)),"")</f>
        <v/>
      </c>
      <c r="E26" s="126" t="str">
        <f t="array" ref="E26">IFERROR(INDEX(BD[],_xlfn.AGGREGATE(15,6,IF(BD[CLASIFICACIÓN]=$B$2,ROW(BD[CLASIFICACIÓN])-ROW('PT2 (FILTRAR)'!$E$5)+1,NA()),ROWS($B$5:E26)),COLUMNS($B$5:E26)),"")</f>
        <v/>
      </c>
    </row>
    <row r="27" spans="2:5" x14ac:dyDescent="0.3">
      <c r="B27" s="126" t="str">
        <f t="array" ref="B27">IFERROR(INDEX(BD[],_xlfn.AGGREGATE(15,6,IF(BD[CLASIFICACIÓN]=$B$2,ROW(BD[CLASIFICACIÓN])-ROW('PT2 (FILTRAR)'!$E$5)+1,NA()),ROWS($B$5:B27)),COLUMNS($B$5:B27)),"")</f>
        <v/>
      </c>
      <c r="C27" s="127" t="str">
        <f t="array" ref="C27">IFERROR(INDEX(BD[],_xlfn.AGGREGATE(15,6,IF(BD[CLASIFICACIÓN]=$B$2,ROW(BD[CLASIFICACIÓN])-ROW('PT2 (FILTRAR)'!$E$5)+1,NA()),ROWS($B$5:C27)),COLUMNS($B$5:C27)),"")</f>
        <v/>
      </c>
      <c r="D27" s="142" t="str">
        <f t="array" ref="D27">IFERROR(INDEX(BD[],_xlfn.AGGREGATE(15,6,IF(BD[CLASIFICACIÓN]=$B$2,ROW(BD[CLASIFICACIÓN])-ROW('PT2 (FILTRAR)'!$E$5)+1,NA()),ROWS($B$5:D27)),COLUMNS($B$5:D27)),"")</f>
        <v/>
      </c>
      <c r="E27" s="126" t="str">
        <f t="array" ref="E27">IFERROR(INDEX(BD[],_xlfn.AGGREGATE(15,6,IF(BD[CLASIFICACIÓN]=$B$2,ROW(BD[CLASIFICACIÓN])-ROW('PT2 (FILTRAR)'!$E$5)+1,NA()),ROWS($B$5:E27)),COLUMNS($B$5:E27)),"")</f>
        <v/>
      </c>
    </row>
    <row r="28" spans="2:5" x14ac:dyDescent="0.3">
      <c r="B28" s="126" t="str">
        <f t="array" ref="B28">IFERROR(INDEX(BD[],_xlfn.AGGREGATE(15,6,IF(BD[CLASIFICACIÓN]=$B$2,ROW(BD[CLASIFICACIÓN])-ROW('PT2 (FILTRAR)'!$E$5)+1,NA()),ROWS($B$5:B28)),COLUMNS($B$5:B28)),"")</f>
        <v/>
      </c>
      <c r="C28" s="127" t="str">
        <f t="array" ref="C28">IFERROR(INDEX(BD[],_xlfn.AGGREGATE(15,6,IF(BD[CLASIFICACIÓN]=$B$2,ROW(BD[CLASIFICACIÓN])-ROW('PT2 (FILTRAR)'!$E$5)+1,NA()),ROWS($B$5:C28)),COLUMNS($B$5:C28)),"")</f>
        <v/>
      </c>
      <c r="D28" s="142" t="str">
        <f t="array" ref="D28">IFERROR(INDEX(BD[],_xlfn.AGGREGATE(15,6,IF(BD[CLASIFICACIÓN]=$B$2,ROW(BD[CLASIFICACIÓN])-ROW('PT2 (FILTRAR)'!$E$5)+1,NA()),ROWS($B$5:D28)),COLUMNS($B$5:D28)),"")</f>
        <v/>
      </c>
      <c r="E28" s="126" t="str">
        <f t="array" ref="E28">IFERROR(INDEX(BD[],_xlfn.AGGREGATE(15,6,IF(BD[CLASIFICACIÓN]=$B$2,ROW(BD[CLASIFICACIÓN])-ROW('PT2 (FILTRAR)'!$E$5)+1,NA()),ROWS($B$5:E28)),COLUMNS($B$5:E28)),"")</f>
        <v/>
      </c>
    </row>
    <row r="29" spans="2:5" x14ac:dyDescent="0.3">
      <c r="B29" s="126" t="str">
        <f t="array" ref="B29">IFERROR(INDEX(BD[],_xlfn.AGGREGATE(15,6,IF(BD[CLASIFICACIÓN]=$B$2,ROW(BD[CLASIFICACIÓN])-ROW('PT2 (FILTRAR)'!$E$5)+1,NA()),ROWS($B$5:B29)),COLUMNS($B$5:B29)),"")</f>
        <v/>
      </c>
      <c r="C29" s="127" t="str">
        <f t="array" ref="C29">IFERROR(INDEX(BD[],_xlfn.AGGREGATE(15,6,IF(BD[CLASIFICACIÓN]=$B$2,ROW(BD[CLASIFICACIÓN])-ROW('PT2 (FILTRAR)'!$E$5)+1,NA()),ROWS($B$5:C29)),COLUMNS($B$5:C29)),"")</f>
        <v/>
      </c>
      <c r="D29" s="142" t="str">
        <f t="array" ref="D29">IFERROR(INDEX(BD[],_xlfn.AGGREGATE(15,6,IF(BD[CLASIFICACIÓN]=$B$2,ROW(BD[CLASIFICACIÓN])-ROW('PT2 (FILTRAR)'!$E$5)+1,NA()),ROWS($B$5:D29)),COLUMNS($B$5:D29)),"")</f>
        <v/>
      </c>
      <c r="E29" s="126" t="str">
        <f t="array" ref="E29">IFERROR(INDEX(BD[],_xlfn.AGGREGATE(15,6,IF(BD[CLASIFICACIÓN]=$B$2,ROW(BD[CLASIFICACIÓN])-ROW('PT2 (FILTRAR)'!$E$5)+1,NA()),ROWS($B$5:E29)),COLUMNS($B$5:E29)),"")</f>
        <v/>
      </c>
    </row>
    <row r="30" spans="2:5" x14ac:dyDescent="0.3">
      <c r="B30" s="126" t="str">
        <f t="array" ref="B30">IFERROR(INDEX(BD[],_xlfn.AGGREGATE(15,6,IF(BD[CLASIFICACIÓN]=$B$2,ROW(BD[CLASIFICACIÓN])-ROW('PT2 (FILTRAR)'!$E$5)+1,NA()),ROWS($B$5:B30)),COLUMNS($B$5:B30)),"")</f>
        <v/>
      </c>
      <c r="C30" s="127" t="str">
        <f t="array" ref="C30">IFERROR(INDEX(BD[],_xlfn.AGGREGATE(15,6,IF(BD[CLASIFICACIÓN]=$B$2,ROW(BD[CLASIFICACIÓN])-ROW('PT2 (FILTRAR)'!$E$5)+1,NA()),ROWS($B$5:C30)),COLUMNS($B$5:C30)),"")</f>
        <v/>
      </c>
      <c r="D30" s="142" t="str">
        <f t="array" ref="D30">IFERROR(INDEX(BD[],_xlfn.AGGREGATE(15,6,IF(BD[CLASIFICACIÓN]=$B$2,ROW(BD[CLASIFICACIÓN])-ROW('PT2 (FILTRAR)'!$E$5)+1,NA()),ROWS($B$5:D30)),COLUMNS($B$5:D30)),"")</f>
        <v/>
      </c>
      <c r="E30" s="126" t="str">
        <f t="array" ref="E30">IFERROR(INDEX(BD[],_xlfn.AGGREGATE(15,6,IF(BD[CLASIFICACIÓN]=$B$2,ROW(BD[CLASIFICACIÓN])-ROW('PT2 (FILTRAR)'!$E$5)+1,NA()),ROWS($B$5:E30)),COLUMNS($B$5:E30)),"")</f>
        <v/>
      </c>
    </row>
    <row r="31" spans="2:5" x14ac:dyDescent="0.3">
      <c r="B31" s="126" t="str">
        <f t="array" ref="B31">IFERROR(INDEX(BD[],_xlfn.AGGREGATE(15,6,IF(BD[CLASIFICACIÓN]=$B$2,ROW(BD[CLASIFICACIÓN])-ROW('PT2 (FILTRAR)'!$E$5)+1,NA()),ROWS($B$5:B31)),COLUMNS($B$5:B31)),"")</f>
        <v/>
      </c>
      <c r="C31" s="127" t="str">
        <f t="array" ref="C31">IFERROR(INDEX(BD[],_xlfn.AGGREGATE(15,6,IF(BD[CLASIFICACIÓN]=$B$2,ROW(BD[CLASIFICACIÓN])-ROW('PT2 (FILTRAR)'!$E$5)+1,NA()),ROWS($B$5:C31)),COLUMNS($B$5:C31)),"")</f>
        <v/>
      </c>
      <c r="D31" s="142" t="str">
        <f t="array" ref="D31">IFERROR(INDEX(BD[],_xlfn.AGGREGATE(15,6,IF(BD[CLASIFICACIÓN]=$B$2,ROW(BD[CLASIFICACIÓN])-ROW('PT2 (FILTRAR)'!$E$5)+1,NA()),ROWS($B$5:D31)),COLUMNS($B$5:D31)),"")</f>
        <v/>
      </c>
      <c r="E31" s="126" t="str">
        <f t="array" ref="E31">IFERROR(INDEX(BD[],_xlfn.AGGREGATE(15,6,IF(BD[CLASIFICACIÓN]=$B$2,ROW(BD[CLASIFICACIÓN])-ROW('PT2 (FILTRAR)'!$E$5)+1,NA()),ROWS($B$5:E31)),COLUMNS($B$5:E31)),"")</f>
        <v/>
      </c>
    </row>
    <row r="32" spans="2:5" x14ac:dyDescent="0.3">
      <c r="B32" s="126" t="str">
        <f t="array" ref="B32">IFERROR(INDEX(BD[],_xlfn.AGGREGATE(15,6,IF(BD[CLASIFICACIÓN]=$B$2,ROW(BD[CLASIFICACIÓN])-ROW('PT2 (FILTRAR)'!$E$5)+1,NA()),ROWS($B$5:B32)),COLUMNS($B$5:B32)),"")</f>
        <v/>
      </c>
      <c r="C32" s="127" t="str">
        <f t="array" ref="C32">IFERROR(INDEX(BD[],_xlfn.AGGREGATE(15,6,IF(BD[CLASIFICACIÓN]=$B$2,ROW(BD[CLASIFICACIÓN])-ROW('PT2 (FILTRAR)'!$E$5)+1,NA()),ROWS($B$5:C32)),COLUMNS($B$5:C32)),"")</f>
        <v/>
      </c>
      <c r="D32" s="142" t="str">
        <f t="array" ref="D32">IFERROR(INDEX(BD[],_xlfn.AGGREGATE(15,6,IF(BD[CLASIFICACIÓN]=$B$2,ROW(BD[CLASIFICACIÓN])-ROW('PT2 (FILTRAR)'!$E$5)+1,NA()),ROWS($B$5:D32)),COLUMNS($B$5:D32)),"")</f>
        <v/>
      </c>
      <c r="E32" s="126" t="str">
        <f t="array" ref="E32">IFERROR(INDEX(BD[],_xlfn.AGGREGATE(15,6,IF(BD[CLASIFICACIÓN]=$B$2,ROW(BD[CLASIFICACIÓN])-ROW('PT2 (FILTRAR)'!$E$5)+1,NA()),ROWS($B$5:E32)),COLUMNS($B$5:E32)),"")</f>
        <v/>
      </c>
    </row>
    <row r="33" spans="2:5" x14ac:dyDescent="0.3">
      <c r="B33" s="126" t="str">
        <f t="array" ref="B33">IFERROR(INDEX(BD[],_xlfn.AGGREGATE(15,6,IF(BD[CLASIFICACIÓN]=$B$2,ROW(BD[CLASIFICACIÓN])-ROW('PT2 (FILTRAR)'!$E$5)+1,NA()),ROWS($B$5:B33)),COLUMNS($B$5:B33)),"")</f>
        <v/>
      </c>
      <c r="C33" s="127" t="str">
        <f t="array" ref="C33">IFERROR(INDEX(BD[],_xlfn.AGGREGATE(15,6,IF(BD[CLASIFICACIÓN]=$B$2,ROW(BD[CLASIFICACIÓN])-ROW('PT2 (FILTRAR)'!$E$5)+1,NA()),ROWS($B$5:C33)),COLUMNS($B$5:C33)),"")</f>
        <v/>
      </c>
      <c r="D33" s="142" t="str">
        <f t="array" ref="D33">IFERROR(INDEX(BD[],_xlfn.AGGREGATE(15,6,IF(BD[CLASIFICACIÓN]=$B$2,ROW(BD[CLASIFICACIÓN])-ROW('PT2 (FILTRAR)'!$E$5)+1,NA()),ROWS($B$5:D33)),COLUMNS($B$5:D33)),"")</f>
        <v/>
      </c>
      <c r="E33" s="126" t="str">
        <f t="array" ref="E33">IFERROR(INDEX(BD[],_xlfn.AGGREGATE(15,6,IF(BD[CLASIFICACIÓN]=$B$2,ROW(BD[CLASIFICACIÓN])-ROW('PT2 (FILTRAR)'!$E$5)+1,NA()),ROWS($B$5:E33)),COLUMNS($B$5:E33)),"")</f>
        <v/>
      </c>
    </row>
    <row r="34" spans="2:5" x14ac:dyDescent="0.3">
      <c r="B34" s="126" t="str">
        <f t="array" ref="B34">IFERROR(INDEX(BD[],_xlfn.AGGREGATE(15,6,IF(BD[CLASIFICACIÓN]=$B$2,ROW(BD[CLASIFICACIÓN])-ROW('PT2 (FILTRAR)'!$E$5)+1,NA()),ROWS($B$5:B34)),COLUMNS($B$5:B34)),"")</f>
        <v/>
      </c>
      <c r="C34" s="127" t="str">
        <f t="array" ref="C34">IFERROR(INDEX(BD[],_xlfn.AGGREGATE(15,6,IF(BD[CLASIFICACIÓN]=$B$2,ROW(BD[CLASIFICACIÓN])-ROW('PT2 (FILTRAR)'!$E$5)+1,NA()),ROWS($B$5:C34)),COLUMNS($B$5:C34)),"")</f>
        <v/>
      </c>
      <c r="D34" s="142" t="str">
        <f t="array" ref="D34">IFERROR(INDEX(BD[],_xlfn.AGGREGATE(15,6,IF(BD[CLASIFICACIÓN]=$B$2,ROW(BD[CLASIFICACIÓN])-ROW('PT2 (FILTRAR)'!$E$5)+1,NA()),ROWS($B$5:D34)),COLUMNS($B$5:D34)),"")</f>
        <v/>
      </c>
      <c r="E34" s="126" t="str">
        <f t="array" ref="E34">IFERROR(INDEX(BD[],_xlfn.AGGREGATE(15,6,IF(BD[CLASIFICACIÓN]=$B$2,ROW(BD[CLASIFICACIÓN])-ROW('PT2 (FILTRAR)'!$E$5)+1,NA()),ROWS($B$5:E34)),COLUMNS($B$5:E34)),"")</f>
        <v/>
      </c>
    </row>
    <row r="35" spans="2:5" x14ac:dyDescent="0.3">
      <c r="B35" s="126" t="str">
        <f t="array" ref="B35">IFERROR(INDEX(BD[],_xlfn.AGGREGATE(15,6,IF(BD[CLASIFICACIÓN]=$B$2,ROW(BD[CLASIFICACIÓN])-ROW('PT2 (FILTRAR)'!$E$5)+1,NA()),ROWS($B$5:B35)),COLUMNS($B$5:B35)),"")</f>
        <v/>
      </c>
      <c r="C35" s="127" t="str">
        <f t="array" ref="C35">IFERROR(INDEX(BD[],_xlfn.AGGREGATE(15,6,IF(BD[CLASIFICACIÓN]=$B$2,ROW(BD[CLASIFICACIÓN])-ROW('PT2 (FILTRAR)'!$E$5)+1,NA()),ROWS($B$5:C35)),COLUMNS($B$5:C35)),"")</f>
        <v/>
      </c>
      <c r="D35" s="142" t="str">
        <f t="array" ref="D35">IFERROR(INDEX(BD[],_xlfn.AGGREGATE(15,6,IF(BD[CLASIFICACIÓN]=$B$2,ROW(BD[CLASIFICACIÓN])-ROW('PT2 (FILTRAR)'!$E$5)+1,NA()),ROWS($B$5:D35)),COLUMNS($B$5:D35)),"")</f>
        <v/>
      </c>
      <c r="E35" s="126" t="str">
        <f t="array" ref="E35">IFERROR(INDEX(BD[],_xlfn.AGGREGATE(15,6,IF(BD[CLASIFICACIÓN]=$B$2,ROW(BD[CLASIFICACIÓN])-ROW('PT2 (FILTRAR)'!$E$5)+1,NA()),ROWS($B$5:E35)),COLUMNS($B$5:E35)),"")</f>
        <v/>
      </c>
    </row>
    <row r="36" spans="2:5" x14ac:dyDescent="0.3">
      <c r="B36" s="126" t="str">
        <f t="array" ref="B36">IFERROR(INDEX(BD[],_xlfn.AGGREGATE(15,6,IF(BD[CLASIFICACIÓN]=$B$2,ROW(BD[CLASIFICACIÓN])-ROW('PT2 (FILTRAR)'!$E$5)+1,NA()),ROWS($B$5:B36)),COLUMNS($B$5:B36)),"")</f>
        <v/>
      </c>
      <c r="C36" s="127" t="str">
        <f t="array" ref="C36">IFERROR(INDEX(BD[],_xlfn.AGGREGATE(15,6,IF(BD[CLASIFICACIÓN]=$B$2,ROW(BD[CLASIFICACIÓN])-ROW('PT2 (FILTRAR)'!$E$5)+1,NA()),ROWS($B$5:C36)),COLUMNS($B$5:C36)),"")</f>
        <v/>
      </c>
      <c r="D36" s="142" t="str">
        <f t="array" ref="D36">IFERROR(INDEX(BD[],_xlfn.AGGREGATE(15,6,IF(BD[CLASIFICACIÓN]=$B$2,ROW(BD[CLASIFICACIÓN])-ROW('PT2 (FILTRAR)'!$E$5)+1,NA()),ROWS($B$5:D36)),COLUMNS($B$5:D36)),"")</f>
        <v/>
      </c>
      <c r="E36" s="126" t="str">
        <f t="array" ref="E36">IFERROR(INDEX(BD[],_xlfn.AGGREGATE(15,6,IF(BD[CLASIFICACIÓN]=$B$2,ROW(BD[CLASIFICACIÓN])-ROW('PT2 (FILTRAR)'!$E$5)+1,NA()),ROWS($B$5:E36)),COLUMNS($B$5:E36)),"")</f>
        <v/>
      </c>
    </row>
    <row r="37" spans="2:5" x14ac:dyDescent="0.3">
      <c r="B37" s="126" t="str">
        <f t="array" ref="B37">IFERROR(INDEX(BD[],_xlfn.AGGREGATE(15,6,IF(BD[CLASIFICACIÓN]=$B$2,ROW(BD[CLASIFICACIÓN])-ROW('PT2 (FILTRAR)'!$E$5)+1,NA()),ROWS($B$5:B37)),COLUMNS($B$5:B37)),"")</f>
        <v/>
      </c>
      <c r="C37" s="127" t="str">
        <f t="array" ref="C37">IFERROR(INDEX(BD[],_xlfn.AGGREGATE(15,6,IF(BD[CLASIFICACIÓN]=$B$2,ROW(BD[CLASIFICACIÓN])-ROW('PT2 (FILTRAR)'!$E$5)+1,NA()),ROWS($B$5:C37)),COLUMNS($B$5:C37)),"")</f>
        <v/>
      </c>
      <c r="D37" s="142" t="str">
        <f t="array" ref="D37">IFERROR(INDEX(BD[],_xlfn.AGGREGATE(15,6,IF(BD[CLASIFICACIÓN]=$B$2,ROW(BD[CLASIFICACIÓN])-ROW('PT2 (FILTRAR)'!$E$5)+1,NA()),ROWS($B$5:D37)),COLUMNS($B$5:D37)),"")</f>
        <v/>
      </c>
      <c r="E37" s="126" t="str">
        <f t="array" ref="E37">IFERROR(INDEX(BD[],_xlfn.AGGREGATE(15,6,IF(BD[CLASIFICACIÓN]=$B$2,ROW(BD[CLASIFICACIÓN])-ROW('PT2 (FILTRAR)'!$E$5)+1,NA()),ROWS($B$5:E37)),COLUMNS($B$5:E37)),"")</f>
        <v/>
      </c>
    </row>
    <row r="38" spans="2:5" x14ac:dyDescent="0.3">
      <c r="B38" s="126" t="str">
        <f t="array" ref="B38">IFERROR(INDEX(BD[],_xlfn.AGGREGATE(15,6,IF(BD[CLASIFICACIÓN]=$B$2,ROW(BD[CLASIFICACIÓN])-ROW('PT2 (FILTRAR)'!$E$5)+1,NA()),ROWS($B$5:B38)),COLUMNS($B$5:B38)),"")</f>
        <v/>
      </c>
      <c r="C38" s="127" t="str">
        <f t="array" ref="C38">IFERROR(INDEX(BD[],_xlfn.AGGREGATE(15,6,IF(BD[CLASIFICACIÓN]=$B$2,ROW(BD[CLASIFICACIÓN])-ROW('PT2 (FILTRAR)'!$E$5)+1,NA()),ROWS($B$5:C38)),COLUMNS($B$5:C38)),"")</f>
        <v/>
      </c>
      <c r="D38" s="142" t="str">
        <f t="array" ref="D38">IFERROR(INDEX(BD[],_xlfn.AGGREGATE(15,6,IF(BD[CLASIFICACIÓN]=$B$2,ROW(BD[CLASIFICACIÓN])-ROW('PT2 (FILTRAR)'!$E$5)+1,NA()),ROWS($B$5:D38)),COLUMNS($B$5:D38)),"")</f>
        <v/>
      </c>
      <c r="E38" s="126" t="str">
        <f t="array" ref="E38">IFERROR(INDEX(BD[],_xlfn.AGGREGATE(15,6,IF(BD[CLASIFICACIÓN]=$B$2,ROW(BD[CLASIFICACIÓN])-ROW('PT2 (FILTRAR)'!$E$5)+1,NA()),ROWS($B$5:E38)),COLUMNS($B$5:E38)),"")</f>
        <v/>
      </c>
    </row>
    <row r="39" spans="2:5" x14ac:dyDescent="0.3">
      <c r="B39" s="126" t="str">
        <f t="array" ref="B39">IFERROR(INDEX(BD[],_xlfn.AGGREGATE(15,6,IF(BD[CLASIFICACIÓN]=$B$2,ROW(BD[CLASIFICACIÓN])-ROW('PT2 (FILTRAR)'!$E$5)+1,NA()),ROWS($B$5:B39)),COLUMNS($B$5:B39)),"")</f>
        <v/>
      </c>
      <c r="C39" s="127" t="str">
        <f t="array" ref="C39">IFERROR(INDEX(BD[],_xlfn.AGGREGATE(15,6,IF(BD[CLASIFICACIÓN]=$B$2,ROW(BD[CLASIFICACIÓN])-ROW('PT2 (FILTRAR)'!$E$5)+1,NA()),ROWS($B$5:C39)),COLUMNS($B$5:C39)),"")</f>
        <v/>
      </c>
      <c r="D39" s="142" t="str">
        <f t="array" ref="D39">IFERROR(INDEX(BD[],_xlfn.AGGREGATE(15,6,IF(BD[CLASIFICACIÓN]=$B$2,ROW(BD[CLASIFICACIÓN])-ROW('PT2 (FILTRAR)'!$E$5)+1,NA()),ROWS($B$5:D39)),COLUMNS($B$5:D39)),"")</f>
        <v/>
      </c>
      <c r="E39" s="126" t="str">
        <f t="array" ref="E39">IFERROR(INDEX(BD[],_xlfn.AGGREGATE(15,6,IF(BD[CLASIFICACIÓN]=$B$2,ROW(BD[CLASIFICACIÓN])-ROW('PT2 (FILTRAR)'!$E$5)+1,NA()),ROWS($B$5:E39)),COLUMNS($B$5:E39)),"")</f>
        <v/>
      </c>
    </row>
    <row r="40" spans="2:5" x14ac:dyDescent="0.3">
      <c r="B40" s="126" t="str">
        <f t="array" ref="B40">IFERROR(INDEX(BD[],_xlfn.AGGREGATE(15,6,IF(BD[CLASIFICACIÓN]=$B$2,ROW(BD[CLASIFICACIÓN])-ROW('PT2 (FILTRAR)'!$E$5)+1,NA()),ROWS($B$5:B40)),COLUMNS($B$5:B40)),"")</f>
        <v/>
      </c>
      <c r="C40" s="127" t="str">
        <f t="array" ref="C40">IFERROR(INDEX(BD[],_xlfn.AGGREGATE(15,6,IF(BD[CLASIFICACIÓN]=$B$2,ROW(BD[CLASIFICACIÓN])-ROW('PT2 (FILTRAR)'!$E$5)+1,NA()),ROWS($B$5:C40)),COLUMNS($B$5:C40)),"")</f>
        <v/>
      </c>
      <c r="D40" s="142" t="str">
        <f t="array" ref="D40">IFERROR(INDEX(BD[],_xlfn.AGGREGATE(15,6,IF(BD[CLASIFICACIÓN]=$B$2,ROW(BD[CLASIFICACIÓN])-ROW('PT2 (FILTRAR)'!$E$5)+1,NA()),ROWS($B$5:D40)),COLUMNS($B$5:D40)),"")</f>
        <v/>
      </c>
      <c r="E40" s="126" t="str">
        <f t="array" ref="E40">IFERROR(INDEX(BD[],_xlfn.AGGREGATE(15,6,IF(BD[CLASIFICACIÓN]=$B$2,ROW(BD[CLASIFICACIÓN])-ROW('PT2 (FILTRAR)'!$E$5)+1,NA()),ROWS($B$5:E40)),COLUMNS($B$5:E40)),"")</f>
        <v/>
      </c>
    </row>
    <row r="41" spans="2:5" x14ac:dyDescent="0.3">
      <c r="B41" s="126" t="str">
        <f t="array" ref="B41">IFERROR(INDEX(BD[],_xlfn.AGGREGATE(15,6,IF(BD[CLASIFICACIÓN]=$B$2,ROW(BD[CLASIFICACIÓN])-ROW('PT2 (FILTRAR)'!$E$5)+1,NA()),ROWS($B$5:B41)),COLUMNS($B$5:B41)),"")</f>
        <v/>
      </c>
      <c r="C41" s="127" t="str">
        <f t="array" ref="C41">IFERROR(INDEX(BD[],_xlfn.AGGREGATE(15,6,IF(BD[CLASIFICACIÓN]=$B$2,ROW(BD[CLASIFICACIÓN])-ROW('PT2 (FILTRAR)'!$E$5)+1,NA()),ROWS($B$5:C41)),COLUMNS($B$5:C41)),"")</f>
        <v/>
      </c>
      <c r="D41" s="142" t="str">
        <f t="array" ref="D41">IFERROR(INDEX(BD[],_xlfn.AGGREGATE(15,6,IF(BD[CLASIFICACIÓN]=$B$2,ROW(BD[CLASIFICACIÓN])-ROW('PT2 (FILTRAR)'!$E$5)+1,NA()),ROWS($B$5:D41)),COLUMNS($B$5:D41)),"")</f>
        <v/>
      </c>
      <c r="E41" s="126" t="str">
        <f t="array" ref="E41">IFERROR(INDEX(BD[],_xlfn.AGGREGATE(15,6,IF(BD[CLASIFICACIÓN]=$B$2,ROW(BD[CLASIFICACIÓN])-ROW('PT2 (FILTRAR)'!$E$5)+1,NA()),ROWS($B$5:E41)),COLUMNS($B$5:E41)),"")</f>
        <v/>
      </c>
    </row>
    <row r="42" spans="2:5" x14ac:dyDescent="0.3">
      <c r="B42" s="126" t="str">
        <f t="array" ref="B42">IFERROR(INDEX(BD[],_xlfn.AGGREGATE(15,6,IF(BD[CLASIFICACIÓN]=$B$2,ROW(BD[CLASIFICACIÓN])-ROW('PT2 (FILTRAR)'!$E$5)+1,NA()),ROWS($B$5:B42)),COLUMNS($B$5:B42)),"")</f>
        <v/>
      </c>
      <c r="C42" s="127" t="str">
        <f t="array" ref="C42">IFERROR(INDEX(BD[],_xlfn.AGGREGATE(15,6,IF(BD[CLASIFICACIÓN]=$B$2,ROW(BD[CLASIFICACIÓN])-ROW('PT2 (FILTRAR)'!$E$5)+1,NA()),ROWS($B$5:C42)),COLUMNS($B$5:C42)),"")</f>
        <v/>
      </c>
      <c r="D42" s="142" t="str">
        <f t="array" ref="D42">IFERROR(INDEX(BD[],_xlfn.AGGREGATE(15,6,IF(BD[CLASIFICACIÓN]=$B$2,ROW(BD[CLASIFICACIÓN])-ROW('PT2 (FILTRAR)'!$E$5)+1,NA()),ROWS($B$5:D42)),COLUMNS($B$5:D42)),"")</f>
        <v/>
      </c>
      <c r="E42" s="126" t="str">
        <f t="array" ref="E42">IFERROR(INDEX(BD[],_xlfn.AGGREGATE(15,6,IF(BD[CLASIFICACIÓN]=$B$2,ROW(BD[CLASIFICACIÓN])-ROW('PT2 (FILTRAR)'!$E$5)+1,NA()),ROWS($B$5:E42)),COLUMNS($B$5:E42)),"")</f>
        <v/>
      </c>
    </row>
    <row r="43" spans="2:5" x14ac:dyDescent="0.3">
      <c r="B43" s="126" t="str">
        <f t="array" ref="B43">IFERROR(INDEX(BD[],_xlfn.AGGREGATE(15,6,IF(BD[CLASIFICACIÓN]=$B$2,ROW(BD[CLASIFICACIÓN])-ROW('PT2 (FILTRAR)'!$E$5)+1,NA()),ROWS($B$5:B43)),COLUMNS($B$5:B43)),"")</f>
        <v/>
      </c>
      <c r="C43" s="127" t="str">
        <f t="array" ref="C43">IFERROR(INDEX(BD[],_xlfn.AGGREGATE(15,6,IF(BD[CLASIFICACIÓN]=$B$2,ROW(BD[CLASIFICACIÓN])-ROW('PT2 (FILTRAR)'!$E$5)+1,NA()),ROWS($B$5:C43)),COLUMNS($B$5:C43)),"")</f>
        <v/>
      </c>
      <c r="D43" s="142" t="str">
        <f t="array" ref="D43">IFERROR(INDEX(BD[],_xlfn.AGGREGATE(15,6,IF(BD[CLASIFICACIÓN]=$B$2,ROW(BD[CLASIFICACIÓN])-ROW('PT2 (FILTRAR)'!$E$5)+1,NA()),ROWS($B$5:D43)),COLUMNS($B$5:D43)),"")</f>
        <v/>
      </c>
      <c r="E43" s="126" t="str">
        <f t="array" ref="E43">IFERROR(INDEX(BD[],_xlfn.AGGREGATE(15,6,IF(BD[CLASIFICACIÓN]=$B$2,ROW(BD[CLASIFICACIÓN])-ROW('PT2 (FILTRAR)'!$E$5)+1,NA()),ROWS($B$5:E43)),COLUMNS($B$5:E43)),"")</f>
        <v/>
      </c>
    </row>
    <row r="44" spans="2:5" x14ac:dyDescent="0.3">
      <c r="B44" s="126" t="str">
        <f t="array" ref="B44">IFERROR(INDEX(BD[],_xlfn.AGGREGATE(15,6,IF(BD[CLASIFICACIÓN]=$B$2,ROW(BD[CLASIFICACIÓN])-ROW('PT2 (FILTRAR)'!$E$5)+1,NA()),ROWS($B$5:B44)),COLUMNS($B$5:B44)),"")</f>
        <v/>
      </c>
      <c r="C44" s="127" t="str">
        <f t="array" ref="C44">IFERROR(INDEX(BD[],_xlfn.AGGREGATE(15,6,IF(BD[CLASIFICACIÓN]=$B$2,ROW(BD[CLASIFICACIÓN])-ROW('PT2 (FILTRAR)'!$E$5)+1,NA()),ROWS($B$5:C44)),COLUMNS($B$5:C44)),"")</f>
        <v/>
      </c>
      <c r="D44" s="142" t="str">
        <f t="array" ref="D44">IFERROR(INDEX(BD[],_xlfn.AGGREGATE(15,6,IF(BD[CLASIFICACIÓN]=$B$2,ROW(BD[CLASIFICACIÓN])-ROW('PT2 (FILTRAR)'!$E$5)+1,NA()),ROWS($B$5:D44)),COLUMNS($B$5:D44)),"")</f>
        <v/>
      </c>
      <c r="E44" s="126" t="str">
        <f t="array" ref="E44">IFERROR(INDEX(BD[],_xlfn.AGGREGATE(15,6,IF(BD[CLASIFICACIÓN]=$B$2,ROW(BD[CLASIFICACIÓN])-ROW('PT2 (FILTRAR)'!$E$5)+1,NA()),ROWS($B$5:E44)),COLUMNS($B$5:E44)),"")</f>
        <v/>
      </c>
    </row>
    <row r="45" spans="2:5" x14ac:dyDescent="0.3">
      <c r="B45" s="126" t="str">
        <f t="array" ref="B45">IFERROR(INDEX(BD[],_xlfn.AGGREGATE(15,6,IF(BD[CLASIFICACIÓN]=$B$2,ROW(BD[CLASIFICACIÓN])-ROW('PT2 (FILTRAR)'!$E$5)+1,NA()),ROWS($B$5:B45)),COLUMNS($B$5:B45)),"")</f>
        <v/>
      </c>
      <c r="C45" s="127" t="str">
        <f t="array" ref="C45">IFERROR(INDEX(BD[],_xlfn.AGGREGATE(15,6,IF(BD[CLASIFICACIÓN]=$B$2,ROW(BD[CLASIFICACIÓN])-ROW('PT2 (FILTRAR)'!$E$5)+1,NA()),ROWS($B$5:C45)),COLUMNS($B$5:C45)),"")</f>
        <v/>
      </c>
      <c r="D45" s="142" t="str">
        <f t="array" ref="D45">IFERROR(INDEX(BD[],_xlfn.AGGREGATE(15,6,IF(BD[CLASIFICACIÓN]=$B$2,ROW(BD[CLASIFICACIÓN])-ROW('PT2 (FILTRAR)'!$E$5)+1,NA()),ROWS($B$5:D45)),COLUMNS($B$5:D45)),"")</f>
        <v/>
      </c>
      <c r="E45" s="126" t="str">
        <f t="array" ref="E45">IFERROR(INDEX(BD[],_xlfn.AGGREGATE(15,6,IF(BD[CLASIFICACIÓN]=$B$2,ROW(BD[CLASIFICACIÓN])-ROW('PT2 (FILTRAR)'!$E$5)+1,NA()),ROWS($B$5:E45)),COLUMNS($B$5:E45)),"")</f>
        <v/>
      </c>
    </row>
    <row r="46" spans="2:5" x14ac:dyDescent="0.3">
      <c r="B46" s="126" t="str">
        <f t="array" ref="B46">IFERROR(INDEX(BD[],_xlfn.AGGREGATE(15,6,IF(BD[CLASIFICACIÓN]=$B$2,ROW(BD[CLASIFICACIÓN])-ROW('PT2 (FILTRAR)'!$E$5)+1,NA()),ROWS($B$5:B46)),COLUMNS($B$5:B46)),"")</f>
        <v/>
      </c>
      <c r="C46" s="127" t="str">
        <f t="array" ref="C46">IFERROR(INDEX(BD[],_xlfn.AGGREGATE(15,6,IF(BD[CLASIFICACIÓN]=$B$2,ROW(BD[CLASIFICACIÓN])-ROW('PT2 (FILTRAR)'!$E$5)+1,NA()),ROWS($B$5:C46)),COLUMNS($B$5:C46)),"")</f>
        <v/>
      </c>
      <c r="D46" s="142" t="str">
        <f t="array" ref="D46">IFERROR(INDEX(BD[],_xlfn.AGGREGATE(15,6,IF(BD[CLASIFICACIÓN]=$B$2,ROW(BD[CLASIFICACIÓN])-ROW('PT2 (FILTRAR)'!$E$5)+1,NA()),ROWS($B$5:D46)),COLUMNS($B$5:D46)),"")</f>
        <v/>
      </c>
      <c r="E46" s="126" t="str">
        <f t="array" ref="E46">IFERROR(INDEX(BD[],_xlfn.AGGREGATE(15,6,IF(BD[CLASIFICACIÓN]=$B$2,ROW(BD[CLASIFICACIÓN])-ROW('PT2 (FILTRAR)'!$E$5)+1,NA()),ROWS($B$5:E46)),COLUMNS($B$5:E46)),"")</f>
        <v/>
      </c>
    </row>
    <row r="47" spans="2:5" x14ac:dyDescent="0.3">
      <c r="B47" s="126" t="str">
        <f t="array" ref="B47">IFERROR(INDEX(BD[],_xlfn.AGGREGATE(15,6,IF(BD[CLASIFICACIÓN]=$B$2,ROW(BD[CLASIFICACIÓN])-ROW('PT2 (FILTRAR)'!$E$5)+1,NA()),ROWS($B$5:B47)),COLUMNS($B$5:B47)),"")</f>
        <v/>
      </c>
      <c r="C47" s="127" t="str">
        <f t="array" ref="C47">IFERROR(INDEX(BD[],_xlfn.AGGREGATE(15,6,IF(BD[CLASIFICACIÓN]=$B$2,ROW(BD[CLASIFICACIÓN])-ROW('PT2 (FILTRAR)'!$E$5)+1,NA()),ROWS($B$5:C47)),COLUMNS($B$5:C47)),"")</f>
        <v/>
      </c>
      <c r="D47" s="142" t="str">
        <f t="array" ref="D47">IFERROR(INDEX(BD[],_xlfn.AGGREGATE(15,6,IF(BD[CLASIFICACIÓN]=$B$2,ROW(BD[CLASIFICACIÓN])-ROW('PT2 (FILTRAR)'!$E$5)+1,NA()),ROWS($B$5:D47)),COLUMNS($B$5:D47)),"")</f>
        <v/>
      </c>
      <c r="E47" s="126" t="str">
        <f t="array" ref="E47">IFERROR(INDEX(BD[],_xlfn.AGGREGATE(15,6,IF(BD[CLASIFICACIÓN]=$B$2,ROW(BD[CLASIFICACIÓN])-ROW('PT2 (FILTRAR)'!$E$5)+1,NA()),ROWS($B$5:E47)),COLUMNS($B$5:E47)),"")</f>
        <v/>
      </c>
    </row>
    <row r="48" spans="2:5" x14ac:dyDescent="0.3">
      <c r="B48" s="126" t="str">
        <f t="array" ref="B48">IFERROR(INDEX(BD[],_xlfn.AGGREGATE(15,6,IF(BD[CLASIFICACIÓN]=$B$2,ROW(BD[CLASIFICACIÓN])-ROW('PT2 (FILTRAR)'!$E$5)+1,NA()),ROWS($B$5:B48)),COLUMNS($B$5:B48)),"")</f>
        <v/>
      </c>
      <c r="C48" s="127" t="str">
        <f t="array" ref="C48">IFERROR(INDEX(BD[],_xlfn.AGGREGATE(15,6,IF(BD[CLASIFICACIÓN]=$B$2,ROW(BD[CLASIFICACIÓN])-ROW('PT2 (FILTRAR)'!$E$5)+1,NA()),ROWS($B$5:C48)),COLUMNS($B$5:C48)),"")</f>
        <v/>
      </c>
      <c r="D48" s="142" t="str">
        <f t="array" ref="D48">IFERROR(INDEX(BD[],_xlfn.AGGREGATE(15,6,IF(BD[CLASIFICACIÓN]=$B$2,ROW(BD[CLASIFICACIÓN])-ROW('PT2 (FILTRAR)'!$E$5)+1,NA()),ROWS($B$5:D48)),COLUMNS($B$5:D48)),"")</f>
        <v/>
      </c>
      <c r="E48" s="126" t="str">
        <f t="array" ref="E48">IFERROR(INDEX(BD[],_xlfn.AGGREGATE(15,6,IF(BD[CLASIFICACIÓN]=$B$2,ROW(BD[CLASIFICACIÓN])-ROW('PT2 (FILTRAR)'!$E$5)+1,NA()),ROWS($B$5:E48)),COLUMNS($B$5:E48)),"")</f>
        <v/>
      </c>
    </row>
    <row r="49" spans="2:5" x14ac:dyDescent="0.3">
      <c r="B49" s="126" t="str">
        <f t="array" ref="B49">IFERROR(INDEX(BD[],_xlfn.AGGREGATE(15,6,IF(BD[CLASIFICACIÓN]=$B$2,ROW(BD[CLASIFICACIÓN])-ROW('PT2 (FILTRAR)'!$E$5)+1,NA()),ROWS($B$5:B49)),COLUMNS($B$5:B49)),"")</f>
        <v/>
      </c>
      <c r="C49" s="127" t="str">
        <f t="array" ref="C49">IFERROR(INDEX(BD[],_xlfn.AGGREGATE(15,6,IF(BD[CLASIFICACIÓN]=$B$2,ROW(BD[CLASIFICACIÓN])-ROW('PT2 (FILTRAR)'!$E$5)+1,NA()),ROWS($B$5:C49)),COLUMNS($B$5:C49)),"")</f>
        <v/>
      </c>
      <c r="D49" s="142" t="str">
        <f t="array" ref="D49">IFERROR(INDEX(BD[],_xlfn.AGGREGATE(15,6,IF(BD[CLASIFICACIÓN]=$B$2,ROW(BD[CLASIFICACIÓN])-ROW('PT2 (FILTRAR)'!$E$5)+1,NA()),ROWS($B$5:D49)),COLUMNS($B$5:D49)),"")</f>
        <v/>
      </c>
      <c r="E49" s="126" t="str">
        <f t="array" ref="E49">IFERROR(INDEX(BD[],_xlfn.AGGREGATE(15,6,IF(BD[CLASIFICACIÓN]=$B$2,ROW(BD[CLASIFICACIÓN])-ROW('PT2 (FILTRAR)'!$E$5)+1,NA()),ROWS($B$5:E49)),COLUMNS($B$5:E49)),"")</f>
        <v/>
      </c>
    </row>
    <row r="50" spans="2:5" x14ac:dyDescent="0.3">
      <c r="B50" s="126" t="str">
        <f t="array" ref="B50">IFERROR(INDEX(BD[],_xlfn.AGGREGATE(15,6,IF(BD[CLASIFICACIÓN]=$B$2,ROW(BD[CLASIFICACIÓN])-ROW('PT2 (FILTRAR)'!$E$5)+1,NA()),ROWS($B$5:B50)),COLUMNS($B$5:B50)),"")</f>
        <v/>
      </c>
      <c r="C50" s="127" t="str">
        <f t="array" ref="C50">IFERROR(INDEX(BD[],_xlfn.AGGREGATE(15,6,IF(BD[CLASIFICACIÓN]=$B$2,ROW(BD[CLASIFICACIÓN])-ROW('PT2 (FILTRAR)'!$E$5)+1,NA()),ROWS($B$5:C50)),COLUMNS($B$5:C50)),"")</f>
        <v/>
      </c>
      <c r="D50" s="142" t="str">
        <f t="array" ref="D50">IFERROR(INDEX(BD[],_xlfn.AGGREGATE(15,6,IF(BD[CLASIFICACIÓN]=$B$2,ROW(BD[CLASIFICACIÓN])-ROW('PT2 (FILTRAR)'!$E$5)+1,NA()),ROWS($B$5:D50)),COLUMNS($B$5:D50)),"")</f>
        <v/>
      </c>
      <c r="E50" s="126" t="str">
        <f t="array" ref="E50">IFERROR(INDEX(BD[],_xlfn.AGGREGATE(15,6,IF(BD[CLASIFICACIÓN]=$B$2,ROW(BD[CLASIFICACIÓN])-ROW('PT2 (FILTRAR)'!$E$5)+1,NA()),ROWS($B$5:E50)),COLUMNS($B$5:E50)),"")</f>
        <v/>
      </c>
    </row>
    <row r="51" spans="2:5" x14ac:dyDescent="0.3">
      <c r="B51" s="126" t="str">
        <f t="array" ref="B51">IFERROR(INDEX(BD[],_xlfn.AGGREGATE(15,6,IF(BD[CLASIFICACIÓN]=$B$2,ROW(BD[CLASIFICACIÓN])-ROW('PT2 (FILTRAR)'!$E$5)+1,NA()),ROWS($B$5:B51)),COLUMNS($B$5:B51)),"")</f>
        <v/>
      </c>
      <c r="C51" s="127" t="str">
        <f t="array" ref="C51">IFERROR(INDEX(BD[],_xlfn.AGGREGATE(15,6,IF(BD[CLASIFICACIÓN]=$B$2,ROW(BD[CLASIFICACIÓN])-ROW('PT2 (FILTRAR)'!$E$5)+1,NA()),ROWS($B$5:C51)),COLUMNS($B$5:C51)),"")</f>
        <v/>
      </c>
      <c r="D51" s="142" t="str">
        <f t="array" ref="D51">IFERROR(INDEX(BD[],_xlfn.AGGREGATE(15,6,IF(BD[CLASIFICACIÓN]=$B$2,ROW(BD[CLASIFICACIÓN])-ROW('PT2 (FILTRAR)'!$E$5)+1,NA()),ROWS($B$5:D51)),COLUMNS($B$5:D51)),"")</f>
        <v/>
      </c>
      <c r="E51" s="126" t="str">
        <f t="array" ref="E51">IFERROR(INDEX(BD[],_xlfn.AGGREGATE(15,6,IF(BD[CLASIFICACIÓN]=$B$2,ROW(BD[CLASIFICACIÓN])-ROW('PT2 (FILTRAR)'!$E$5)+1,NA()),ROWS($B$5:E51)),COLUMNS($B$5:E51)),"")</f>
        <v/>
      </c>
    </row>
    <row r="52" spans="2:5" x14ac:dyDescent="0.3">
      <c r="B52" s="126" t="str">
        <f t="array" ref="B52">IFERROR(INDEX(BD[],_xlfn.AGGREGATE(15,6,IF(BD[CLASIFICACIÓN]=$B$2,ROW(BD[CLASIFICACIÓN])-ROW('PT2 (FILTRAR)'!$E$5)+1,NA()),ROWS($B$5:B52)),COLUMNS($B$5:B52)),"")</f>
        <v/>
      </c>
      <c r="C52" s="127" t="str">
        <f t="array" ref="C52">IFERROR(INDEX(BD[],_xlfn.AGGREGATE(15,6,IF(BD[CLASIFICACIÓN]=$B$2,ROW(BD[CLASIFICACIÓN])-ROW('PT2 (FILTRAR)'!$E$5)+1,NA()),ROWS($B$5:C52)),COLUMNS($B$5:C52)),"")</f>
        <v/>
      </c>
      <c r="D52" s="142" t="str">
        <f t="array" ref="D52">IFERROR(INDEX(BD[],_xlfn.AGGREGATE(15,6,IF(BD[CLASIFICACIÓN]=$B$2,ROW(BD[CLASIFICACIÓN])-ROW('PT2 (FILTRAR)'!$E$5)+1,NA()),ROWS($B$5:D52)),COLUMNS($B$5:D52)),"")</f>
        <v/>
      </c>
      <c r="E52" s="126" t="str">
        <f t="array" ref="E52">IFERROR(INDEX(BD[],_xlfn.AGGREGATE(15,6,IF(BD[CLASIFICACIÓN]=$B$2,ROW(BD[CLASIFICACIÓN])-ROW('PT2 (FILTRAR)'!$E$5)+1,NA()),ROWS($B$5:E52)),COLUMNS($B$5:E52)),"")</f>
        <v/>
      </c>
    </row>
    <row r="53" spans="2:5" x14ac:dyDescent="0.3">
      <c r="B53" s="126" t="str">
        <f t="array" ref="B53">IFERROR(INDEX(BD[],_xlfn.AGGREGATE(15,6,IF(BD[CLASIFICACIÓN]=$B$2,ROW(BD[CLASIFICACIÓN])-ROW('PT2 (FILTRAR)'!$E$5)+1,NA()),ROWS($B$5:B53)),COLUMNS($B$5:B53)),"")</f>
        <v/>
      </c>
      <c r="C53" s="127" t="str">
        <f t="array" ref="C53">IFERROR(INDEX(BD[],_xlfn.AGGREGATE(15,6,IF(BD[CLASIFICACIÓN]=$B$2,ROW(BD[CLASIFICACIÓN])-ROW('PT2 (FILTRAR)'!$E$5)+1,NA()),ROWS($B$5:C53)),COLUMNS($B$5:C53)),"")</f>
        <v/>
      </c>
      <c r="D53" s="142" t="str">
        <f t="array" ref="D53">IFERROR(INDEX(BD[],_xlfn.AGGREGATE(15,6,IF(BD[CLASIFICACIÓN]=$B$2,ROW(BD[CLASIFICACIÓN])-ROW('PT2 (FILTRAR)'!$E$5)+1,NA()),ROWS($B$5:D53)),COLUMNS($B$5:D53)),"")</f>
        <v/>
      </c>
      <c r="E53" s="126" t="str">
        <f t="array" ref="E53">IFERROR(INDEX(BD[],_xlfn.AGGREGATE(15,6,IF(BD[CLASIFICACIÓN]=$B$2,ROW(BD[CLASIFICACIÓN])-ROW('PT2 (FILTRAR)'!$E$5)+1,NA()),ROWS($B$5:E53)),COLUMNS($B$5:E53)),"")</f>
        <v/>
      </c>
    </row>
    <row r="54" spans="2:5" x14ac:dyDescent="0.3">
      <c r="B54" s="126" t="str">
        <f t="array" ref="B54">IFERROR(INDEX(BD[],_xlfn.AGGREGATE(15,6,IF(BD[CLASIFICACIÓN]=$B$2,ROW(BD[CLASIFICACIÓN])-ROW('PT2 (FILTRAR)'!$E$5)+1,NA()),ROWS($B$5:B54)),COLUMNS($B$5:B54)),"")</f>
        <v/>
      </c>
      <c r="C54" s="127" t="str">
        <f t="array" ref="C54">IFERROR(INDEX(BD[],_xlfn.AGGREGATE(15,6,IF(BD[CLASIFICACIÓN]=$B$2,ROW(BD[CLASIFICACIÓN])-ROW('PT2 (FILTRAR)'!$E$5)+1,NA()),ROWS($B$5:C54)),COLUMNS($B$5:C54)),"")</f>
        <v/>
      </c>
      <c r="D54" s="142" t="str">
        <f t="array" ref="D54">IFERROR(INDEX(BD[],_xlfn.AGGREGATE(15,6,IF(BD[CLASIFICACIÓN]=$B$2,ROW(BD[CLASIFICACIÓN])-ROW('PT2 (FILTRAR)'!$E$5)+1,NA()),ROWS($B$5:D54)),COLUMNS($B$5:D54)),"")</f>
        <v/>
      </c>
      <c r="E54" s="126" t="str">
        <f t="array" ref="E54">IFERROR(INDEX(BD[],_xlfn.AGGREGATE(15,6,IF(BD[CLASIFICACIÓN]=$B$2,ROW(BD[CLASIFICACIÓN])-ROW('PT2 (FILTRAR)'!$E$5)+1,NA()),ROWS($B$5:E54)),COLUMNS($B$5:E54)),"")</f>
        <v/>
      </c>
    </row>
    <row r="55" spans="2:5" x14ac:dyDescent="0.3">
      <c r="B55" s="126" t="str">
        <f t="array" ref="B55">IFERROR(INDEX(BD[],_xlfn.AGGREGATE(15,6,IF(BD[CLASIFICACIÓN]=$B$2,ROW(BD[CLASIFICACIÓN])-ROW('PT2 (FILTRAR)'!$E$5)+1,NA()),ROWS($B$5:B55)),COLUMNS($B$5:B55)),"")</f>
        <v/>
      </c>
      <c r="C55" s="127" t="str">
        <f t="array" ref="C55">IFERROR(INDEX(BD[],_xlfn.AGGREGATE(15,6,IF(BD[CLASIFICACIÓN]=$B$2,ROW(BD[CLASIFICACIÓN])-ROW('PT2 (FILTRAR)'!$E$5)+1,NA()),ROWS($B$5:C55)),COLUMNS($B$5:C55)),"")</f>
        <v/>
      </c>
      <c r="D55" s="142" t="str">
        <f t="array" ref="D55">IFERROR(INDEX(BD[],_xlfn.AGGREGATE(15,6,IF(BD[CLASIFICACIÓN]=$B$2,ROW(BD[CLASIFICACIÓN])-ROW('PT2 (FILTRAR)'!$E$5)+1,NA()),ROWS($B$5:D55)),COLUMNS($B$5:D55)),"")</f>
        <v/>
      </c>
      <c r="E55" s="126" t="str">
        <f t="array" ref="E55">IFERROR(INDEX(BD[],_xlfn.AGGREGATE(15,6,IF(BD[CLASIFICACIÓN]=$B$2,ROW(BD[CLASIFICACIÓN])-ROW('PT2 (FILTRAR)'!$E$5)+1,NA()),ROWS($B$5:E55)),COLUMNS($B$5:E55)),"")</f>
        <v/>
      </c>
    </row>
    <row r="56" spans="2:5" x14ac:dyDescent="0.3">
      <c r="B56" s="126" t="str">
        <f t="array" ref="B56">IFERROR(INDEX(BD[],_xlfn.AGGREGATE(15,6,IF(BD[CLASIFICACIÓN]=$B$2,ROW(BD[CLASIFICACIÓN])-ROW('PT2 (FILTRAR)'!$E$5)+1,NA()),ROWS($B$5:B56)),COLUMNS($B$5:B56)),"")</f>
        <v/>
      </c>
      <c r="C56" s="127" t="str">
        <f t="array" ref="C56">IFERROR(INDEX(BD[],_xlfn.AGGREGATE(15,6,IF(BD[CLASIFICACIÓN]=$B$2,ROW(BD[CLASIFICACIÓN])-ROW('PT2 (FILTRAR)'!$E$5)+1,NA()),ROWS($B$5:C56)),COLUMNS($B$5:C56)),"")</f>
        <v/>
      </c>
      <c r="D56" s="142" t="str">
        <f t="array" ref="D56">IFERROR(INDEX(BD[],_xlfn.AGGREGATE(15,6,IF(BD[CLASIFICACIÓN]=$B$2,ROW(BD[CLASIFICACIÓN])-ROW('PT2 (FILTRAR)'!$E$5)+1,NA()),ROWS($B$5:D56)),COLUMNS($B$5:D56)),"")</f>
        <v/>
      </c>
      <c r="E56" s="126" t="str">
        <f t="array" ref="E56">IFERROR(INDEX(BD[],_xlfn.AGGREGATE(15,6,IF(BD[CLASIFICACIÓN]=$B$2,ROW(BD[CLASIFICACIÓN])-ROW('PT2 (FILTRAR)'!$E$5)+1,NA()),ROWS($B$5:E56)),COLUMNS($B$5:E56)),"")</f>
        <v/>
      </c>
    </row>
    <row r="57" spans="2:5" x14ac:dyDescent="0.3">
      <c r="B57" s="126" t="str">
        <f t="array" ref="B57">IFERROR(INDEX(BD[],_xlfn.AGGREGATE(15,6,IF(BD[CLASIFICACIÓN]=$B$2,ROW(BD[CLASIFICACIÓN])-ROW('PT2 (FILTRAR)'!$E$5)+1,NA()),ROWS($B$5:B57)),COLUMNS($B$5:B57)),"")</f>
        <v/>
      </c>
      <c r="C57" s="127" t="str">
        <f t="array" ref="C57">IFERROR(INDEX(BD[],_xlfn.AGGREGATE(15,6,IF(BD[CLASIFICACIÓN]=$B$2,ROW(BD[CLASIFICACIÓN])-ROW('PT2 (FILTRAR)'!$E$5)+1,NA()),ROWS($B$5:C57)),COLUMNS($B$5:C57)),"")</f>
        <v/>
      </c>
      <c r="D57" s="142" t="str">
        <f t="array" ref="D57">IFERROR(INDEX(BD[],_xlfn.AGGREGATE(15,6,IF(BD[CLASIFICACIÓN]=$B$2,ROW(BD[CLASIFICACIÓN])-ROW('PT2 (FILTRAR)'!$E$5)+1,NA()),ROWS($B$5:D57)),COLUMNS($B$5:D57)),"")</f>
        <v/>
      </c>
      <c r="E57" s="126" t="str">
        <f t="array" ref="E57">IFERROR(INDEX(BD[],_xlfn.AGGREGATE(15,6,IF(BD[CLASIFICACIÓN]=$B$2,ROW(BD[CLASIFICACIÓN])-ROW('PT2 (FILTRAR)'!$E$5)+1,NA()),ROWS($B$5:E57)),COLUMNS($B$5:E57)),"")</f>
        <v/>
      </c>
    </row>
    <row r="58" spans="2:5" x14ac:dyDescent="0.3">
      <c r="B58" s="126" t="str">
        <f t="array" ref="B58">IFERROR(INDEX(BD[],_xlfn.AGGREGATE(15,6,IF(BD[CLASIFICACIÓN]=$B$2,ROW(BD[CLASIFICACIÓN])-ROW('PT2 (FILTRAR)'!$E$5)+1,NA()),ROWS($B$5:B58)),COLUMNS($B$5:B58)),"")</f>
        <v/>
      </c>
      <c r="C58" s="127" t="str">
        <f t="array" ref="C58">IFERROR(INDEX(BD[],_xlfn.AGGREGATE(15,6,IF(BD[CLASIFICACIÓN]=$B$2,ROW(BD[CLASIFICACIÓN])-ROW('PT2 (FILTRAR)'!$E$5)+1,NA()),ROWS($B$5:C58)),COLUMNS($B$5:C58)),"")</f>
        <v/>
      </c>
      <c r="D58" s="142" t="str">
        <f t="array" ref="D58">IFERROR(INDEX(BD[],_xlfn.AGGREGATE(15,6,IF(BD[CLASIFICACIÓN]=$B$2,ROW(BD[CLASIFICACIÓN])-ROW('PT2 (FILTRAR)'!$E$5)+1,NA()),ROWS($B$5:D58)),COLUMNS($B$5:D58)),"")</f>
        <v/>
      </c>
      <c r="E58" s="126" t="str">
        <f t="array" ref="E58">IFERROR(INDEX(BD[],_xlfn.AGGREGATE(15,6,IF(BD[CLASIFICACIÓN]=$B$2,ROW(BD[CLASIFICACIÓN])-ROW('PT2 (FILTRAR)'!$E$5)+1,NA()),ROWS($B$5:E58)),COLUMNS($B$5:E58)),"")</f>
        <v/>
      </c>
    </row>
    <row r="59" spans="2:5" x14ac:dyDescent="0.3">
      <c r="B59" s="126" t="str">
        <f t="array" ref="B59">IFERROR(INDEX(BD[],_xlfn.AGGREGATE(15,6,IF(BD[CLASIFICACIÓN]=$B$2,ROW(BD[CLASIFICACIÓN])-ROW('PT2 (FILTRAR)'!$E$5)+1,NA()),ROWS($B$5:B59)),COLUMNS($B$5:B59)),"")</f>
        <v/>
      </c>
      <c r="C59" s="127" t="str">
        <f t="array" ref="C59">IFERROR(INDEX(BD[],_xlfn.AGGREGATE(15,6,IF(BD[CLASIFICACIÓN]=$B$2,ROW(BD[CLASIFICACIÓN])-ROW('PT2 (FILTRAR)'!$E$5)+1,NA()),ROWS($B$5:C59)),COLUMNS($B$5:C59)),"")</f>
        <v/>
      </c>
      <c r="D59" s="142" t="str">
        <f t="array" ref="D59">IFERROR(INDEX(BD[],_xlfn.AGGREGATE(15,6,IF(BD[CLASIFICACIÓN]=$B$2,ROW(BD[CLASIFICACIÓN])-ROW('PT2 (FILTRAR)'!$E$5)+1,NA()),ROWS($B$5:D59)),COLUMNS($B$5:D59)),"")</f>
        <v/>
      </c>
      <c r="E59" s="126" t="str">
        <f t="array" ref="E59">IFERROR(INDEX(BD[],_xlfn.AGGREGATE(15,6,IF(BD[CLASIFICACIÓN]=$B$2,ROW(BD[CLASIFICACIÓN])-ROW('PT2 (FILTRAR)'!$E$5)+1,NA()),ROWS($B$5:E59)),COLUMNS($B$5:E59)),"")</f>
        <v/>
      </c>
    </row>
    <row r="60" spans="2:5" x14ac:dyDescent="0.3">
      <c r="B60" s="126" t="str">
        <f t="array" ref="B60">IFERROR(INDEX(BD[],_xlfn.AGGREGATE(15,6,IF(BD[CLASIFICACIÓN]=$B$2,ROW(BD[CLASIFICACIÓN])-ROW('PT2 (FILTRAR)'!$E$5)+1,NA()),ROWS($B$5:B60)),COLUMNS($B$5:B60)),"")</f>
        <v/>
      </c>
      <c r="C60" s="127" t="str">
        <f t="array" ref="C60">IFERROR(INDEX(BD[],_xlfn.AGGREGATE(15,6,IF(BD[CLASIFICACIÓN]=$B$2,ROW(BD[CLASIFICACIÓN])-ROW('PT2 (FILTRAR)'!$E$5)+1,NA()),ROWS($B$5:C60)),COLUMNS($B$5:C60)),"")</f>
        <v/>
      </c>
      <c r="D60" s="142" t="str">
        <f t="array" ref="D60">IFERROR(INDEX(BD[],_xlfn.AGGREGATE(15,6,IF(BD[CLASIFICACIÓN]=$B$2,ROW(BD[CLASIFICACIÓN])-ROW('PT2 (FILTRAR)'!$E$5)+1,NA()),ROWS($B$5:D60)),COLUMNS($B$5:D60)),"")</f>
        <v/>
      </c>
      <c r="E60" s="126" t="str">
        <f t="array" ref="E60">IFERROR(INDEX(BD[],_xlfn.AGGREGATE(15,6,IF(BD[CLASIFICACIÓN]=$B$2,ROW(BD[CLASIFICACIÓN])-ROW('PT2 (FILTRAR)'!$E$5)+1,NA()),ROWS($B$5:E60)),COLUMNS($B$5:E60)),"")</f>
        <v/>
      </c>
    </row>
    <row r="61" spans="2:5" x14ac:dyDescent="0.3">
      <c r="B61" s="126" t="str">
        <f t="array" ref="B61">IFERROR(INDEX(BD[],_xlfn.AGGREGATE(15,6,IF(BD[CLASIFICACIÓN]=$B$2,ROW(BD[CLASIFICACIÓN])-ROW('PT2 (FILTRAR)'!$E$5)+1,NA()),ROWS($B$5:B61)),COLUMNS($B$5:B61)),"")</f>
        <v/>
      </c>
      <c r="C61" s="127" t="str">
        <f t="array" ref="C61">IFERROR(INDEX(BD[],_xlfn.AGGREGATE(15,6,IF(BD[CLASIFICACIÓN]=$B$2,ROW(BD[CLASIFICACIÓN])-ROW('PT2 (FILTRAR)'!$E$5)+1,NA()),ROWS($B$5:C61)),COLUMNS($B$5:C61)),"")</f>
        <v/>
      </c>
      <c r="D61" s="142" t="str">
        <f t="array" ref="D61">IFERROR(INDEX(BD[],_xlfn.AGGREGATE(15,6,IF(BD[CLASIFICACIÓN]=$B$2,ROW(BD[CLASIFICACIÓN])-ROW('PT2 (FILTRAR)'!$E$5)+1,NA()),ROWS($B$5:D61)),COLUMNS($B$5:D61)),"")</f>
        <v/>
      </c>
      <c r="E61" s="126" t="str">
        <f t="array" ref="E61">IFERROR(INDEX(BD[],_xlfn.AGGREGATE(15,6,IF(BD[CLASIFICACIÓN]=$B$2,ROW(BD[CLASIFICACIÓN])-ROW('PT2 (FILTRAR)'!$E$5)+1,NA()),ROWS($B$5:E61)),COLUMNS($B$5:E61)),"")</f>
        <v/>
      </c>
    </row>
    <row r="62" spans="2:5" x14ac:dyDescent="0.3">
      <c r="B62" s="126" t="str">
        <f t="array" ref="B62">IFERROR(INDEX(BD[],_xlfn.AGGREGATE(15,6,IF(BD[CLASIFICACIÓN]=$B$2,ROW(BD[CLASIFICACIÓN])-ROW('PT2 (FILTRAR)'!$E$5)+1,NA()),ROWS($B$5:B62)),COLUMNS($B$5:B62)),"")</f>
        <v/>
      </c>
      <c r="C62" s="127" t="str">
        <f t="array" ref="C62">IFERROR(INDEX(BD[],_xlfn.AGGREGATE(15,6,IF(BD[CLASIFICACIÓN]=$B$2,ROW(BD[CLASIFICACIÓN])-ROW('PT2 (FILTRAR)'!$E$5)+1,NA()),ROWS($B$5:C62)),COLUMNS($B$5:C62)),"")</f>
        <v/>
      </c>
      <c r="D62" s="142" t="str">
        <f t="array" ref="D62">IFERROR(INDEX(BD[],_xlfn.AGGREGATE(15,6,IF(BD[CLASIFICACIÓN]=$B$2,ROW(BD[CLASIFICACIÓN])-ROW('PT2 (FILTRAR)'!$E$5)+1,NA()),ROWS($B$5:D62)),COLUMNS($B$5:D62)),"")</f>
        <v/>
      </c>
      <c r="E62" s="126" t="str">
        <f t="array" ref="E62">IFERROR(INDEX(BD[],_xlfn.AGGREGATE(15,6,IF(BD[CLASIFICACIÓN]=$B$2,ROW(BD[CLASIFICACIÓN])-ROW('PT2 (FILTRAR)'!$E$5)+1,NA()),ROWS($B$5:E62)),COLUMNS($B$5:E62)),"")</f>
        <v/>
      </c>
    </row>
    <row r="63" spans="2:5" x14ac:dyDescent="0.3">
      <c r="B63" s="126" t="str">
        <f t="array" ref="B63">IFERROR(INDEX(BD[],_xlfn.AGGREGATE(15,6,IF(BD[CLASIFICACIÓN]=$B$2,ROW(BD[CLASIFICACIÓN])-ROW('PT2 (FILTRAR)'!$E$5)+1,NA()),ROWS($B$5:B63)),COLUMNS($B$5:B63)),"")</f>
        <v/>
      </c>
      <c r="C63" s="127" t="str">
        <f t="array" ref="C63">IFERROR(INDEX(BD[],_xlfn.AGGREGATE(15,6,IF(BD[CLASIFICACIÓN]=$B$2,ROW(BD[CLASIFICACIÓN])-ROW('PT2 (FILTRAR)'!$E$5)+1,NA()),ROWS($B$5:C63)),COLUMNS($B$5:C63)),"")</f>
        <v/>
      </c>
      <c r="D63" s="142" t="str">
        <f t="array" ref="D63">IFERROR(INDEX(BD[],_xlfn.AGGREGATE(15,6,IF(BD[CLASIFICACIÓN]=$B$2,ROW(BD[CLASIFICACIÓN])-ROW('PT2 (FILTRAR)'!$E$5)+1,NA()),ROWS($B$5:D63)),COLUMNS($B$5:D63)),"")</f>
        <v/>
      </c>
      <c r="E63" s="126" t="str">
        <f t="array" ref="E63">IFERROR(INDEX(BD[],_xlfn.AGGREGATE(15,6,IF(BD[CLASIFICACIÓN]=$B$2,ROW(BD[CLASIFICACIÓN])-ROW('PT2 (FILTRAR)'!$E$5)+1,NA()),ROWS($B$5:E63)),COLUMNS($B$5:E63)),"")</f>
        <v/>
      </c>
    </row>
    <row r="64" spans="2:5" x14ac:dyDescent="0.3">
      <c r="B64" s="126" t="str">
        <f t="array" ref="B64">IFERROR(INDEX(BD[],_xlfn.AGGREGATE(15,6,IF(BD[CLASIFICACIÓN]=$B$2,ROW(BD[CLASIFICACIÓN])-ROW('PT2 (FILTRAR)'!$E$5)+1,NA()),ROWS($B$5:B64)),COLUMNS($B$5:B64)),"")</f>
        <v/>
      </c>
      <c r="C64" s="127" t="str">
        <f t="array" ref="C64">IFERROR(INDEX(BD[],_xlfn.AGGREGATE(15,6,IF(BD[CLASIFICACIÓN]=$B$2,ROW(BD[CLASIFICACIÓN])-ROW('PT2 (FILTRAR)'!$E$5)+1,NA()),ROWS($B$5:C64)),COLUMNS($B$5:C64)),"")</f>
        <v/>
      </c>
      <c r="D64" s="142" t="str">
        <f t="array" ref="D64">IFERROR(INDEX(BD[],_xlfn.AGGREGATE(15,6,IF(BD[CLASIFICACIÓN]=$B$2,ROW(BD[CLASIFICACIÓN])-ROW('PT2 (FILTRAR)'!$E$5)+1,NA()),ROWS($B$5:D64)),COLUMNS($B$5:D64)),"")</f>
        <v/>
      </c>
      <c r="E64" s="126" t="str">
        <f t="array" ref="E64">IFERROR(INDEX(BD[],_xlfn.AGGREGATE(15,6,IF(BD[CLASIFICACIÓN]=$B$2,ROW(BD[CLASIFICACIÓN])-ROW('PT2 (FILTRAR)'!$E$5)+1,NA()),ROWS($B$5:E64)),COLUMNS($B$5:E64)),"")</f>
        <v/>
      </c>
    </row>
    <row r="65" spans="2:5" x14ac:dyDescent="0.3">
      <c r="B65" s="126" t="str">
        <f t="array" ref="B65">IFERROR(INDEX(BD[],_xlfn.AGGREGATE(15,6,IF(BD[CLASIFICACIÓN]=$B$2,ROW(BD[CLASIFICACIÓN])-ROW('PT2 (FILTRAR)'!$E$5)+1,NA()),ROWS($B$5:B65)),COLUMNS($B$5:B65)),"")</f>
        <v/>
      </c>
      <c r="C65" s="127" t="str">
        <f t="array" ref="C65">IFERROR(INDEX(BD[],_xlfn.AGGREGATE(15,6,IF(BD[CLASIFICACIÓN]=$B$2,ROW(BD[CLASIFICACIÓN])-ROW('PT2 (FILTRAR)'!$E$5)+1,NA()),ROWS($B$5:C65)),COLUMNS($B$5:C65)),"")</f>
        <v/>
      </c>
      <c r="D65" s="142" t="str">
        <f t="array" ref="D65">IFERROR(INDEX(BD[],_xlfn.AGGREGATE(15,6,IF(BD[CLASIFICACIÓN]=$B$2,ROW(BD[CLASIFICACIÓN])-ROW('PT2 (FILTRAR)'!$E$5)+1,NA()),ROWS($B$5:D65)),COLUMNS($B$5:D65)),"")</f>
        <v/>
      </c>
      <c r="E65" s="126" t="str">
        <f t="array" ref="E65">IFERROR(INDEX(BD[],_xlfn.AGGREGATE(15,6,IF(BD[CLASIFICACIÓN]=$B$2,ROW(BD[CLASIFICACIÓN])-ROW('PT2 (FILTRAR)'!$E$5)+1,NA()),ROWS($B$5:E65)),COLUMNS($B$5:E65)),"")</f>
        <v/>
      </c>
    </row>
    <row r="66" spans="2:5" x14ac:dyDescent="0.3">
      <c r="B66" s="126" t="str">
        <f t="array" ref="B66">IFERROR(INDEX(BD[],_xlfn.AGGREGATE(15,6,IF(BD[CLASIFICACIÓN]=$B$2,ROW(BD[CLASIFICACIÓN])-ROW('PT2 (FILTRAR)'!$E$5)+1,NA()),ROWS($B$5:B66)),COLUMNS($B$5:B66)),"")</f>
        <v/>
      </c>
      <c r="C66" s="127" t="str">
        <f t="array" ref="C66">IFERROR(INDEX(BD[],_xlfn.AGGREGATE(15,6,IF(BD[CLASIFICACIÓN]=$B$2,ROW(BD[CLASIFICACIÓN])-ROW('PT2 (FILTRAR)'!$E$5)+1,NA()),ROWS($B$5:C66)),COLUMNS($B$5:C66)),"")</f>
        <v/>
      </c>
      <c r="D66" s="142" t="str">
        <f t="array" ref="D66">IFERROR(INDEX(BD[],_xlfn.AGGREGATE(15,6,IF(BD[CLASIFICACIÓN]=$B$2,ROW(BD[CLASIFICACIÓN])-ROW('PT2 (FILTRAR)'!$E$5)+1,NA()),ROWS($B$5:D66)),COLUMNS($B$5:D66)),"")</f>
        <v/>
      </c>
      <c r="E66" s="126" t="str">
        <f t="array" ref="E66">IFERROR(INDEX(BD[],_xlfn.AGGREGATE(15,6,IF(BD[CLASIFICACIÓN]=$B$2,ROW(BD[CLASIFICACIÓN])-ROW('PT2 (FILTRAR)'!$E$5)+1,NA()),ROWS($B$5:E66)),COLUMNS($B$5:E66)),"")</f>
        <v/>
      </c>
    </row>
    <row r="67" spans="2:5" x14ac:dyDescent="0.3">
      <c r="B67" s="126" t="str">
        <f t="array" ref="B67">IFERROR(INDEX(BD[],_xlfn.AGGREGATE(15,6,IF(BD[CLASIFICACIÓN]=$B$2,ROW(BD[CLASIFICACIÓN])-ROW('PT2 (FILTRAR)'!$E$5)+1,NA()),ROWS($B$5:B67)),COLUMNS($B$5:B67)),"")</f>
        <v/>
      </c>
      <c r="C67" s="127" t="str">
        <f t="array" ref="C67">IFERROR(INDEX(BD[],_xlfn.AGGREGATE(15,6,IF(BD[CLASIFICACIÓN]=$B$2,ROW(BD[CLASIFICACIÓN])-ROW('PT2 (FILTRAR)'!$E$5)+1,NA()),ROWS($B$5:C67)),COLUMNS($B$5:C67)),"")</f>
        <v/>
      </c>
      <c r="D67" s="142" t="str">
        <f t="array" ref="D67">IFERROR(INDEX(BD[],_xlfn.AGGREGATE(15,6,IF(BD[CLASIFICACIÓN]=$B$2,ROW(BD[CLASIFICACIÓN])-ROW('PT2 (FILTRAR)'!$E$5)+1,NA()),ROWS($B$5:D67)),COLUMNS($B$5:D67)),"")</f>
        <v/>
      </c>
      <c r="E67" s="126" t="str">
        <f t="array" ref="E67">IFERROR(INDEX(BD[],_xlfn.AGGREGATE(15,6,IF(BD[CLASIFICACIÓN]=$B$2,ROW(BD[CLASIFICACIÓN])-ROW('PT2 (FILTRAR)'!$E$5)+1,NA()),ROWS($B$5:E67)),COLUMNS($B$5:E67)),"")</f>
        <v/>
      </c>
    </row>
    <row r="68" spans="2:5" x14ac:dyDescent="0.3">
      <c r="B68" s="126" t="str">
        <f t="array" ref="B68">IFERROR(INDEX(BD[],_xlfn.AGGREGATE(15,6,IF(BD[CLASIFICACIÓN]=$B$2,ROW(BD[CLASIFICACIÓN])-ROW('PT2 (FILTRAR)'!$E$5)+1,NA()),ROWS($B$5:B68)),COLUMNS($B$5:B68)),"")</f>
        <v/>
      </c>
      <c r="C68" s="127" t="str">
        <f t="array" ref="C68">IFERROR(INDEX(BD[],_xlfn.AGGREGATE(15,6,IF(BD[CLASIFICACIÓN]=$B$2,ROW(BD[CLASIFICACIÓN])-ROW('PT2 (FILTRAR)'!$E$5)+1,NA()),ROWS($B$5:C68)),COLUMNS($B$5:C68)),"")</f>
        <v/>
      </c>
      <c r="D68" s="142" t="str">
        <f t="array" ref="D68">IFERROR(INDEX(BD[],_xlfn.AGGREGATE(15,6,IF(BD[CLASIFICACIÓN]=$B$2,ROW(BD[CLASIFICACIÓN])-ROW('PT2 (FILTRAR)'!$E$5)+1,NA()),ROWS($B$5:D68)),COLUMNS($B$5:D68)),"")</f>
        <v/>
      </c>
      <c r="E68" s="126" t="str">
        <f t="array" ref="E68">IFERROR(INDEX(BD[],_xlfn.AGGREGATE(15,6,IF(BD[CLASIFICACIÓN]=$B$2,ROW(BD[CLASIFICACIÓN])-ROW('PT2 (FILTRAR)'!$E$5)+1,NA()),ROWS($B$5:E68)),COLUMNS($B$5:E68)),"")</f>
        <v/>
      </c>
    </row>
    <row r="69" spans="2:5" x14ac:dyDescent="0.3">
      <c r="B69" s="126" t="str">
        <f t="array" ref="B69">IFERROR(INDEX(BD[],_xlfn.AGGREGATE(15,6,IF(BD[CLASIFICACIÓN]=$B$2,ROW(BD[CLASIFICACIÓN])-ROW('PT2 (FILTRAR)'!$E$5)+1,NA()),ROWS($B$5:B69)),COLUMNS($B$5:B69)),"")</f>
        <v/>
      </c>
      <c r="C69" s="127" t="str">
        <f t="array" ref="C69">IFERROR(INDEX(BD[],_xlfn.AGGREGATE(15,6,IF(BD[CLASIFICACIÓN]=$B$2,ROW(BD[CLASIFICACIÓN])-ROW('PT2 (FILTRAR)'!$E$5)+1,NA()),ROWS($B$5:C69)),COLUMNS($B$5:C69)),"")</f>
        <v/>
      </c>
      <c r="D69" s="142" t="str">
        <f t="array" ref="D69">IFERROR(INDEX(BD[],_xlfn.AGGREGATE(15,6,IF(BD[CLASIFICACIÓN]=$B$2,ROW(BD[CLASIFICACIÓN])-ROW('PT2 (FILTRAR)'!$E$5)+1,NA()),ROWS($B$5:D69)),COLUMNS($B$5:D69)),"")</f>
        <v/>
      </c>
      <c r="E69" s="126" t="str">
        <f t="array" ref="E69">IFERROR(INDEX(BD[],_xlfn.AGGREGATE(15,6,IF(BD[CLASIFICACIÓN]=$B$2,ROW(BD[CLASIFICACIÓN])-ROW('PT2 (FILTRAR)'!$E$5)+1,NA()),ROWS($B$5:E69)),COLUMNS($B$5:E69)),"")</f>
        <v/>
      </c>
    </row>
    <row r="70" spans="2:5" x14ac:dyDescent="0.3">
      <c r="B70" s="126" t="str">
        <f t="array" ref="B70">IFERROR(INDEX(BD[],_xlfn.AGGREGATE(15,6,IF(BD[CLASIFICACIÓN]=$B$2,ROW(BD[CLASIFICACIÓN])-ROW('PT2 (FILTRAR)'!$E$5)+1,NA()),ROWS($B$5:B70)),COLUMNS($B$5:B70)),"")</f>
        <v/>
      </c>
      <c r="C70" s="127" t="str">
        <f t="array" ref="C70">IFERROR(INDEX(BD[],_xlfn.AGGREGATE(15,6,IF(BD[CLASIFICACIÓN]=$B$2,ROW(BD[CLASIFICACIÓN])-ROW('PT2 (FILTRAR)'!$E$5)+1,NA()),ROWS($B$5:C70)),COLUMNS($B$5:C70)),"")</f>
        <v/>
      </c>
      <c r="D70" s="142" t="str">
        <f t="array" ref="D70">IFERROR(INDEX(BD[],_xlfn.AGGREGATE(15,6,IF(BD[CLASIFICACIÓN]=$B$2,ROW(BD[CLASIFICACIÓN])-ROW('PT2 (FILTRAR)'!$E$5)+1,NA()),ROWS($B$5:D70)),COLUMNS($B$5:D70)),"")</f>
        <v/>
      </c>
      <c r="E70" s="126" t="str">
        <f t="array" ref="E70">IFERROR(INDEX(BD[],_xlfn.AGGREGATE(15,6,IF(BD[CLASIFICACIÓN]=$B$2,ROW(BD[CLASIFICACIÓN])-ROW('PT2 (FILTRAR)'!$E$5)+1,NA()),ROWS($B$5:E70)),COLUMNS($B$5:E70)),"")</f>
        <v/>
      </c>
    </row>
    <row r="71" spans="2:5" x14ac:dyDescent="0.3">
      <c r="B71" s="126" t="str">
        <f t="array" ref="B71">IFERROR(INDEX(BD[],_xlfn.AGGREGATE(15,6,IF(BD[CLASIFICACIÓN]=$B$2,ROW(BD[CLASIFICACIÓN])-ROW('PT2 (FILTRAR)'!$E$5)+1,NA()),ROWS($B$5:B71)),COLUMNS($B$5:B71)),"")</f>
        <v/>
      </c>
      <c r="C71" s="127" t="str">
        <f t="array" ref="C71">IFERROR(INDEX(BD[],_xlfn.AGGREGATE(15,6,IF(BD[CLASIFICACIÓN]=$B$2,ROW(BD[CLASIFICACIÓN])-ROW('PT2 (FILTRAR)'!$E$5)+1,NA()),ROWS($B$5:C71)),COLUMNS($B$5:C71)),"")</f>
        <v/>
      </c>
      <c r="D71" s="142" t="str">
        <f t="array" ref="D71">IFERROR(INDEX(BD[],_xlfn.AGGREGATE(15,6,IF(BD[CLASIFICACIÓN]=$B$2,ROW(BD[CLASIFICACIÓN])-ROW('PT2 (FILTRAR)'!$E$5)+1,NA()),ROWS($B$5:D71)),COLUMNS($B$5:D71)),"")</f>
        <v/>
      </c>
      <c r="E71" s="126" t="str">
        <f t="array" ref="E71">IFERROR(INDEX(BD[],_xlfn.AGGREGATE(15,6,IF(BD[CLASIFICACIÓN]=$B$2,ROW(BD[CLASIFICACIÓN])-ROW('PT2 (FILTRAR)'!$E$5)+1,NA()),ROWS($B$5:E71)),COLUMNS($B$5:E71)),"")</f>
        <v/>
      </c>
    </row>
    <row r="72" spans="2:5" x14ac:dyDescent="0.3">
      <c r="B72" s="126" t="str">
        <f t="array" ref="B72">IFERROR(INDEX(BD[],_xlfn.AGGREGATE(15,6,IF(BD[CLASIFICACIÓN]=$B$2,ROW(BD[CLASIFICACIÓN])-ROW('PT2 (FILTRAR)'!$E$5)+1,NA()),ROWS($B$5:B72)),COLUMNS($B$5:B72)),"")</f>
        <v/>
      </c>
      <c r="C72" s="127" t="str">
        <f t="array" ref="C72">IFERROR(INDEX(BD[],_xlfn.AGGREGATE(15,6,IF(BD[CLASIFICACIÓN]=$B$2,ROW(BD[CLASIFICACIÓN])-ROW('PT2 (FILTRAR)'!$E$5)+1,NA()),ROWS($B$5:C72)),COLUMNS($B$5:C72)),"")</f>
        <v/>
      </c>
      <c r="D72" s="142" t="str">
        <f t="array" ref="D72">IFERROR(INDEX(BD[],_xlfn.AGGREGATE(15,6,IF(BD[CLASIFICACIÓN]=$B$2,ROW(BD[CLASIFICACIÓN])-ROW('PT2 (FILTRAR)'!$E$5)+1,NA()),ROWS($B$5:D72)),COLUMNS($B$5:D72)),"")</f>
        <v/>
      </c>
      <c r="E72" s="126" t="str">
        <f t="array" ref="E72">IFERROR(INDEX(BD[],_xlfn.AGGREGATE(15,6,IF(BD[CLASIFICACIÓN]=$B$2,ROW(BD[CLASIFICACIÓN])-ROW('PT2 (FILTRAR)'!$E$5)+1,NA()),ROWS($B$5:E72)),COLUMNS($B$5:E72)),"")</f>
        <v/>
      </c>
    </row>
    <row r="73" spans="2:5" x14ac:dyDescent="0.3">
      <c r="B73" s="126" t="str">
        <f t="array" ref="B73">IFERROR(INDEX(BD[],_xlfn.AGGREGATE(15,6,IF(BD[CLASIFICACIÓN]=$B$2,ROW(BD[CLASIFICACIÓN])-ROW('PT2 (FILTRAR)'!$E$5)+1,NA()),ROWS($B$5:B73)),COLUMNS($B$5:B73)),"")</f>
        <v/>
      </c>
      <c r="C73" s="127" t="str">
        <f t="array" ref="C73">IFERROR(INDEX(BD[],_xlfn.AGGREGATE(15,6,IF(BD[CLASIFICACIÓN]=$B$2,ROW(BD[CLASIFICACIÓN])-ROW('PT2 (FILTRAR)'!$E$5)+1,NA()),ROWS($B$5:C73)),COLUMNS($B$5:C73)),"")</f>
        <v/>
      </c>
      <c r="D73" s="142" t="str">
        <f t="array" ref="D73">IFERROR(INDEX(BD[],_xlfn.AGGREGATE(15,6,IF(BD[CLASIFICACIÓN]=$B$2,ROW(BD[CLASIFICACIÓN])-ROW('PT2 (FILTRAR)'!$E$5)+1,NA()),ROWS($B$5:D73)),COLUMNS($B$5:D73)),"")</f>
        <v/>
      </c>
      <c r="E73" s="126" t="str">
        <f t="array" ref="E73">IFERROR(INDEX(BD[],_xlfn.AGGREGATE(15,6,IF(BD[CLASIFICACIÓN]=$B$2,ROW(BD[CLASIFICACIÓN])-ROW('PT2 (FILTRAR)'!$E$5)+1,NA()),ROWS($B$5:E73)),COLUMNS($B$5:E73)),"")</f>
        <v/>
      </c>
    </row>
    <row r="74" spans="2:5" x14ac:dyDescent="0.3">
      <c r="B74" s="126" t="str">
        <f t="array" ref="B74">IFERROR(INDEX(BD[],_xlfn.AGGREGATE(15,6,IF(BD[CLASIFICACIÓN]=$B$2,ROW(BD[CLASIFICACIÓN])-ROW('PT2 (FILTRAR)'!$E$5)+1,NA()),ROWS($B$5:B74)),COLUMNS($B$5:B74)),"")</f>
        <v/>
      </c>
      <c r="C74" s="127" t="str">
        <f t="array" ref="C74">IFERROR(INDEX(BD[],_xlfn.AGGREGATE(15,6,IF(BD[CLASIFICACIÓN]=$B$2,ROW(BD[CLASIFICACIÓN])-ROW('PT2 (FILTRAR)'!$E$5)+1,NA()),ROWS($B$5:C74)),COLUMNS($B$5:C74)),"")</f>
        <v/>
      </c>
      <c r="D74" s="142" t="str">
        <f t="array" ref="D74">IFERROR(INDEX(BD[],_xlfn.AGGREGATE(15,6,IF(BD[CLASIFICACIÓN]=$B$2,ROW(BD[CLASIFICACIÓN])-ROW('PT2 (FILTRAR)'!$E$5)+1,NA()),ROWS($B$5:D74)),COLUMNS($B$5:D74)),"")</f>
        <v/>
      </c>
      <c r="E74" s="126" t="str">
        <f t="array" ref="E74">IFERROR(INDEX(BD[],_xlfn.AGGREGATE(15,6,IF(BD[CLASIFICACIÓN]=$B$2,ROW(BD[CLASIFICACIÓN])-ROW('PT2 (FILTRAR)'!$E$5)+1,NA()),ROWS($B$5:E74)),COLUMNS($B$5:E74)),"")</f>
        <v/>
      </c>
    </row>
    <row r="75" spans="2:5" x14ac:dyDescent="0.3">
      <c r="B75" s="126" t="str">
        <f t="array" ref="B75">IFERROR(INDEX(BD[],_xlfn.AGGREGATE(15,6,IF(BD[CLASIFICACIÓN]=$B$2,ROW(BD[CLASIFICACIÓN])-ROW('PT2 (FILTRAR)'!$E$5)+1,NA()),ROWS($B$5:B75)),COLUMNS($B$5:B75)),"")</f>
        <v/>
      </c>
      <c r="C75" s="127" t="str">
        <f t="array" ref="C75">IFERROR(INDEX(BD[],_xlfn.AGGREGATE(15,6,IF(BD[CLASIFICACIÓN]=$B$2,ROW(BD[CLASIFICACIÓN])-ROW('PT2 (FILTRAR)'!$E$5)+1,NA()),ROWS($B$5:C75)),COLUMNS($B$5:C75)),"")</f>
        <v/>
      </c>
      <c r="D75" s="142" t="str">
        <f t="array" ref="D75">IFERROR(INDEX(BD[],_xlfn.AGGREGATE(15,6,IF(BD[CLASIFICACIÓN]=$B$2,ROW(BD[CLASIFICACIÓN])-ROW('PT2 (FILTRAR)'!$E$5)+1,NA()),ROWS($B$5:D75)),COLUMNS($B$5:D75)),"")</f>
        <v/>
      </c>
      <c r="E75" s="126" t="str">
        <f t="array" ref="E75">IFERROR(INDEX(BD[],_xlfn.AGGREGATE(15,6,IF(BD[CLASIFICACIÓN]=$B$2,ROW(BD[CLASIFICACIÓN])-ROW('PT2 (FILTRAR)'!$E$5)+1,NA()),ROWS($B$5:E75)),COLUMNS($B$5:E75)),"")</f>
        <v/>
      </c>
    </row>
    <row r="76" spans="2:5" x14ac:dyDescent="0.3">
      <c r="B76" s="126" t="str">
        <f t="array" ref="B76">IFERROR(INDEX(BD[],_xlfn.AGGREGATE(15,6,IF(BD[CLASIFICACIÓN]=$B$2,ROW(BD[CLASIFICACIÓN])-ROW('PT2 (FILTRAR)'!$E$5)+1,NA()),ROWS($B$5:B76)),COLUMNS($B$5:B76)),"")</f>
        <v/>
      </c>
      <c r="C76" s="127" t="str">
        <f t="array" ref="C76">IFERROR(INDEX(BD[],_xlfn.AGGREGATE(15,6,IF(BD[CLASIFICACIÓN]=$B$2,ROW(BD[CLASIFICACIÓN])-ROW('PT2 (FILTRAR)'!$E$5)+1,NA()),ROWS($B$5:C76)),COLUMNS($B$5:C76)),"")</f>
        <v/>
      </c>
      <c r="D76" s="142" t="str">
        <f t="array" ref="D76">IFERROR(INDEX(BD[],_xlfn.AGGREGATE(15,6,IF(BD[CLASIFICACIÓN]=$B$2,ROW(BD[CLASIFICACIÓN])-ROW('PT2 (FILTRAR)'!$E$5)+1,NA()),ROWS($B$5:D76)),COLUMNS($B$5:D76)),"")</f>
        <v/>
      </c>
      <c r="E76" s="126" t="str">
        <f t="array" ref="E76">IFERROR(INDEX(BD[],_xlfn.AGGREGATE(15,6,IF(BD[CLASIFICACIÓN]=$B$2,ROW(BD[CLASIFICACIÓN])-ROW('PT2 (FILTRAR)'!$E$5)+1,NA()),ROWS($B$5:E76)),COLUMNS($B$5:E76)),"")</f>
        <v/>
      </c>
    </row>
    <row r="77" spans="2:5" x14ac:dyDescent="0.3">
      <c r="B77" s="126" t="str">
        <f t="array" ref="B77">IFERROR(INDEX(BD[],_xlfn.AGGREGATE(15,6,IF(BD[CLASIFICACIÓN]=$B$2,ROW(BD[CLASIFICACIÓN])-ROW('PT2 (FILTRAR)'!$E$5)+1,NA()),ROWS($B$5:B77)),COLUMNS($B$5:B77)),"")</f>
        <v/>
      </c>
      <c r="C77" s="127" t="str">
        <f t="array" ref="C77">IFERROR(INDEX(BD[],_xlfn.AGGREGATE(15,6,IF(BD[CLASIFICACIÓN]=$B$2,ROW(BD[CLASIFICACIÓN])-ROW('PT2 (FILTRAR)'!$E$5)+1,NA()),ROWS($B$5:C77)),COLUMNS($B$5:C77)),"")</f>
        <v/>
      </c>
      <c r="D77" s="142" t="str">
        <f t="array" ref="D77">IFERROR(INDEX(BD[],_xlfn.AGGREGATE(15,6,IF(BD[CLASIFICACIÓN]=$B$2,ROW(BD[CLASIFICACIÓN])-ROW('PT2 (FILTRAR)'!$E$5)+1,NA()),ROWS($B$5:D77)),COLUMNS($B$5:D77)),"")</f>
        <v/>
      </c>
      <c r="E77" s="126" t="str">
        <f t="array" ref="E77">IFERROR(INDEX(BD[],_xlfn.AGGREGATE(15,6,IF(BD[CLASIFICACIÓN]=$B$2,ROW(BD[CLASIFICACIÓN])-ROW('PT2 (FILTRAR)'!$E$5)+1,NA()),ROWS($B$5:E77)),COLUMNS($B$5:E77)),"")</f>
        <v/>
      </c>
    </row>
    <row r="78" spans="2:5" x14ac:dyDescent="0.3">
      <c r="B78" s="126" t="str">
        <f t="array" ref="B78">IFERROR(INDEX(BD[],_xlfn.AGGREGATE(15,6,IF(BD[CLASIFICACIÓN]=$B$2,ROW(BD[CLASIFICACIÓN])-ROW('PT2 (FILTRAR)'!$E$5)+1,NA()),ROWS($B$5:B78)),COLUMNS($B$5:B78)),"")</f>
        <v/>
      </c>
      <c r="C78" s="127" t="str">
        <f t="array" ref="C78">IFERROR(INDEX(BD[],_xlfn.AGGREGATE(15,6,IF(BD[CLASIFICACIÓN]=$B$2,ROW(BD[CLASIFICACIÓN])-ROW('PT2 (FILTRAR)'!$E$5)+1,NA()),ROWS($B$5:C78)),COLUMNS($B$5:C78)),"")</f>
        <v/>
      </c>
      <c r="D78" s="142" t="str">
        <f t="array" ref="D78">IFERROR(INDEX(BD[],_xlfn.AGGREGATE(15,6,IF(BD[CLASIFICACIÓN]=$B$2,ROW(BD[CLASIFICACIÓN])-ROW('PT2 (FILTRAR)'!$E$5)+1,NA()),ROWS($B$5:D78)),COLUMNS($B$5:D78)),"")</f>
        <v/>
      </c>
      <c r="E78" s="126" t="str">
        <f t="array" ref="E78">IFERROR(INDEX(BD[],_xlfn.AGGREGATE(15,6,IF(BD[CLASIFICACIÓN]=$B$2,ROW(BD[CLASIFICACIÓN])-ROW('PT2 (FILTRAR)'!$E$5)+1,NA()),ROWS($B$5:E78)),COLUMNS($B$5:E78)),"")</f>
        <v/>
      </c>
    </row>
    <row r="79" spans="2:5" x14ac:dyDescent="0.3">
      <c r="B79" s="126" t="str">
        <f t="array" ref="B79">IFERROR(INDEX(BD[],_xlfn.AGGREGATE(15,6,IF(BD[CLASIFICACIÓN]=$B$2,ROW(BD[CLASIFICACIÓN])-ROW('PT2 (FILTRAR)'!$E$5)+1,NA()),ROWS($B$5:B79)),COLUMNS($B$5:B79)),"")</f>
        <v/>
      </c>
      <c r="C79" s="127" t="str">
        <f t="array" ref="C79">IFERROR(INDEX(BD[],_xlfn.AGGREGATE(15,6,IF(BD[CLASIFICACIÓN]=$B$2,ROW(BD[CLASIFICACIÓN])-ROW('PT2 (FILTRAR)'!$E$5)+1,NA()),ROWS($B$5:C79)),COLUMNS($B$5:C79)),"")</f>
        <v/>
      </c>
      <c r="D79" s="142" t="str">
        <f t="array" ref="D79">IFERROR(INDEX(BD[],_xlfn.AGGREGATE(15,6,IF(BD[CLASIFICACIÓN]=$B$2,ROW(BD[CLASIFICACIÓN])-ROW('PT2 (FILTRAR)'!$E$5)+1,NA()),ROWS($B$5:D79)),COLUMNS($B$5:D79)),"")</f>
        <v/>
      </c>
      <c r="E79" s="126" t="str">
        <f t="array" ref="E79">IFERROR(INDEX(BD[],_xlfn.AGGREGATE(15,6,IF(BD[CLASIFICACIÓN]=$B$2,ROW(BD[CLASIFICACIÓN])-ROW('PT2 (FILTRAR)'!$E$5)+1,NA()),ROWS($B$5:E79)),COLUMNS($B$5:E79)),"")</f>
        <v/>
      </c>
    </row>
    <row r="80" spans="2:5" x14ac:dyDescent="0.3">
      <c r="B80" s="126" t="str">
        <f t="array" ref="B80">IFERROR(INDEX(BD[],_xlfn.AGGREGATE(15,6,IF(BD[CLASIFICACIÓN]=$B$2,ROW(BD[CLASIFICACIÓN])-ROW('PT2 (FILTRAR)'!$E$5)+1,NA()),ROWS($B$5:B80)),COLUMNS($B$5:B80)),"")</f>
        <v/>
      </c>
      <c r="C80" s="127" t="str">
        <f t="array" ref="C80">IFERROR(INDEX(BD[],_xlfn.AGGREGATE(15,6,IF(BD[CLASIFICACIÓN]=$B$2,ROW(BD[CLASIFICACIÓN])-ROW('PT2 (FILTRAR)'!$E$5)+1,NA()),ROWS($B$5:C80)),COLUMNS($B$5:C80)),"")</f>
        <v/>
      </c>
      <c r="D80" s="142" t="str">
        <f t="array" ref="D80">IFERROR(INDEX(BD[],_xlfn.AGGREGATE(15,6,IF(BD[CLASIFICACIÓN]=$B$2,ROW(BD[CLASIFICACIÓN])-ROW('PT2 (FILTRAR)'!$E$5)+1,NA()),ROWS($B$5:D80)),COLUMNS($B$5:D80)),"")</f>
        <v/>
      </c>
      <c r="E80" s="126" t="str">
        <f t="array" ref="E80">IFERROR(INDEX(BD[],_xlfn.AGGREGATE(15,6,IF(BD[CLASIFICACIÓN]=$B$2,ROW(BD[CLASIFICACIÓN])-ROW('PT2 (FILTRAR)'!$E$5)+1,NA()),ROWS($B$5:E80)),COLUMNS($B$5:E80)),"")</f>
        <v/>
      </c>
    </row>
    <row r="81" spans="2:5" x14ac:dyDescent="0.3">
      <c r="B81" s="126" t="str">
        <f t="array" ref="B81">IFERROR(INDEX(BD[],_xlfn.AGGREGATE(15,6,IF(BD[CLASIFICACIÓN]=$B$2,ROW(BD[CLASIFICACIÓN])-ROW('PT2 (FILTRAR)'!$E$5)+1,NA()),ROWS($B$5:B81)),COLUMNS($B$5:B81)),"")</f>
        <v/>
      </c>
      <c r="C81" s="127" t="str">
        <f t="array" ref="C81">IFERROR(INDEX(BD[],_xlfn.AGGREGATE(15,6,IF(BD[CLASIFICACIÓN]=$B$2,ROW(BD[CLASIFICACIÓN])-ROW('PT2 (FILTRAR)'!$E$5)+1,NA()),ROWS($B$5:C81)),COLUMNS($B$5:C81)),"")</f>
        <v/>
      </c>
      <c r="D81" s="142" t="str">
        <f t="array" ref="D81">IFERROR(INDEX(BD[],_xlfn.AGGREGATE(15,6,IF(BD[CLASIFICACIÓN]=$B$2,ROW(BD[CLASIFICACIÓN])-ROW('PT2 (FILTRAR)'!$E$5)+1,NA()),ROWS($B$5:D81)),COLUMNS($B$5:D81)),"")</f>
        <v/>
      </c>
      <c r="E81" s="126" t="str">
        <f t="array" ref="E81">IFERROR(INDEX(BD[],_xlfn.AGGREGATE(15,6,IF(BD[CLASIFICACIÓN]=$B$2,ROW(BD[CLASIFICACIÓN])-ROW('PT2 (FILTRAR)'!$E$5)+1,NA()),ROWS($B$5:E81)),COLUMNS($B$5:E81)),"")</f>
        <v/>
      </c>
    </row>
    <row r="82" spans="2:5" x14ac:dyDescent="0.3">
      <c r="B82" s="126" t="str">
        <f t="array" ref="B82">IFERROR(INDEX(BD[],_xlfn.AGGREGATE(15,6,IF(BD[CLASIFICACIÓN]=$B$2,ROW(BD[CLASIFICACIÓN])-ROW('PT2 (FILTRAR)'!$E$5)+1,NA()),ROWS($B$5:B82)),COLUMNS($B$5:B82)),"")</f>
        <v/>
      </c>
      <c r="C82" s="127" t="str">
        <f t="array" ref="C82">IFERROR(INDEX(BD[],_xlfn.AGGREGATE(15,6,IF(BD[CLASIFICACIÓN]=$B$2,ROW(BD[CLASIFICACIÓN])-ROW('PT2 (FILTRAR)'!$E$5)+1,NA()),ROWS($B$5:C82)),COLUMNS($B$5:C82)),"")</f>
        <v/>
      </c>
      <c r="D82" s="142" t="str">
        <f t="array" ref="D82">IFERROR(INDEX(BD[],_xlfn.AGGREGATE(15,6,IF(BD[CLASIFICACIÓN]=$B$2,ROW(BD[CLASIFICACIÓN])-ROW('PT2 (FILTRAR)'!$E$5)+1,NA()),ROWS($B$5:D82)),COLUMNS($B$5:D82)),"")</f>
        <v/>
      </c>
      <c r="E82" s="126" t="str">
        <f t="array" ref="E82">IFERROR(INDEX(BD[],_xlfn.AGGREGATE(15,6,IF(BD[CLASIFICACIÓN]=$B$2,ROW(BD[CLASIFICACIÓN])-ROW('PT2 (FILTRAR)'!$E$5)+1,NA()),ROWS($B$5:E82)),COLUMNS($B$5:E82)),"")</f>
        <v/>
      </c>
    </row>
    <row r="83" spans="2:5" x14ac:dyDescent="0.3">
      <c r="B83" s="126" t="str">
        <f t="array" ref="B83">IFERROR(INDEX(BD[],_xlfn.AGGREGATE(15,6,IF(BD[CLASIFICACIÓN]=$B$2,ROW(BD[CLASIFICACIÓN])-ROW('PT2 (FILTRAR)'!$E$5)+1,NA()),ROWS($B$5:B83)),COLUMNS($B$5:B83)),"")</f>
        <v/>
      </c>
      <c r="C83" s="127" t="str">
        <f t="array" ref="C83">IFERROR(INDEX(BD[],_xlfn.AGGREGATE(15,6,IF(BD[CLASIFICACIÓN]=$B$2,ROW(BD[CLASIFICACIÓN])-ROW('PT2 (FILTRAR)'!$E$5)+1,NA()),ROWS($B$5:C83)),COLUMNS($B$5:C83)),"")</f>
        <v/>
      </c>
      <c r="D83" s="142" t="str">
        <f t="array" ref="D83">IFERROR(INDEX(BD[],_xlfn.AGGREGATE(15,6,IF(BD[CLASIFICACIÓN]=$B$2,ROW(BD[CLASIFICACIÓN])-ROW('PT2 (FILTRAR)'!$E$5)+1,NA()),ROWS($B$5:D83)),COLUMNS($B$5:D83)),"")</f>
        <v/>
      </c>
      <c r="E83" s="126" t="str">
        <f t="array" ref="E83">IFERROR(INDEX(BD[],_xlfn.AGGREGATE(15,6,IF(BD[CLASIFICACIÓN]=$B$2,ROW(BD[CLASIFICACIÓN])-ROW('PT2 (FILTRAR)'!$E$5)+1,NA()),ROWS($B$5:E83)),COLUMNS($B$5:E83)),"")</f>
        <v/>
      </c>
    </row>
    <row r="84" spans="2:5" x14ac:dyDescent="0.3">
      <c r="B84" s="126" t="str">
        <f t="array" ref="B84">IFERROR(INDEX(BD[],_xlfn.AGGREGATE(15,6,IF(BD[CLASIFICACIÓN]=$B$2,ROW(BD[CLASIFICACIÓN])-ROW('PT2 (FILTRAR)'!$E$5)+1,NA()),ROWS($B$5:B84)),COLUMNS($B$5:B84)),"")</f>
        <v/>
      </c>
      <c r="C84" s="127" t="str">
        <f t="array" ref="C84">IFERROR(INDEX(BD[],_xlfn.AGGREGATE(15,6,IF(BD[CLASIFICACIÓN]=$B$2,ROW(BD[CLASIFICACIÓN])-ROW('PT2 (FILTRAR)'!$E$5)+1,NA()),ROWS($B$5:C84)),COLUMNS($B$5:C84)),"")</f>
        <v/>
      </c>
      <c r="D84" s="142" t="str">
        <f t="array" ref="D84">IFERROR(INDEX(BD[],_xlfn.AGGREGATE(15,6,IF(BD[CLASIFICACIÓN]=$B$2,ROW(BD[CLASIFICACIÓN])-ROW('PT2 (FILTRAR)'!$E$5)+1,NA()),ROWS($B$5:D84)),COLUMNS($B$5:D84)),"")</f>
        <v/>
      </c>
      <c r="E84" s="126" t="str">
        <f t="array" ref="E84">IFERROR(INDEX(BD[],_xlfn.AGGREGATE(15,6,IF(BD[CLASIFICACIÓN]=$B$2,ROW(BD[CLASIFICACIÓN])-ROW('PT2 (FILTRAR)'!$E$5)+1,NA()),ROWS($B$5:E84)),COLUMNS($B$5:E84)),"")</f>
        <v/>
      </c>
    </row>
    <row r="85" spans="2:5" x14ac:dyDescent="0.3">
      <c r="B85" s="126" t="str">
        <f t="array" ref="B85">IFERROR(INDEX(BD[],_xlfn.AGGREGATE(15,6,IF(BD[CLASIFICACIÓN]=$B$2,ROW(BD[CLASIFICACIÓN])-ROW('PT2 (FILTRAR)'!$E$5)+1,NA()),ROWS($B$5:B85)),COLUMNS($B$5:B85)),"")</f>
        <v/>
      </c>
      <c r="C85" s="127" t="str">
        <f t="array" ref="C85">IFERROR(INDEX(BD[],_xlfn.AGGREGATE(15,6,IF(BD[CLASIFICACIÓN]=$B$2,ROW(BD[CLASIFICACIÓN])-ROW('PT2 (FILTRAR)'!$E$5)+1,NA()),ROWS($B$5:C85)),COLUMNS($B$5:C85)),"")</f>
        <v/>
      </c>
      <c r="D85" s="142" t="str">
        <f t="array" ref="D85">IFERROR(INDEX(BD[],_xlfn.AGGREGATE(15,6,IF(BD[CLASIFICACIÓN]=$B$2,ROW(BD[CLASIFICACIÓN])-ROW('PT2 (FILTRAR)'!$E$5)+1,NA()),ROWS($B$5:D85)),COLUMNS($B$5:D85)),"")</f>
        <v/>
      </c>
      <c r="E85" s="126" t="str">
        <f t="array" ref="E85">IFERROR(INDEX(BD[],_xlfn.AGGREGATE(15,6,IF(BD[CLASIFICACIÓN]=$B$2,ROW(BD[CLASIFICACIÓN])-ROW('PT2 (FILTRAR)'!$E$5)+1,NA()),ROWS($B$5:E85)),COLUMNS($B$5:E85)),"")</f>
        <v/>
      </c>
    </row>
    <row r="86" spans="2:5" x14ac:dyDescent="0.3">
      <c r="B86" s="126" t="str">
        <f t="array" ref="B86">IFERROR(INDEX(BD[],_xlfn.AGGREGATE(15,6,IF(BD[CLASIFICACIÓN]=$B$2,ROW(BD[CLASIFICACIÓN])-ROW('PT2 (FILTRAR)'!$E$5)+1,NA()),ROWS($B$5:B86)),COLUMNS($B$5:B86)),"")</f>
        <v/>
      </c>
      <c r="C86" s="127" t="str">
        <f t="array" ref="C86">IFERROR(INDEX(BD[],_xlfn.AGGREGATE(15,6,IF(BD[CLASIFICACIÓN]=$B$2,ROW(BD[CLASIFICACIÓN])-ROW('PT2 (FILTRAR)'!$E$5)+1,NA()),ROWS($B$5:C86)),COLUMNS($B$5:C86)),"")</f>
        <v/>
      </c>
      <c r="D86" s="142" t="str">
        <f t="array" ref="D86">IFERROR(INDEX(BD[],_xlfn.AGGREGATE(15,6,IF(BD[CLASIFICACIÓN]=$B$2,ROW(BD[CLASIFICACIÓN])-ROW('PT2 (FILTRAR)'!$E$5)+1,NA()),ROWS($B$5:D86)),COLUMNS($B$5:D86)),"")</f>
        <v/>
      </c>
      <c r="E86" s="126" t="str">
        <f t="array" ref="E86">IFERROR(INDEX(BD[],_xlfn.AGGREGATE(15,6,IF(BD[CLASIFICACIÓN]=$B$2,ROW(BD[CLASIFICACIÓN])-ROW('PT2 (FILTRAR)'!$E$5)+1,NA()),ROWS($B$5:E86)),COLUMNS($B$5:E86)),"")</f>
        <v/>
      </c>
    </row>
    <row r="87" spans="2:5" x14ac:dyDescent="0.3">
      <c r="B87" s="126" t="str">
        <f t="array" ref="B87">IFERROR(INDEX(BD[],_xlfn.AGGREGATE(15,6,IF(BD[CLASIFICACIÓN]=$B$2,ROW(BD[CLASIFICACIÓN])-ROW('PT2 (FILTRAR)'!$E$5)+1,NA()),ROWS($B$5:B87)),COLUMNS($B$5:B87)),"")</f>
        <v/>
      </c>
      <c r="C87" s="127" t="str">
        <f t="array" ref="C87">IFERROR(INDEX(BD[],_xlfn.AGGREGATE(15,6,IF(BD[CLASIFICACIÓN]=$B$2,ROW(BD[CLASIFICACIÓN])-ROW('PT2 (FILTRAR)'!$E$5)+1,NA()),ROWS($B$5:C87)),COLUMNS($B$5:C87)),"")</f>
        <v/>
      </c>
      <c r="D87" s="142" t="str">
        <f t="array" ref="D87">IFERROR(INDEX(BD[],_xlfn.AGGREGATE(15,6,IF(BD[CLASIFICACIÓN]=$B$2,ROW(BD[CLASIFICACIÓN])-ROW('PT2 (FILTRAR)'!$E$5)+1,NA()),ROWS($B$5:D87)),COLUMNS($B$5:D87)),"")</f>
        <v/>
      </c>
      <c r="E87" s="126" t="str">
        <f t="array" ref="E87">IFERROR(INDEX(BD[],_xlfn.AGGREGATE(15,6,IF(BD[CLASIFICACIÓN]=$B$2,ROW(BD[CLASIFICACIÓN])-ROW('PT2 (FILTRAR)'!$E$5)+1,NA()),ROWS($B$5:E87)),COLUMNS($B$5:E87)),"")</f>
        <v/>
      </c>
    </row>
    <row r="88" spans="2:5" x14ac:dyDescent="0.3">
      <c r="B88" s="126" t="str">
        <f t="array" ref="B88">IFERROR(INDEX(BD[],_xlfn.AGGREGATE(15,6,IF(BD[CLASIFICACIÓN]=$B$2,ROW(BD[CLASIFICACIÓN])-ROW('PT2 (FILTRAR)'!$E$5)+1,NA()),ROWS($B$5:B88)),COLUMNS($B$5:B88)),"")</f>
        <v/>
      </c>
      <c r="C88" s="127" t="str">
        <f t="array" ref="C88">IFERROR(INDEX(BD[],_xlfn.AGGREGATE(15,6,IF(BD[CLASIFICACIÓN]=$B$2,ROW(BD[CLASIFICACIÓN])-ROW('PT2 (FILTRAR)'!$E$5)+1,NA()),ROWS($B$5:C88)),COLUMNS($B$5:C88)),"")</f>
        <v/>
      </c>
      <c r="D88" s="142" t="str">
        <f t="array" ref="D88">IFERROR(INDEX(BD[],_xlfn.AGGREGATE(15,6,IF(BD[CLASIFICACIÓN]=$B$2,ROW(BD[CLASIFICACIÓN])-ROW('PT2 (FILTRAR)'!$E$5)+1,NA()),ROWS($B$5:D88)),COLUMNS($B$5:D88)),"")</f>
        <v/>
      </c>
      <c r="E88" s="126" t="str">
        <f t="array" ref="E88">IFERROR(INDEX(BD[],_xlfn.AGGREGATE(15,6,IF(BD[CLASIFICACIÓN]=$B$2,ROW(BD[CLASIFICACIÓN])-ROW('PT2 (FILTRAR)'!$E$5)+1,NA()),ROWS($B$5:E88)),COLUMNS($B$5:E88)),"")</f>
        <v/>
      </c>
    </row>
    <row r="89" spans="2:5" x14ac:dyDescent="0.3">
      <c r="B89" s="126" t="str">
        <f t="array" ref="B89">IFERROR(INDEX(BD[],_xlfn.AGGREGATE(15,6,IF(BD[CLASIFICACIÓN]=$B$2,ROW(BD[CLASIFICACIÓN])-ROW('PT2 (FILTRAR)'!$E$5)+1,NA()),ROWS($B$5:B89)),COLUMNS($B$5:B89)),"")</f>
        <v/>
      </c>
      <c r="C89" s="127" t="str">
        <f t="array" ref="C89">IFERROR(INDEX(BD[],_xlfn.AGGREGATE(15,6,IF(BD[CLASIFICACIÓN]=$B$2,ROW(BD[CLASIFICACIÓN])-ROW('PT2 (FILTRAR)'!$E$5)+1,NA()),ROWS($B$5:C89)),COLUMNS($B$5:C89)),"")</f>
        <v/>
      </c>
      <c r="D89" s="142" t="str">
        <f t="array" ref="D89">IFERROR(INDEX(BD[],_xlfn.AGGREGATE(15,6,IF(BD[CLASIFICACIÓN]=$B$2,ROW(BD[CLASIFICACIÓN])-ROW('PT2 (FILTRAR)'!$E$5)+1,NA()),ROWS($B$5:D89)),COLUMNS($B$5:D89)),"")</f>
        <v/>
      </c>
      <c r="E89" s="126" t="str">
        <f t="array" ref="E89">IFERROR(INDEX(BD[],_xlfn.AGGREGATE(15,6,IF(BD[CLASIFICACIÓN]=$B$2,ROW(BD[CLASIFICACIÓN])-ROW('PT2 (FILTRAR)'!$E$5)+1,NA()),ROWS($B$5:E89)),COLUMNS($B$5:E89)),"")</f>
        <v/>
      </c>
    </row>
    <row r="90" spans="2:5" x14ac:dyDescent="0.3">
      <c r="B90" s="126" t="str">
        <f t="array" ref="B90">IFERROR(INDEX(BD[],_xlfn.AGGREGATE(15,6,IF(BD[CLASIFICACIÓN]=$B$2,ROW(BD[CLASIFICACIÓN])-ROW('PT2 (FILTRAR)'!$E$5)+1,NA()),ROWS($B$5:B90)),COLUMNS($B$5:B90)),"")</f>
        <v/>
      </c>
      <c r="C90" s="127" t="str">
        <f t="array" ref="C90">IFERROR(INDEX(BD[],_xlfn.AGGREGATE(15,6,IF(BD[CLASIFICACIÓN]=$B$2,ROW(BD[CLASIFICACIÓN])-ROW('PT2 (FILTRAR)'!$E$5)+1,NA()),ROWS($B$5:C90)),COLUMNS($B$5:C90)),"")</f>
        <v/>
      </c>
      <c r="D90" s="142" t="str">
        <f t="array" ref="D90">IFERROR(INDEX(BD[],_xlfn.AGGREGATE(15,6,IF(BD[CLASIFICACIÓN]=$B$2,ROW(BD[CLASIFICACIÓN])-ROW('PT2 (FILTRAR)'!$E$5)+1,NA()),ROWS($B$5:D90)),COLUMNS($B$5:D90)),"")</f>
        <v/>
      </c>
      <c r="E90" s="126" t="str">
        <f t="array" ref="E90">IFERROR(INDEX(BD[],_xlfn.AGGREGATE(15,6,IF(BD[CLASIFICACIÓN]=$B$2,ROW(BD[CLASIFICACIÓN])-ROW('PT2 (FILTRAR)'!$E$5)+1,NA()),ROWS($B$5:E90)),COLUMNS($B$5:E90)),"")</f>
        <v/>
      </c>
    </row>
    <row r="91" spans="2:5" x14ac:dyDescent="0.3">
      <c r="B91" s="126" t="str">
        <f t="array" ref="B91">IFERROR(INDEX(BD[],_xlfn.AGGREGATE(15,6,IF(BD[CLASIFICACIÓN]=$B$2,ROW(BD[CLASIFICACIÓN])-ROW('PT2 (FILTRAR)'!$E$5)+1,NA()),ROWS($B$5:B91)),COLUMNS($B$5:B91)),"")</f>
        <v/>
      </c>
      <c r="C91" s="127" t="str">
        <f t="array" ref="C91">IFERROR(INDEX(BD[],_xlfn.AGGREGATE(15,6,IF(BD[CLASIFICACIÓN]=$B$2,ROW(BD[CLASIFICACIÓN])-ROW('PT2 (FILTRAR)'!$E$5)+1,NA()),ROWS($B$5:C91)),COLUMNS($B$5:C91)),"")</f>
        <v/>
      </c>
      <c r="D91" s="142" t="str">
        <f t="array" ref="D91">IFERROR(INDEX(BD[],_xlfn.AGGREGATE(15,6,IF(BD[CLASIFICACIÓN]=$B$2,ROW(BD[CLASIFICACIÓN])-ROW('PT2 (FILTRAR)'!$E$5)+1,NA()),ROWS($B$5:D91)),COLUMNS($B$5:D91)),"")</f>
        <v/>
      </c>
      <c r="E91" s="126" t="str">
        <f t="array" ref="E91">IFERROR(INDEX(BD[],_xlfn.AGGREGATE(15,6,IF(BD[CLASIFICACIÓN]=$B$2,ROW(BD[CLASIFICACIÓN])-ROW('PT2 (FILTRAR)'!$E$5)+1,NA()),ROWS($B$5:E91)),COLUMNS($B$5:E91)),"")</f>
        <v/>
      </c>
    </row>
    <row r="92" spans="2:5" x14ac:dyDescent="0.3">
      <c r="B92" s="126" t="str">
        <f t="array" ref="B92">IFERROR(INDEX(BD[],_xlfn.AGGREGATE(15,6,IF(BD[CLASIFICACIÓN]=$B$2,ROW(BD[CLASIFICACIÓN])-ROW('PT2 (FILTRAR)'!$E$5)+1,NA()),ROWS($B$5:B92)),COLUMNS($B$5:B92)),"")</f>
        <v/>
      </c>
      <c r="C92" s="127" t="str">
        <f t="array" ref="C92">IFERROR(INDEX(BD[],_xlfn.AGGREGATE(15,6,IF(BD[CLASIFICACIÓN]=$B$2,ROW(BD[CLASIFICACIÓN])-ROW('PT2 (FILTRAR)'!$E$5)+1,NA()),ROWS($B$5:C92)),COLUMNS($B$5:C92)),"")</f>
        <v/>
      </c>
      <c r="D92" s="142" t="str">
        <f t="array" ref="D92">IFERROR(INDEX(BD[],_xlfn.AGGREGATE(15,6,IF(BD[CLASIFICACIÓN]=$B$2,ROW(BD[CLASIFICACIÓN])-ROW('PT2 (FILTRAR)'!$E$5)+1,NA()),ROWS($B$5:D92)),COLUMNS($B$5:D92)),"")</f>
        <v/>
      </c>
      <c r="E92" s="126" t="str">
        <f t="array" ref="E92">IFERROR(INDEX(BD[],_xlfn.AGGREGATE(15,6,IF(BD[CLASIFICACIÓN]=$B$2,ROW(BD[CLASIFICACIÓN])-ROW('PT2 (FILTRAR)'!$E$5)+1,NA()),ROWS($B$5:E92)),COLUMNS($B$5:E92)),"")</f>
        <v/>
      </c>
    </row>
    <row r="93" spans="2:5" x14ac:dyDescent="0.3">
      <c r="B93" s="126" t="str">
        <f t="array" ref="B93">IFERROR(INDEX(BD[],_xlfn.AGGREGATE(15,6,IF(BD[CLASIFICACIÓN]=$B$2,ROW(BD[CLASIFICACIÓN])-ROW('PT2 (FILTRAR)'!$E$5)+1,NA()),ROWS($B$5:B93)),COLUMNS($B$5:B93)),"")</f>
        <v/>
      </c>
      <c r="C93" s="127" t="str">
        <f t="array" ref="C93">IFERROR(INDEX(BD[],_xlfn.AGGREGATE(15,6,IF(BD[CLASIFICACIÓN]=$B$2,ROW(BD[CLASIFICACIÓN])-ROW('PT2 (FILTRAR)'!$E$5)+1,NA()),ROWS($B$5:C93)),COLUMNS($B$5:C93)),"")</f>
        <v/>
      </c>
      <c r="D93" s="142" t="str">
        <f t="array" ref="D93">IFERROR(INDEX(BD[],_xlfn.AGGREGATE(15,6,IF(BD[CLASIFICACIÓN]=$B$2,ROW(BD[CLASIFICACIÓN])-ROW('PT2 (FILTRAR)'!$E$5)+1,NA()),ROWS($B$5:D93)),COLUMNS($B$5:D93)),"")</f>
        <v/>
      </c>
      <c r="E93" s="126" t="str">
        <f t="array" ref="E93">IFERROR(INDEX(BD[],_xlfn.AGGREGATE(15,6,IF(BD[CLASIFICACIÓN]=$B$2,ROW(BD[CLASIFICACIÓN])-ROW('PT2 (FILTRAR)'!$E$5)+1,NA()),ROWS($B$5:E93)),COLUMNS($B$5:E93)),"")</f>
        <v/>
      </c>
    </row>
    <row r="94" spans="2:5" x14ac:dyDescent="0.3">
      <c r="B94" s="126" t="str">
        <f t="array" ref="B94">IFERROR(INDEX(BD[],_xlfn.AGGREGATE(15,6,IF(BD[CLASIFICACIÓN]=$B$2,ROW(BD[CLASIFICACIÓN])-ROW('PT2 (FILTRAR)'!$E$5)+1,NA()),ROWS($B$5:B94)),COLUMNS($B$5:B94)),"")</f>
        <v/>
      </c>
      <c r="C94" s="127" t="str">
        <f t="array" ref="C94">IFERROR(INDEX(BD[],_xlfn.AGGREGATE(15,6,IF(BD[CLASIFICACIÓN]=$B$2,ROW(BD[CLASIFICACIÓN])-ROW('PT2 (FILTRAR)'!$E$5)+1,NA()),ROWS($B$5:C94)),COLUMNS($B$5:C94)),"")</f>
        <v/>
      </c>
      <c r="D94" s="142" t="str">
        <f t="array" ref="D94">IFERROR(INDEX(BD[],_xlfn.AGGREGATE(15,6,IF(BD[CLASIFICACIÓN]=$B$2,ROW(BD[CLASIFICACIÓN])-ROW('PT2 (FILTRAR)'!$E$5)+1,NA()),ROWS($B$5:D94)),COLUMNS($B$5:D94)),"")</f>
        <v/>
      </c>
      <c r="E94" s="126" t="str">
        <f t="array" ref="E94">IFERROR(INDEX(BD[],_xlfn.AGGREGATE(15,6,IF(BD[CLASIFICACIÓN]=$B$2,ROW(BD[CLASIFICACIÓN])-ROW('PT2 (FILTRAR)'!$E$5)+1,NA()),ROWS($B$5:E94)),COLUMNS($B$5:E94)),"")</f>
        <v/>
      </c>
    </row>
    <row r="95" spans="2:5" x14ac:dyDescent="0.3">
      <c r="B95" s="126" t="str">
        <f t="array" ref="B95">IFERROR(INDEX(BD[],_xlfn.AGGREGATE(15,6,IF(BD[CLASIFICACIÓN]=$B$2,ROW(BD[CLASIFICACIÓN])-ROW('PT2 (FILTRAR)'!$E$5)+1,NA()),ROWS($B$5:B95)),COLUMNS($B$5:B95)),"")</f>
        <v/>
      </c>
      <c r="C95" s="127" t="str">
        <f t="array" ref="C95">IFERROR(INDEX(BD[],_xlfn.AGGREGATE(15,6,IF(BD[CLASIFICACIÓN]=$B$2,ROW(BD[CLASIFICACIÓN])-ROW('PT2 (FILTRAR)'!$E$5)+1,NA()),ROWS($B$5:C95)),COLUMNS($B$5:C95)),"")</f>
        <v/>
      </c>
      <c r="D95" s="142" t="str">
        <f t="array" ref="D95">IFERROR(INDEX(BD[],_xlfn.AGGREGATE(15,6,IF(BD[CLASIFICACIÓN]=$B$2,ROW(BD[CLASIFICACIÓN])-ROW('PT2 (FILTRAR)'!$E$5)+1,NA()),ROWS($B$5:D95)),COLUMNS($B$5:D95)),"")</f>
        <v/>
      </c>
      <c r="E95" s="126" t="str">
        <f t="array" ref="E95">IFERROR(INDEX(BD[],_xlfn.AGGREGATE(15,6,IF(BD[CLASIFICACIÓN]=$B$2,ROW(BD[CLASIFICACIÓN])-ROW('PT2 (FILTRAR)'!$E$5)+1,NA()),ROWS($B$5:E95)),COLUMNS($B$5:E95)),"")</f>
        <v/>
      </c>
    </row>
    <row r="96" spans="2:5" x14ac:dyDescent="0.3">
      <c r="B96" s="126" t="str">
        <f t="array" ref="B96">IFERROR(INDEX(BD[],_xlfn.AGGREGATE(15,6,IF(BD[CLASIFICACIÓN]=$B$2,ROW(BD[CLASIFICACIÓN])-ROW('PT2 (FILTRAR)'!$E$5)+1,NA()),ROWS($B$5:B96)),COLUMNS($B$5:B96)),"")</f>
        <v/>
      </c>
      <c r="C96" s="127" t="str">
        <f t="array" ref="C96">IFERROR(INDEX(BD[],_xlfn.AGGREGATE(15,6,IF(BD[CLASIFICACIÓN]=$B$2,ROW(BD[CLASIFICACIÓN])-ROW('PT2 (FILTRAR)'!$E$5)+1,NA()),ROWS($B$5:C96)),COLUMNS($B$5:C96)),"")</f>
        <v/>
      </c>
      <c r="D96" s="142" t="str">
        <f t="array" ref="D96">IFERROR(INDEX(BD[],_xlfn.AGGREGATE(15,6,IF(BD[CLASIFICACIÓN]=$B$2,ROW(BD[CLASIFICACIÓN])-ROW('PT2 (FILTRAR)'!$E$5)+1,NA()),ROWS($B$5:D96)),COLUMNS($B$5:D96)),"")</f>
        <v/>
      </c>
      <c r="E96" s="126" t="str">
        <f t="array" ref="E96">IFERROR(INDEX(BD[],_xlfn.AGGREGATE(15,6,IF(BD[CLASIFICACIÓN]=$B$2,ROW(BD[CLASIFICACIÓN])-ROW('PT2 (FILTRAR)'!$E$5)+1,NA()),ROWS($B$5:E96)),COLUMNS($B$5:E96)),"")</f>
        <v/>
      </c>
    </row>
    <row r="97" spans="2:5" x14ac:dyDescent="0.3">
      <c r="B97" s="126" t="str">
        <f t="array" ref="B97">IFERROR(INDEX(BD[],_xlfn.AGGREGATE(15,6,IF(BD[CLASIFICACIÓN]=$B$2,ROW(BD[CLASIFICACIÓN])-ROW('PT2 (FILTRAR)'!$E$5)+1,NA()),ROWS($B$5:B97)),COLUMNS($B$5:B97)),"")</f>
        <v/>
      </c>
      <c r="C97" s="127" t="str">
        <f t="array" ref="C97">IFERROR(INDEX(BD[],_xlfn.AGGREGATE(15,6,IF(BD[CLASIFICACIÓN]=$B$2,ROW(BD[CLASIFICACIÓN])-ROW('PT2 (FILTRAR)'!$E$5)+1,NA()),ROWS($B$5:C97)),COLUMNS($B$5:C97)),"")</f>
        <v/>
      </c>
      <c r="D97" s="142" t="str">
        <f t="array" ref="D97">IFERROR(INDEX(BD[],_xlfn.AGGREGATE(15,6,IF(BD[CLASIFICACIÓN]=$B$2,ROW(BD[CLASIFICACIÓN])-ROW('PT2 (FILTRAR)'!$E$5)+1,NA()),ROWS($B$5:D97)),COLUMNS($B$5:D97)),"")</f>
        <v/>
      </c>
      <c r="E97" s="126" t="str">
        <f t="array" ref="E97">IFERROR(INDEX(BD[],_xlfn.AGGREGATE(15,6,IF(BD[CLASIFICACIÓN]=$B$2,ROW(BD[CLASIFICACIÓN])-ROW('PT2 (FILTRAR)'!$E$5)+1,NA()),ROWS($B$5:E97)),COLUMNS($B$5:E97)),"")</f>
        <v/>
      </c>
    </row>
    <row r="98" spans="2:5" x14ac:dyDescent="0.3">
      <c r="B98" s="126" t="str">
        <f t="array" ref="B98">IFERROR(INDEX(BD[],_xlfn.AGGREGATE(15,6,IF(BD[CLASIFICACIÓN]=$B$2,ROW(BD[CLASIFICACIÓN])-ROW('PT2 (FILTRAR)'!$E$5)+1,NA()),ROWS($B$5:B98)),COLUMNS($B$5:B98)),"")</f>
        <v/>
      </c>
      <c r="C98" s="127" t="str">
        <f t="array" ref="C98">IFERROR(INDEX(BD[],_xlfn.AGGREGATE(15,6,IF(BD[CLASIFICACIÓN]=$B$2,ROW(BD[CLASIFICACIÓN])-ROW('PT2 (FILTRAR)'!$E$5)+1,NA()),ROWS($B$5:C98)),COLUMNS($B$5:C98)),"")</f>
        <v/>
      </c>
      <c r="D98" s="142" t="str">
        <f t="array" ref="D98">IFERROR(INDEX(BD[],_xlfn.AGGREGATE(15,6,IF(BD[CLASIFICACIÓN]=$B$2,ROW(BD[CLASIFICACIÓN])-ROW('PT2 (FILTRAR)'!$E$5)+1,NA()),ROWS($B$5:D98)),COLUMNS($B$5:D98)),"")</f>
        <v/>
      </c>
      <c r="E98" s="126" t="str">
        <f t="array" ref="E98">IFERROR(INDEX(BD[],_xlfn.AGGREGATE(15,6,IF(BD[CLASIFICACIÓN]=$B$2,ROW(BD[CLASIFICACIÓN])-ROW('PT2 (FILTRAR)'!$E$5)+1,NA()),ROWS($B$5:E98)),COLUMNS($B$5:E98)),"")</f>
        <v/>
      </c>
    </row>
    <row r="99" spans="2:5" x14ac:dyDescent="0.3">
      <c r="B99" s="126" t="str">
        <f t="array" ref="B99">IFERROR(INDEX(BD[],_xlfn.AGGREGATE(15,6,IF(BD[CLASIFICACIÓN]=$B$2,ROW(BD[CLASIFICACIÓN])-ROW('PT2 (FILTRAR)'!$E$5)+1,NA()),ROWS($B$5:B99)),COLUMNS($B$5:B99)),"")</f>
        <v/>
      </c>
      <c r="C99" s="127" t="str">
        <f t="array" ref="C99">IFERROR(INDEX(BD[],_xlfn.AGGREGATE(15,6,IF(BD[CLASIFICACIÓN]=$B$2,ROW(BD[CLASIFICACIÓN])-ROW('PT2 (FILTRAR)'!$E$5)+1,NA()),ROWS($B$5:C99)),COLUMNS($B$5:C99)),"")</f>
        <v/>
      </c>
      <c r="D99" s="142" t="str">
        <f t="array" ref="D99">IFERROR(INDEX(BD[],_xlfn.AGGREGATE(15,6,IF(BD[CLASIFICACIÓN]=$B$2,ROW(BD[CLASIFICACIÓN])-ROW('PT2 (FILTRAR)'!$E$5)+1,NA()),ROWS($B$5:D99)),COLUMNS($B$5:D99)),"")</f>
        <v/>
      </c>
      <c r="E99" s="126" t="str">
        <f t="array" ref="E99">IFERROR(INDEX(BD[],_xlfn.AGGREGATE(15,6,IF(BD[CLASIFICACIÓN]=$B$2,ROW(BD[CLASIFICACIÓN])-ROW('PT2 (FILTRAR)'!$E$5)+1,NA()),ROWS($B$5:E99)),COLUMNS($B$5:E99)),"")</f>
        <v/>
      </c>
    </row>
    <row r="100" spans="2:5" x14ac:dyDescent="0.3">
      <c r="B100" s="126" t="str">
        <f t="array" ref="B100">IFERROR(INDEX(BD[],_xlfn.AGGREGATE(15,6,IF(BD[CLASIFICACIÓN]=$B$2,ROW(BD[CLASIFICACIÓN])-ROW('PT2 (FILTRAR)'!$E$5)+1,NA()),ROWS($B$5:B100)),COLUMNS($B$5:B100)),"")</f>
        <v/>
      </c>
      <c r="C100" s="127" t="str">
        <f t="array" ref="C100">IFERROR(INDEX(BD[],_xlfn.AGGREGATE(15,6,IF(BD[CLASIFICACIÓN]=$B$2,ROW(BD[CLASIFICACIÓN])-ROW('PT2 (FILTRAR)'!$E$5)+1,NA()),ROWS($B$5:C100)),COLUMNS($B$5:C100)),"")</f>
        <v/>
      </c>
      <c r="D100" s="142" t="str">
        <f t="array" ref="D100">IFERROR(INDEX(BD[],_xlfn.AGGREGATE(15,6,IF(BD[CLASIFICACIÓN]=$B$2,ROW(BD[CLASIFICACIÓN])-ROW('PT2 (FILTRAR)'!$E$5)+1,NA()),ROWS($B$5:D100)),COLUMNS($B$5:D100)),"")</f>
        <v/>
      </c>
      <c r="E100" s="126" t="str">
        <f t="array" ref="E100">IFERROR(INDEX(BD[],_xlfn.AGGREGATE(15,6,IF(BD[CLASIFICACIÓN]=$B$2,ROW(BD[CLASIFICACIÓN])-ROW('PT2 (FILTRAR)'!$E$5)+1,NA()),ROWS($B$5:E100)),COLUMNS($B$5:E100)),"")</f>
        <v/>
      </c>
    </row>
    <row r="101" spans="2:5" x14ac:dyDescent="0.3">
      <c r="B101" s="126" t="str">
        <f t="array" ref="B101">IFERROR(INDEX(BD[],_xlfn.AGGREGATE(15,6,IF(BD[CLASIFICACIÓN]=$B$2,ROW(BD[CLASIFICACIÓN])-ROW('PT2 (FILTRAR)'!$E$5)+1,NA()),ROWS($B$5:B101)),COLUMNS($B$5:B101)),"")</f>
        <v/>
      </c>
      <c r="C101" s="127" t="str">
        <f t="array" ref="C101">IFERROR(INDEX(BD[],_xlfn.AGGREGATE(15,6,IF(BD[CLASIFICACIÓN]=$B$2,ROW(BD[CLASIFICACIÓN])-ROW('PT2 (FILTRAR)'!$E$5)+1,NA()),ROWS($B$5:C101)),COLUMNS($B$5:C101)),"")</f>
        <v/>
      </c>
      <c r="D101" s="142" t="str">
        <f t="array" ref="D101">IFERROR(INDEX(BD[],_xlfn.AGGREGATE(15,6,IF(BD[CLASIFICACIÓN]=$B$2,ROW(BD[CLASIFICACIÓN])-ROW('PT2 (FILTRAR)'!$E$5)+1,NA()),ROWS($B$5:D101)),COLUMNS($B$5:D101)),"")</f>
        <v/>
      </c>
      <c r="E101" s="126" t="str">
        <f t="array" ref="E101">IFERROR(INDEX(BD[],_xlfn.AGGREGATE(15,6,IF(BD[CLASIFICACIÓN]=$B$2,ROW(BD[CLASIFICACIÓN])-ROW('PT2 (FILTRAR)'!$E$5)+1,NA()),ROWS($B$5:E101)),COLUMNS($B$5:E101)),"")</f>
        <v/>
      </c>
    </row>
    <row r="102" spans="2:5" x14ac:dyDescent="0.3">
      <c r="B102" s="126" t="str">
        <f t="array" ref="B102">IFERROR(INDEX(BD[],_xlfn.AGGREGATE(15,6,IF(BD[CLASIFICACIÓN]=$B$2,ROW(BD[CLASIFICACIÓN])-ROW('PT2 (FILTRAR)'!$E$5)+1,NA()),ROWS($B$5:B102)),COLUMNS($B$5:B102)),"")</f>
        <v/>
      </c>
      <c r="C102" s="127" t="str">
        <f t="array" ref="C102">IFERROR(INDEX(BD[],_xlfn.AGGREGATE(15,6,IF(BD[CLASIFICACIÓN]=$B$2,ROW(BD[CLASIFICACIÓN])-ROW('PT2 (FILTRAR)'!$E$5)+1,NA()),ROWS($B$5:C102)),COLUMNS($B$5:C102)),"")</f>
        <v/>
      </c>
      <c r="D102" s="142" t="str">
        <f t="array" ref="D102">IFERROR(INDEX(BD[],_xlfn.AGGREGATE(15,6,IF(BD[CLASIFICACIÓN]=$B$2,ROW(BD[CLASIFICACIÓN])-ROW('PT2 (FILTRAR)'!$E$5)+1,NA()),ROWS($B$5:D102)),COLUMNS($B$5:D102)),"")</f>
        <v/>
      </c>
      <c r="E102" s="126" t="str">
        <f t="array" ref="E102">IFERROR(INDEX(BD[],_xlfn.AGGREGATE(15,6,IF(BD[CLASIFICACIÓN]=$B$2,ROW(BD[CLASIFICACIÓN])-ROW('PT2 (FILTRAR)'!$E$5)+1,NA()),ROWS($B$5:E102)),COLUMNS($B$5:E102)),"")</f>
        <v/>
      </c>
    </row>
    <row r="103" spans="2:5" x14ac:dyDescent="0.3">
      <c r="B103" s="126" t="str">
        <f t="array" ref="B103">IFERROR(INDEX(BD[],_xlfn.AGGREGATE(15,6,IF(BD[CLASIFICACIÓN]=$B$2,ROW(BD[CLASIFICACIÓN])-ROW('PT2 (FILTRAR)'!$E$5)+1,NA()),ROWS($B$5:B103)),COLUMNS($B$5:B103)),"")</f>
        <v/>
      </c>
      <c r="C103" s="127" t="str">
        <f t="array" ref="C103">IFERROR(INDEX(BD[],_xlfn.AGGREGATE(15,6,IF(BD[CLASIFICACIÓN]=$B$2,ROW(BD[CLASIFICACIÓN])-ROW('PT2 (FILTRAR)'!$E$5)+1,NA()),ROWS($B$5:C103)),COLUMNS($B$5:C103)),"")</f>
        <v/>
      </c>
      <c r="D103" s="142" t="str">
        <f t="array" ref="D103">IFERROR(INDEX(BD[],_xlfn.AGGREGATE(15,6,IF(BD[CLASIFICACIÓN]=$B$2,ROW(BD[CLASIFICACIÓN])-ROW('PT2 (FILTRAR)'!$E$5)+1,NA()),ROWS($B$5:D103)),COLUMNS($B$5:D103)),"")</f>
        <v/>
      </c>
      <c r="E103" s="126" t="str">
        <f t="array" ref="E103">IFERROR(INDEX(BD[],_xlfn.AGGREGATE(15,6,IF(BD[CLASIFICACIÓN]=$B$2,ROW(BD[CLASIFICACIÓN])-ROW('PT2 (FILTRAR)'!$E$5)+1,NA()),ROWS($B$5:E103)),COLUMNS($B$5:E103)),"")</f>
        <v/>
      </c>
    </row>
    <row r="104" spans="2:5" x14ac:dyDescent="0.3">
      <c r="B104" s="126" t="str">
        <f t="array" ref="B104">IFERROR(INDEX(BD[],_xlfn.AGGREGATE(15,6,IF(BD[CLASIFICACIÓN]=$B$2,ROW(BD[CLASIFICACIÓN])-ROW('PT2 (FILTRAR)'!$E$5)+1,NA()),ROWS($B$5:B104)),COLUMNS($B$5:B104)),"")</f>
        <v/>
      </c>
      <c r="C104" s="127" t="str">
        <f t="array" ref="C104">IFERROR(INDEX(BD[],_xlfn.AGGREGATE(15,6,IF(BD[CLASIFICACIÓN]=$B$2,ROW(BD[CLASIFICACIÓN])-ROW('PT2 (FILTRAR)'!$E$5)+1,NA()),ROWS($B$5:C104)),COLUMNS($B$5:C104)),"")</f>
        <v/>
      </c>
      <c r="D104" s="142" t="str">
        <f t="array" ref="D104">IFERROR(INDEX(BD[],_xlfn.AGGREGATE(15,6,IF(BD[CLASIFICACIÓN]=$B$2,ROW(BD[CLASIFICACIÓN])-ROW('PT2 (FILTRAR)'!$E$5)+1,NA()),ROWS($B$5:D104)),COLUMNS($B$5:D104)),"")</f>
        <v/>
      </c>
      <c r="E104" s="126" t="str">
        <f t="array" ref="E104">IFERROR(INDEX(BD[],_xlfn.AGGREGATE(15,6,IF(BD[CLASIFICACIÓN]=$B$2,ROW(BD[CLASIFICACIÓN])-ROW('PT2 (FILTRAR)'!$E$5)+1,NA()),ROWS($B$5:E104)),COLUMNS($B$5:E104)),"")</f>
        <v/>
      </c>
    </row>
    <row r="105" spans="2:5" x14ac:dyDescent="0.3">
      <c r="B105" s="126" t="str">
        <f t="array" ref="B105">IFERROR(INDEX(BD[],_xlfn.AGGREGATE(15,6,IF(BD[CLASIFICACIÓN]=$B$2,ROW(BD[CLASIFICACIÓN])-ROW('PT2 (FILTRAR)'!$E$5)+1,NA()),ROWS($B$5:B105)),COLUMNS($B$5:B105)),"")</f>
        <v/>
      </c>
      <c r="C105" s="127" t="str">
        <f t="array" ref="C105">IFERROR(INDEX(BD[],_xlfn.AGGREGATE(15,6,IF(BD[CLASIFICACIÓN]=$B$2,ROW(BD[CLASIFICACIÓN])-ROW('PT2 (FILTRAR)'!$E$5)+1,NA()),ROWS($B$5:C105)),COLUMNS($B$5:C105)),"")</f>
        <v/>
      </c>
      <c r="D105" s="142" t="str">
        <f t="array" ref="D105">IFERROR(INDEX(BD[],_xlfn.AGGREGATE(15,6,IF(BD[CLASIFICACIÓN]=$B$2,ROW(BD[CLASIFICACIÓN])-ROW('PT2 (FILTRAR)'!$E$5)+1,NA()),ROWS($B$5:D105)),COLUMNS($B$5:D105)),"")</f>
        <v/>
      </c>
      <c r="E105" s="126" t="str">
        <f t="array" ref="E105">IFERROR(INDEX(BD[],_xlfn.AGGREGATE(15,6,IF(BD[CLASIFICACIÓN]=$B$2,ROW(BD[CLASIFICACIÓN])-ROW('PT2 (FILTRAR)'!$E$5)+1,NA()),ROWS($B$5:E105)),COLUMNS($B$5:E105)),"")</f>
        <v/>
      </c>
    </row>
    <row r="106" spans="2:5" x14ac:dyDescent="0.3">
      <c r="B106" s="126" t="str">
        <f t="array" ref="B106">IFERROR(INDEX(BD[],_xlfn.AGGREGATE(15,6,IF(BD[CLASIFICACIÓN]=$B$2,ROW(BD[CLASIFICACIÓN])-ROW('PT2 (FILTRAR)'!$E$5)+1,NA()),ROWS($B$5:B106)),COLUMNS($B$5:B106)),"")</f>
        <v/>
      </c>
      <c r="C106" s="127" t="str">
        <f t="array" ref="C106">IFERROR(INDEX(BD[],_xlfn.AGGREGATE(15,6,IF(BD[CLASIFICACIÓN]=$B$2,ROW(BD[CLASIFICACIÓN])-ROW('PT2 (FILTRAR)'!$E$5)+1,NA()),ROWS($B$5:C106)),COLUMNS($B$5:C106)),"")</f>
        <v/>
      </c>
      <c r="D106" s="142" t="str">
        <f t="array" ref="D106">IFERROR(INDEX(BD[],_xlfn.AGGREGATE(15,6,IF(BD[CLASIFICACIÓN]=$B$2,ROW(BD[CLASIFICACIÓN])-ROW('PT2 (FILTRAR)'!$E$5)+1,NA()),ROWS($B$5:D106)),COLUMNS($B$5:D106)),"")</f>
        <v/>
      </c>
      <c r="E106" s="126" t="str">
        <f t="array" ref="E106">IFERROR(INDEX(BD[],_xlfn.AGGREGATE(15,6,IF(BD[CLASIFICACIÓN]=$B$2,ROW(BD[CLASIFICACIÓN])-ROW('PT2 (FILTRAR)'!$E$5)+1,NA()),ROWS($B$5:E106)),COLUMNS($B$5:E106)),"")</f>
        <v/>
      </c>
    </row>
    <row r="107" spans="2:5" x14ac:dyDescent="0.3">
      <c r="B107" s="126" t="str">
        <f t="array" ref="B107">IFERROR(INDEX(BD[],_xlfn.AGGREGATE(15,6,IF(BD[CLASIFICACIÓN]=$B$2,ROW(BD[CLASIFICACIÓN])-ROW('PT2 (FILTRAR)'!$E$5)+1,NA()),ROWS($B$5:B107)),COLUMNS($B$5:B107)),"")</f>
        <v/>
      </c>
      <c r="C107" s="127" t="str">
        <f t="array" ref="C107">IFERROR(INDEX(BD[],_xlfn.AGGREGATE(15,6,IF(BD[CLASIFICACIÓN]=$B$2,ROW(BD[CLASIFICACIÓN])-ROW('PT2 (FILTRAR)'!$E$5)+1,NA()),ROWS($B$5:C107)),COLUMNS($B$5:C107)),"")</f>
        <v/>
      </c>
      <c r="D107" s="142" t="str">
        <f t="array" ref="D107">IFERROR(INDEX(BD[],_xlfn.AGGREGATE(15,6,IF(BD[CLASIFICACIÓN]=$B$2,ROW(BD[CLASIFICACIÓN])-ROW('PT2 (FILTRAR)'!$E$5)+1,NA()),ROWS($B$5:D107)),COLUMNS($B$5:D107)),"")</f>
        <v/>
      </c>
      <c r="E107" s="126" t="str">
        <f t="array" ref="E107">IFERROR(INDEX(BD[],_xlfn.AGGREGATE(15,6,IF(BD[CLASIFICACIÓN]=$B$2,ROW(BD[CLASIFICACIÓN])-ROW('PT2 (FILTRAR)'!$E$5)+1,NA()),ROWS($B$5:E107)),COLUMNS($B$5:E107)),"")</f>
        <v/>
      </c>
    </row>
    <row r="108" spans="2:5" x14ac:dyDescent="0.3">
      <c r="B108" s="126" t="str">
        <f t="array" ref="B108">IFERROR(INDEX(BD[],_xlfn.AGGREGATE(15,6,IF(BD[CLASIFICACIÓN]=$B$2,ROW(BD[CLASIFICACIÓN])-ROW('PT2 (FILTRAR)'!$E$5)+1,NA()),ROWS($B$5:B108)),COLUMNS($B$5:B108)),"")</f>
        <v/>
      </c>
      <c r="C108" s="127" t="str">
        <f t="array" ref="C108">IFERROR(INDEX(BD[],_xlfn.AGGREGATE(15,6,IF(BD[CLASIFICACIÓN]=$B$2,ROW(BD[CLASIFICACIÓN])-ROW('PT2 (FILTRAR)'!$E$5)+1,NA()),ROWS($B$5:C108)),COLUMNS($B$5:C108)),"")</f>
        <v/>
      </c>
      <c r="D108" s="142" t="str">
        <f t="array" ref="D108">IFERROR(INDEX(BD[],_xlfn.AGGREGATE(15,6,IF(BD[CLASIFICACIÓN]=$B$2,ROW(BD[CLASIFICACIÓN])-ROW('PT2 (FILTRAR)'!$E$5)+1,NA()),ROWS($B$5:D108)),COLUMNS($B$5:D108)),"")</f>
        <v/>
      </c>
      <c r="E108" s="126" t="str">
        <f t="array" ref="E108">IFERROR(INDEX(BD[],_xlfn.AGGREGATE(15,6,IF(BD[CLASIFICACIÓN]=$B$2,ROW(BD[CLASIFICACIÓN])-ROW('PT2 (FILTRAR)'!$E$5)+1,NA()),ROWS($B$5:E108)),COLUMNS($B$5:E108)),"")</f>
        <v/>
      </c>
    </row>
    <row r="109" spans="2:5" x14ac:dyDescent="0.3">
      <c r="B109" s="126" t="str">
        <f t="array" ref="B109">IFERROR(INDEX(BD[],_xlfn.AGGREGATE(15,6,IF(BD[CLASIFICACIÓN]=$B$2,ROW(BD[CLASIFICACIÓN])-ROW('PT2 (FILTRAR)'!$E$5)+1,NA()),ROWS($B$5:B109)),COLUMNS($B$5:B109)),"")</f>
        <v/>
      </c>
      <c r="C109" s="127" t="str">
        <f t="array" ref="C109">IFERROR(INDEX(BD[],_xlfn.AGGREGATE(15,6,IF(BD[CLASIFICACIÓN]=$B$2,ROW(BD[CLASIFICACIÓN])-ROW('PT2 (FILTRAR)'!$E$5)+1,NA()),ROWS($B$5:C109)),COLUMNS($B$5:C109)),"")</f>
        <v/>
      </c>
      <c r="D109" s="142" t="str">
        <f t="array" ref="D109">IFERROR(INDEX(BD[],_xlfn.AGGREGATE(15,6,IF(BD[CLASIFICACIÓN]=$B$2,ROW(BD[CLASIFICACIÓN])-ROW('PT2 (FILTRAR)'!$E$5)+1,NA()),ROWS($B$5:D109)),COLUMNS($B$5:D109)),"")</f>
        <v/>
      </c>
      <c r="E109" s="126" t="str">
        <f t="array" ref="E109">IFERROR(INDEX(BD[],_xlfn.AGGREGATE(15,6,IF(BD[CLASIFICACIÓN]=$B$2,ROW(BD[CLASIFICACIÓN])-ROW('PT2 (FILTRAR)'!$E$5)+1,NA()),ROWS($B$5:E109)),COLUMNS($B$5:E109)),"")</f>
        <v/>
      </c>
    </row>
    <row r="110" spans="2:5" x14ac:dyDescent="0.3">
      <c r="B110" s="126" t="str">
        <f t="array" ref="B110">IFERROR(INDEX(BD[],_xlfn.AGGREGATE(15,6,IF(BD[CLASIFICACIÓN]=$B$2,ROW(BD[CLASIFICACIÓN])-ROW('PT2 (FILTRAR)'!$E$5)+1,NA()),ROWS($B$5:B110)),COLUMNS($B$5:B110)),"")</f>
        <v/>
      </c>
      <c r="C110" s="127" t="str">
        <f t="array" ref="C110">IFERROR(INDEX(BD[],_xlfn.AGGREGATE(15,6,IF(BD[CLASIFICACIÓN]=$B$2,ROW(BD[CLASIFICACIÓN])-ROW('PT2 (FILTRAR)'!$E$5)+1,NA()),ROWS($B$5:C110)),COLUMNS($B$5:C110)),"")</f>
        <v/>
      </c>
      <c r="D110" s="142" t="str">
        <f t="array" ref="D110">IFERROR(INDEX(BD[],_xlfn.AGGREGATE(15,6,IF(BD[CLASIFICACIÓN]=$B$2,ROW(BD[CLASIFICACIÓN])-ROW('PT2 (FILTRAR)'!$E$5)+1,NA()),ROWS($B$5:D110)),COLUMNS($B$5:D110)),"")</f>
        <v/>
      </c>
      <c r="E110" s="126" t="str">
        <f t="array" ref="E110">IFERROR(INDEX(BD[],_xlfn.AGGREGATE(15,6,IF(BD[CLASIFICACIÓN]=$B$2,ROW(BD[CLASIFICACIÓN])-ROW('PT2 (FILTRAR)'!$E$5)+1,NA()),ROWS($B$5:E110)),COLUMNS($B$5:E110)),"")</f>
        <v/>
      </c>
    </row>
    <row r="111" spans="2:5" x14ac:dyDescent="0.3">
      <c r="B111" s="126" t="str">
        <f t="array" ref="B111">IFERROR(INDEX(BD[],_xlfn.AGGREGATE(15,6,IF(BD[CLASIFICACIÓN]=$B$2,ROW(BD[CLASIFICACIÓN])-ROW('PT2 (FILTRAR)'!$E$5)+1,NA()),ROWS($B$5:B111)),COLUMNS($B$5:B111)),"")</f>
        <v/>
      </c>
      <c r="C111" s="127" t="str">
        <f t="array" ref="C111">IFERROR(INDEX(BD[],_xlfn.AGGREGATE(15,6,IF(BD[CLASIFICACIÓN]=$B$2,ROW(BD[CLASIFICACIÓN])-ROW('PT2 (FILTRAR)'!$E$5)+1,NA()),ROWS($B$5:C111)),COLUMNS($B$5:C111)),"")</f>
        <v/>
      </c>
      <c r="D111" s="142" t="str">
        <f t="array" ref="D111">IFERROR(INDEX(BD[],_xlfn.AGGREGATE(15,6,IF(BD[CLASIFICACIÓN]=$B$2,ROW(BD[CLASIFICACIÓN])-ROW('PT2 (FILTRAR)'!$E$5)+1,NA()),ROWS($B$5:D111)),COLUMNS($B$5:D111)),"")</f>
        <v/>
      </c>
      <c r="E111" s="126" t="str">
        <f t="array" ref="E111">IFERROR(INDEX(BD[],_xlfn.AGGREGATE(15,6,IF(BD[CLASIFICACIÓN]=$B$2,ROW(BD[CLASIFICACIÓN])-ROW('PT2 (FILTRAR)'!$E$5)+1,NA()),ROWS($B$5:E111)),COLUMNS($B$5:E111)),"")</f>
        <v/>
      </c>
    </row>
    <row r="112" spans="2:5" x14ac:dyDescent="0.3">
      <c r="B112" s="126" t="str">
        <f t="array" ref="B112">IFERROR(INDEX(BD[],_xlfn.AGGREGATE(15,6,IF(BD[CLASIFICACIÓN]=$B$2,ROW(BD[CLASIFICACIÓN])-ROW('PT2 (FILTRAR)'!$E$5)+1,NA()),ROWS($B$5:B112)),COLUMNS($B$5:B112)),"")</f>
        <v/>
      </c>
      <c r="C112" s="127" t="str">
        <f t="array" ref="C112">IFERROR(INDEX(BD[],_xlfn.AGGREGATE(15,6,IF(BD[CLASIFICACIÓN]=$B$2,ROW(BD[CLASIFICACIÓN])-ROW('PT2 (FILTRAR)'!$E$5)+1,NA()),ROWS($B$5:C112)),COLUMNS($B$5:C112)),"")</f>
        <v/>
      </c>
      <c r="D112" s="142" t="str">
        <f t="array" ref="D112">IFERROR(INDEX(BD[],_xlfn.AGGREGATE(15,6,IF(BD[CLASIFICACIÓN]=$B$2,ROW(BD[CLASIFICACIÓN])-ROW('PT2 (FILTRAR)'!$E$5)+1,NA()),ROWS($B$5:D112)),COLUMNS($B$5:D112)),"")</f>
        <v/>
      </c>
      <c r="E112" s="126" t="str">
        <f t="array" ref="E112">IFERROR(INDEX(BD[],_xlfn.AGGREGATE(15,6,IF(BD[CLASIFICACIÓN]=$B$2,ROW(BD[CLASIFICACIÓN])-ROW('PT2 (FILTRAR)'!$E$5)+1,NA()),ROWS($B$5:E112)),COLUMNS($B$5:E112)),"")</f>
        <v/>
      </c>
    </row>
    <row r="113" spans="2:5" x14ac:dyDescent="0.3">
      <c r="B113" s="126" t="str">
        <f t="array" ref="B113">IFERROR(INDEX(BD[],_xlfn.AGGREGATE(15,6,IF(BD[CLASIFICACIÓN]=$B$2,ROW(BD[CLASIFICACIÓN])-ROW('PT2 (FILTRAR)'!$E$5)+1,NA()),ROWS($B$5:B113)),COLUMNS($B$5:B113)),"")</f>
        <v/>
      </c>
      <c r="C113" s="127" t="str">
        <f t="array" ref="C113">IFERROR(INDEX(BD[],_xlfn.AGGREGATE(15,6,IF(BD[CLASIFICACIÓN]=$B$2,ROW(BD[CLASIFICACIÓN])-ROW('PT2 (FILTRAR)'!$E$5)+1,NA()),ROWS($B$5:C113)),COLUMNS($B$5:C113)),"")</f>
        <v/>
      </c>
      <c r="D113" s="142" t="str">
        <f t="array" ref="D113">IFERROR(INDEX(BD[],_xlfn.AGGREGATE(15,6,IF(BD[CLASIFICACIÓN]=$B$2,ROW(BD[CLASIFICACIÓN])-ROW('PT2 (FILTRAR)'!$E$5)+1,NA()),ROWS($B$5:D113)),COLUMNS($B$5:D113)),"")</f>
        <v/>
      </c>
      <c r="E113" s="126" t="str">
        <f t="array" ref="E113">IFERROR(INDEX(BD[],_xlfn.AGGREGATE(15,6,IF(BD[CLASIFICACIÓN]=$B$2,ROW(BD[CLASIFICACIÓN])-ROW('PT2 (FILTRAR)'!$E$5)+1,NA()),ROWS($B$5:E113)),COLUMNS($B$5:E113)),"")</f>
        <v/>
      </c>
    </row>
    <row r="114" spans="2:5" x14ac:dyDescent="0.3">
      <c r="B114" s="126" t="str">
        <f t="array" ref="B114">IFERROR(INDEX(BD[],_xlfn.AGGREGATE(15,6,IF(BD[CLASIFICACIÓN]=$B$2,ROW(BD[CLASIFICACIÓN])-ROW('PT2 (FILTRAR)'!$E$5)+1,NA()),ROWS($B$5:B114)),COLUMNS($B$5:B114)),"")</f>
        <v/>
      </c>
      <c r="C114" s="127" t="str">
        <f t="array" ref="C114">IFERROR(INDEX(BD[],_xlfn.AGGREGATE(15,6,IF(BD[CLASIFICACIÓN]=$B$2,ROW(BD[CLASIFICACIÓN])-ROW('PT2 (FILTRAR)'!$E$5)+1,NA()),ROWS($B$5:C114)),COLUMNS($B$5:C114)),"")</f>
        <v/>
      </c>
      <c r="D114" s="142" t="str">
        <f t="array" ref="D114">IFERROR(INDEX(BD[],_xlfn.AGGREGATE(15,6,IF(BD[CLASIFICACIÓN]=$B$2,ROW(BD[CLASIFICACIÓN])-ROW('PT2 (FILTRAR)'!$E$5)+1,NA()),ROWS($B$5:D114)),COLUMNS($B$5:D114)),"")</f>
        <v/>
      </c>
      <c r="E114" s="126" t="str">
        <f t="array" ref="E114">IFERROR(INDEX(BD[],_xlfn.AGGREGATE(15,6,IF(BD[CLASIFICACIÓN]=$B$2,ROW(BD[CLASIFICACIÓN])-ROW('PT2 (FILTRAR)'!$E$5)+1,NA()),ROWS($B$5:E114)),COLUMNS($B$5:E114)),"")</f>
        <v/>
      </c>
    </row>
    <row r="115" spans="2:5" x14ac:dyDescent="0.3">
      <c r="B115" s="126" t="str">
        <f t="array" ref="B115">IFERROR(INDEX(BD[],_xlfn.AGGREGATE(15,6,IF(BD[CLASIFICACIÓN]=$B$2,ROW(BD[CLASIFICACIÓN])-ROW('PT2 (FILTRAR)'!$E$5)+1,NA()),ROWS($B$5:B115)),COLUMNS($B$5:B115)),"")</f>
        <v/>
      </c>
      <c r="C115" s="127" t="str">
        <f t="array" ref="C115">IFERROR(INDEX(BD[],_xlfn.AGGREGATE(15,6,IF(BD[CLASIFICACIÓN]=$B$2,ROW(BD[CLASIFICACIÓN])-ROW('PT2 (FILTRAR)'!$E$5)+1,NA()),ROWS($B$5:C115)),COLUMNS($B$5:C115)),"")</f>
        <v/>
      </c>
      <c r="D115" s="142" t="str">
        <f t="array" ref="D115">IFERROR(INDEX(BD[],_xlfn.AGGREGATE(15,6,IF(BD[CLASIFICACIÓN]=$B$2,ROW(BD[CLASIFICACIÓN])-ROW('PT2 (FILTRAR)'!$E$5)+1,NA()),ROWS($B$5:D115)),COLUMNS($B$5:D115)),"")</f>
        <v/>
      </c>
      <c r="E115" s="126" t="str">
        <f t="array" ref="E115">IFERROR(INDEX(BD[],_xlfn.AGGREGATE(15,6,IF(BD[CLASIFICACIÓN]=$B$2,ROW(BD[CLASIFICACIÓN])-ROW('PT2 (FILTRAR)'!$E$5)+1,NA()),ROWS($B$5:E115)),COLUMNS($B$5:E115)),"")</f>
        <v/>
      </c>
    </row>
    <row r="116" spans="2:5" x14ac:dyDescent="0.3">
      <c r="B116" s="126" t="str">
        <f t="array" ref="B116">IFERROR(INDEX(BD[],_xlfn.AGGREGATE(15,6,IF(BD[CLASIFICACIÓN]=$B$2,ROW(BD[CLASIFICACIÓN])-ROW('PT2 (FILTRAR)'!$E$5)+1,NA()),ROWS($B$5:B116)),COLUMNS($B$5:B116)),"")</f>
        <v/>
      </c>
      <c r="C116" s="127" t="str">
        <f t="array" ref="C116">IFERROR(INDEX(BD[],_xlfn.AGGREGATE(15,6,IF(BD[CLASIFICACIÓN]=$B$2,ROW(BD[CLASIFICACIÓN])-ROW('PT2 (FILTRAR)'!$E$5)+1,NA()),ROWS($B$5:C116)),COLUMNS($B$5:C116)),"")</f>
        <v/>
      </c>
      <c r="D116" s="142" t="str">
        <f t="array" ref="D116">IFERROR(INDEX(BD[],_xlfn.AGGREGATE(15,6,IF(BD[CLASIFICACIÓN]=$B$2,ROW(BD[CLASIFICACIÓN])-ROW('PT2 (FILTRAR)'!$E$5)+1,NA()),ROWS($B$5:D116)),COLUMNS($B$5:D116)),"")</f>
        <v/>
      </c>
      <c r="E116" s="126" t="str">
        <f t="array" ref="E116">IFERROR(INDEX(BD[],_xlfn.AGGREGATE(15,6,IF(BD[CLASIFICACIÓN]=$B$2,ROW(BD[CLASIFICACIÓN])-ROW('PT2 (FILTRAR)'!$E$5)+1,NA()),ROWS($B$5:E116)),COLUMNS($B$5:E116)),"")</f>
        <v/>
      </c>
    </row>
    <row r="117" spans="2:5" x14ac:dyDescent="0.3">
      <c r="B117" s="126" t="str">
        <f t="array" ref="B117">IFERROR(INDEX(BD[],_xlfn.AGGREGATE(15,6,IF(BD[CLASIFICACIÓN]=$B$2,ROW(BD[CLASIFICACIÓN])-ROW('PT2 (FILTRAR)'!$E$5)+1,NA()),ROWS($B$5:B117)),COLUMNS($B$5:B117)),"")</f>
        <v/>
      </c>
      <c r="C117" s="127" t="str">
        <f t="array" ref="C117">IFERROR(INDEX(BD[],_xlfn.AGGREGATE(15,6,IF(BD[CLASIFICACIÓN]=$B$2,ROW(BD[CLASIFICACIÓN])-ROW('PT2 (FILTRAR)'!$E$5)+1,NA()),ROWS($B$5:C117)),COLUMNS($B$5:C117)),"")</f>
        <v/>
      </c>
      <c r="D117" s="142" t="str">
        <f t="array" ref="D117">IFERROR(INDEX(BD[],_xlfn.AGGREGATE(15,6,IF(BD[CLASIFICACIÓN]=$B$2,ROW(BD[CLASIFICACIÓN])-ROW('PT2 (FILTRAR)'!$E$5)+1,NA()),ROWS($B$5:D117)),COLUMNS($B$5:D117)),"")</f>
        <v/>
      </c>
      <c r="E117" s="126" t="str">
        <f t="array" ref="E117">IFERROR(INDEX(BD[],_xlfn.AGGREGATE(15,6,IF(BD[CLASIFICACIÓN]=$B$2,ROW(BD[CLASIFICACIÓN])-ROW('PT2 (FILTRAR)'!$E$5)+1,NA()),ROWS($B$5:E117)),COLUMNS($B$5:E117)),"")</f>
        <v/>
      </c>
    </row>
    <row r="118" spans="2:5" x14ac:dyDescent="0.3">
      <c r="B118" s="126" t="str">
        <f t="array" ref="B118">IFERROR(INDEX(BD[],_xlfn.AGGREGATE(15,6,IF(BD[CLASIFICACIÓN]=$B$2,ROW(BD[CLASIFICACIÓN])-ROW('PT2 (FILTRAR)'!$E$5)+1,NA()),ROWS($B$5:B118)),COLUMNS($B$5:B118)),"")</f>
        <v/>
      </c>
      <c r="C118" s="127" t="str">
        <f t="array" ref="C118">IFERROR(INDEX(BD[],_xlfn.AGGREGATE(15,6,IF(BD[CLASIFICACIÓN]=$B$2,ROW(BD[CLASIFICACIÓN])-ROW('PT2 (FILTRAR)'!$E$5)+1,NA()),ROWS($B$5:C118)),COLUMNS($B$5:C118)),"")</f>
        <v/>
      </c>
      <c r="D118" s="142" t="str">
        <f t="array" ref="D118">IFERROR(INDEX(BD[],_xlfn.AGGREGATE(15,6,IF(BD[CLASIFICACIÓN]=$B$2,ROW(BD[CLASIFICACIÓN])-ROW('PT2 (FILTRAR)'!$E$5)+1,NA()),ROWS($B$5:D118)),COLUMNS($B$5:D118)),"")</f>
        <v/>
      </c>
      <c r="E118" s="126" t="str">
        <f t="array" ref="E118">IFERROR(INDEX(BD[],_xlfn.AGGREGATE(15,6,IF(BD[CLASIFICACIÓN]=$B$2,ROW(BD[CLASIFICACIÓN])-ROW('PT2 (FILTRAR)'!$E$5)+1,NA()),ROWS($B$5:E118)),COLUMNS($B$5:E118)),"")</f>
        <v/>
      </c>
    </row>
    <row r="119" spans="2:5" x14ac:dyDescent="0.3">
      <c r="B119" s="126" t="str">
        <f t="array" ref="B119">IFERROR(INDEX(BD[],_xlfn.AGGREGATE(15,6,IF(BD[CLASIFICACIÓN]=$B$2,ROW(BD[CLASIFICACIÓN])-ROW('PT2 (FILTRAR)'!$E$5)+1,NA()),ROWS($B$5:B119)),COLUMNS($B$5:B119)),"")</f>
        <v/>
      </c>
      <c r="C119" s="127" t="str">
        <f t="array" ref="C119">IFERROR(INDEX(BD[],_xlfn.AGGREGATE(15,6,IF(BD[CLASIFICACIÓN]=$B$2,ROW(BD[CLASIFICACIÓN])-ROW('PT2 (FILTRAR)'!$E$5)+1,NA()),ROWS($B$5:C119)),COLUMNS($B$5:C119)),"")</f>
        <v/>
      </c>
      <c r="D119" s="142" t="str">
        <f t="array" ref="D119">IFERROR(INDEX(BD[],_xlfn.AGGREGATE(15,6,IF(BD[CLASIFICACIÓN]=$B$2,ROW(BD[CLASIFICACIÓN])-ROW('PT2 (FILTRAR)'!$E$5)+1,NA()),ROWS($B$5:D119)),COLUMNS($B$5:D119)),"")</f>
        <v/>
      </c>
      <c r="E119" s="126" t="str">
        <f t="array" ref="E119">IFERROR(INDEX(BD[],_xlfn.AGGREGATE(15,6,IF(BD[CLASIFICACIÓN]=$B$2,ROW(BD[CLASIFICACIÓN])-ROW('PT2 (FILTRAR)'!$E$5)+1,NA()),ROWS($B$5:E119)),COLUMNS($B$5:E119)),"")</f>
        <v/>
      </c>
    </row>
    <row r="120" spans="2:5" x14ac:dyDescent="0.3">
      <c r="B120" s="126" t="str">
        <f t="array" ref="B120">IFERROR(INDEX(BD[],_xlfn.AGGREGATE(15,6,IF(BD[CLASIFICACIÓN]=$B$2,ROW(BD[CLASIFICACIÓN])-ROW('PT2 (FILTRAR)'!$E$5)+1,NA()),ROWS($B$5:B120)),COLUMNS($B$5:B120)),"")</f>
        <v/>
      </c>
      <c r="C120" s="127" t="str">
        <f t="array" ref="C120">IFERROR(INDEX(BD[],_xlfn.AGGREGATE(15,6,IF(BD[CLASIFICACIÓN]=$B$2,ROW(BD[CLASIFICACIÓN])-ROW('PT2 (FILTRAR)'!$E$5)+1,NA()),ROWS($B$5:C120)),COLUMNS($B$5:C120)),"")</f>
        <v/>
      </c>
      <c r="D120" s="142" t="str">
        <f t="array" ref="D120">IFERROR(INDEX(BD[],_xlfn.AGGREGATE(15,6,IF(BD[CLASIFICACIÓN]=$B$2,ROW(BD[CLASIFICACIÓN])-ROW('PT2 (FILTRAR)'!$E$5)+1,NA()),ROWS($B$5:D120)),COLUMNS($B$5:D120)),"")</f>
        <v/>
      </c>
      <c r="E120" s="126" t="str">
        <f t="array" ref="E120">IFERROR(INDEX(BD[],_xlfn.AGGREGATE(15,6,IF(BD[CLASIFICACIÓN]=$B$2,ROW(BD[CLASIFICACIÓN])-ROW('PT2 (FILTRAR)'!$E$5)+1,NA()),ROWS($B$5:E120)),COLUMNS($B$5:E120)),"")</f>
        <v/>
      </c>
    </row>
    <row r="121" spans="2:5" x14ac:dyDescent="0.3">
      <c r="B121" s="126" t="str">
        <f t="array" ref="B121">IFERROR(INDEX(BD[],_xlfn.AGGREGATE(15,6,IF(BD[CLASIFICACIÓN]=$B$2,ROW(BD[CLASIFICACIÓN])-ROW('PT2 (FILTRAR)'!$E$5)+1,NA()),ROWS($B$5:B121)),COLUMNS($B$5:B121)),"")</f>
        <v/>
      </c>
      <c r="C121" s="127" t="str">
        <f t="array" ref="C121">IFERROR(INDEX(BD[],_xlfn.AGGREGATE(15,6,IF(BD[CLASIFICACIÓN]=$B$2,ROW(BD[CLASIFICACIÓN])-ROW('PT2 (FILTRAR)'!$E$5)+1,NA()),ROWS($B$5:C121)),COLUMNS($B$5:C121)),"")</f>
        <v/>
      </c>
      <c r="D121" s="142" t="str">
        <f t="array" ref="D121">IFERROR(INDEX(BD[],_xlfn.AGGREGATE(15,6,IF(BD[CLASIFICACIÓN]=$B$2,ROW(BD[CLASIFICACIÓN])-ROW('PT2 (FILTRAR)'!$E$5)+1,NA()),ROWS($B$5:D121)),COLUMNS($B$5:D121)),"")</f>
        <v/>
      </c>
      <c r="E121" s="126" t="str">
        <f t="array" ref="E121">IFERROR(INDEX(BD[],_xlfn.AGGREGATE(15,6,IF(BD[CLASIFICACIÓN]=$B$2,ROW(BD[CLASIFICACIÓN])-ROW('PT2 (FILTRAR)'!$E$5)+1,NA()),ROWS($B$5:E121)),COLUMNS($B$5:E121)),"")</f>
        <v/>
      </c>
    </row>
    <row r="122" spans="2:5" x14ac:dyDescent="0.3">
      <c r="B122" s="126" t="str">
        <f t="array" ref="B122">IFERROR(INDEX(BD[],_xlfn.AGGREGATE(15,6,IF(BD[CLASIFICACIÓN]=$B$2,ROW(BD[CLASIFICACIÓN])-ROW('PT2 (FILTRAR)'!$E$5)+1,NA()),ROWS($B$5:B122)),COLUMNS($B$5:B122)),"")</f>
        <v/>
      </c>
      <c r="C122" s="127" t="str">
        <f t="array" ref="C122">IFERROR(INDEX(BD[],_xlfn.AGGREGATE(15,6,IF(BD[CLASIFICACIÓN]=$B$2,ROW(BD[CLASIFICACIÓN])-ROW('PT2 (FILTRAR)'!$E$5)+1,NA()),ROWS($B$5:C122)),COLUMNS($B$5:C122)),"")</f>
        <v/>
      </c>
      <c r="D122" s="142" t="str">
        <f t="array" ref="D122">IFERROR(INDEX(BD[],_xlfn.AGGREGATE(15,6,IF(BD[CLASIFICACIÓN]=$B$2,ROW(BD[CLASIFICACIÓN])-ROW('PT2 (FILTRAR)'!$E$5)+1,NA()),ROWS($B$5:D122)),COLUMNS($B$5:D122)),"")</f>
        <v/>
      </c>
      <c r="E122" s="126" t="str">
        <f t="array" ref="E122">IFERROR(INDEX(BD[],_xlfn.AGGREGATE(15,6,IF(BD[CLASIFICACIÓN]=$B$2,ROW(BD[CLASIFICACIÓN])-ROW('PT2 (FILTRAR)'!$E$5)+1,NA()),ROWS($B$5:E122)),COLUMNS($B$5:E122)),"")</f>
        <v/>
      </c>
    </row>
    <row r="123" spans="2:5" x14ac:dyDescent="0.3">
      <c r="B123" s="126" t="str">
        <f t="array" ref="B123">IFERROR(INDEX(BD[],_xlfn.AGGREGATE(15,6,IF(BD[CLASIFICACIÓN]=$B$2,ROW(BD[CLASIFICACIÓN])-ROW('PT2 (FILTRAR)'!$E$5)+1,NA()),ROWS($B$5:B123)),COLUMNS($B$5:B123)),"")</f>
        <v/>
      </c>
      <c r="C123" s="127" t="str">
        <f t="array" ref="C123">IFERROR(INDEX(BD[],_xlfn.AGGREGATE(15,6,IF(BD[CLASIFICACIÓN]=$B$2,ROW(BD[CLASIFICACIÓN])-ROW('PT2 (FILTRAR)'!$E$5)+1,NA()),ROWS($B$5:C123)),COLUMNS($B$5:C123)),"")</f>
        <v/>
      </c>
      <c r="D123" s="142" t="str">
        <f t="array" ref="D123">IFERROR(INDEX(BD[],_xlfn.AGGREGATE(15,6,IF(BD[CLASIFICACIÓN]=$B$2,ROW(BD[CLASIFICACIÓN])-ROW('PT2 (FILTRAR)'!$E$5)+1,NA()),ROWS($B$5:D123)),COLUMNS($B$5:D123)),"")</f>
        <v/>
      </c>
      <c r="E123" s="126" t="str">
        <f t="array" ref="E123">IFERROR(INDEX(BD[],_xlfn.AGGREGATE(15,6,IF(BD[CLASIFICACIÓN]=$B$2,ROW(BD[CLASIFICACIÓN])-ROW('PT2 (FILTRAR)'!$E$5)+1,NA()),ROWS($B$5:E123)),COLUMNS($B$5:E123)),"")</f>
        <v/>
      </c>
    </row>
    <row r="124" spans="2:5" x14ac:dyDescent="0.3">
      <c r="B124" s="126" t="str">
        <f t="array" ref="B124">IFERROR(INDEX(BD[],_xlfn.AGGREGATE(15,6,IF(BD[CLASIFICACIÓN]=$B$2,ROW(BD[CLASIFICACIÓN])-ROW('PT2 (FILTRAR)'!$E$5)+1,NA()),ROWS($B$5:B124)),COLUMNS($B$5:B124)),"")</f>
        <v/>
      </c>
      <c r="C124" s="127" t="str">
        <f t="array" ref="C124">IFERROR(INDEX(BD[],_xlfn.AGGREGATE(15,6,IF(BD[CLASIFICACIÓN]=$B$2,ROW(BD[CLASIFICACIÓN])-ROW('PT2 (FILTRAR)'!$E$5)+1,NA()),ROWS($B$5:C124)),COLUMNS($B$5:C124)),"")</f>
        <v/>
      </c>
      <c r="D124" s="142" t="str">
        <f t="array" ref="D124">IFERROR(INDEX(BD[],_xlfn.AGGREGATE(15,6,IF(BD[CLASIFICACIÓN]=$B$2,ROW(BD[CLASIFICACIÓN])-ROW('PT2 (FILTRAR)'!$E$5)+1,NA()),ROWS($B$5:D124)),COLUMNS($B$5:D124)),"")</f>
        <v/>
      </c>
      <c r="E124" s="126" t="str">
        <f t="array" ref="E124">IFERROR(INDEX(BD[],_xlfn.AGGREGATE(15,6,IF(BD[CLASIFICACIÓN]=$B$2,ROW(BD[CLASIFICACIÓN])-ROW('PT2 (FILTRAR)'!$E$5)+1,NA()),ROWS($B$5:E124)),COLUMNS($B$5:E124)),"")</f>
        <v/>
      </c>
    </row>
    <row r="125" spans="2:5" x14ac:dyDescent="0.3">
      <c r="B125" s="126" t="str">
        <f t="array" ref="B125">IFERROR(INDEX(BD[],_xlfn.AGGREGATE(15,6,IF(BD[CLASIFICACIÓN]=$B$2,ROW(BD[CLASIFICACIÓN])-ROW('PT2 (FILTRAR)'!$E$5)+1,NA()),ROWS($B$5:B125)),COLUMNS($B$5:B125)),"")</f>
        <v/>
      </c>
      <c r="C125" s="127" t="str">
        <f t="array" ref="C125">IFERROR(INDEX(BD[],_xlfn.AGGREGATE(15,6,IF(BD[CLASIFICACIÓN]=$B$2,ROW(BD[CLASIFICACIÓN])-ROW('PT2 (FILTRAR)'!$E$5)+1,NA()),ROWS($B$5:C125)),COLUMNS($B$5:C125)),"")</f>
        <v/>
      </c>
      <c r="D125" s="142" t="str">
        <f t="array" ref="D125">IFERROR(INDEX(BD[],_xlfn.AGGREGATE(15,6,IF(BD[CLASIFICACIÓN]=$B$2,ROW(BD[CLASIFICACIÓN])-ROW('PT2 (FILTRAR)'!$E$5)+1,NA()),ROWS($B$5:D125)),COLUMNS($B$5:D125)),"")</f>
        <v/>
      </c>
      <c r="E125" s="126" t="str">
        <f t="array" ref="E125">IFERROR(INDEX(BD[],_xlfn.AGGREGATE(15,6,IF(BD[CLASIFICACIÓN]=$B$2,ROW(BD[CLASIFICACIÓN])-ROW('PT2 (FILTRAR)'!$E$5)+1,NA()),ROWS($B$5:E125)),COLUMNS($B$5:E125)),"")</f>
        <v/>
      </c>
    </row>
    <row r="126" spans="2:5" x14ac:dyDescent="0.3">
      <c r="B126" s="126" t="str">
        <f t="array" ref="B126">IFERROR(INDEX(BD[],_xlfn.AGGREGATE(15,6,IF(BD[CLASIFICACIÓN]=$B$2,ROW(BD[CLASIFICACIÓN])-ROW('PT2 (FILTRAR)'!$E$5)+1,NA()),ROWS($B$5:B126)),COLUMNS($B$5:B126)),"")</f>
        <v/>
      </c>
      <c r="C126" s="127" t="str">
        <f t="array" ref="C126">IFERROR(INDEX(BD[],_xlfn.AGGREGATE(15,6,IF(BD[CLASIFICACIÓN]=$B$2,ROW(BD[CLASIFICACIÓN])-ROW('PT2 (FILTRAR)'!$E$5)+1,NA()),ROWS($B$5:C126)),COLUMNS($B$5:C126)),"")</f>
        <v/>
      </c>
      <c r="D126" s="142" t="str">
        <f t="array" ref="D126">IFERROR(INDEX(BD[],_xlfn.AGGREGATE(15,6,IF(BD[CLASIFICACIÓN]=$B$2,ROW(BD[CLASIFICACIÓN])-ROW('PT2 (FILTRAR)'!$E$5)+1,NA()),ROWS($B$5:D126)),COLUMNS($B$5:D126)),"")</f>
        <v/>
      </c>
      <c r="E126" s="126" t="str">
        <f t="array" ref="E126">IFERROR(INDEX(BD[],_xlfn.AGGREGATE(15,6,IF(BD[CLASIFICACIÓN]=$B$2,ROW(BD[CLASIFICACIÓN])-ROW('PT2 (FILTRAR)'!$E$5)+1,NA()),ROWS($B$5:E126)),COLUMNS($B$5:E126)),"")</f>
        <v/>
      </c>
    </row>
    <row r="127" spans="2:5" x14ac:dyDescent="0.3">
      <c r="B127" s="126" t="str">
        <f t="array" ref="B127">IFERROR(INDEX(BD[],_xlfn.AGGREGATE(15,6,IF(BD[CLASIFICACIÓN]=$B$2,ROW(BD[CLASIFICACIÓN])-ROW('PT2 (FILTRAR)'!$E$5)+1,NA()),ROWS($B$5:B127)),COLUMNS($B$5:B127)),"")</f>
        <v/>
      </c>
      <c r="C127" s="127" t="str">
        <f t="array" ref="C127">IFERROR(INDEX(BD[],_xlfn.AGGREGATE(15,6,IF(BD[CLASIFICACIÓN]=$B$2,ROW(BD[CLASIFICACIÓN])-ROW('PT2 (FILTRAR)'!$E$5)+1,NA()),ROWS($B$5:C127)),COLUMNS($B$5:C127)),"")</f>
        <v/>
      </c>
      <c r="D127" s="142" t="str">
        <f t="array" ref="D127">IFERROR(INDEX(BD[],_xlfn.AGGREGATE(15,6,IF(BD[CLASIFICACIÓN]=$B$2,ROW(BD[CLASIFICACIÓN])-ROW('PT2 (FILTRAR)'!$E$5)+1,NA()),ROWS($B$5:D127)),COLUMNS($B$5:D127)),"")</f>
        <v/>
      </c>
      <c r="E127" s="126" t="str">
        <f t="array" ref="E127">IFERROR(INDEX(BD[],_xlfn.AGGREGATE(15,6,IF(BD[CLASIFICACIÓN]=$B$2,ROW(BD[CLASIFICACIÓN])-ROW('PT2 (FILTRAR)'!$E$5)+1,NA()),ROWS($B$5:E127)),COLUMNS($B$5:E127)),"")</f>
        <v/>
      </c>
    </row>
    <row r="128" spans="2:5" x14ac:dyDescent="0.3">
      <c r="B128" s="126" t="str">
        <f t="array" ref="B128">IFERROR(INDEX(BD[],_xlfn.AGGREGATE(15,6,IF(BD[CLASIFICACIÓN]=$B$2,ROW(BD[CLASIFICACIÓN])-ROW('PT2 (FILTRAR)'!$E$5)+1,NA()),ROWS($B$5:B128)),COLUMNS($B$5:B128)),"")</f>
        <v/>
      </c>
      <c r="C128" s="127" t="str">
        <f t="array" ref="C128">IFERROR(INDEX(BD[],_xlfn.AGGREGATE(15,6,IF(BD[CLASIFICACIÓN]=$B$2,ROW(BD[CLASIFICACIÓN])-ROW('PT2 (FILTRAR)'!$E$5)+1,NA()),ROWS($B$5:C128)),COLUMNS($B$5:C128)),"")</f>
        <v/>
      </c>
      <c r="D128" s="142" t="str">
        <f t="array" ref="D128">IFERROR(INDEX(BD[],_xlfn.AGGREGATE(15,6,IF(BD[CLASIFICACIÓN]=$B$2,ROW(BD[CLASIFICACIÓN])-ROW('PT2 (FILTRAR)'!$E$5)+1,NA()),ROWS($B$5:D128)),COLUMNS($B$5:D128)),"")</f>
        <v/>
      </c>
      <c r="E128" s="126" t="str">
        <f t="array" ref="E128">IFERROR(INDEX(BD[],_xlfn.AGGREGATE(15,6,IF(BD[CLASIFICACIÓN]=$B$2,ROW(BD[CLASIFICACIÓN])-ROW('PT2 (FILTRAR)'!$E$5)+1,NA()),ROWS($B$5:E128)),COLUMNS($B$5:E128)),"")</f>
        <v/>
      </c>
    </row>
    <row r="129" spans="2:5" x14ac:dyDescent="0.3">
      <c r="B129" s="126" t="str">
        <f t="array" ref="B129">IFERROR(INDEX(BD[],_xlfn.AGGREGATE(15,6,IF(BD[CLASIFICACIÓN]=$B$2,ROW(BD[CLASIFICACIÓN])-ROW('PT2 (FILTRAR)'!$E$5)+1,NA()),ROWS($B$5:B129)),COLUMNS($B$5:B129)),"")</f>
        <v/>
      </c>
      <c r="C129" s="127" t="str">
        <f t="array" ref="C129">IFERROR(INDEX(BD[],_xlfn.AGGREGATE(15,6,IF(BD[CLASIFICACIÓN]=$B$2,ROW(BD[CLASIFICACIÓN])-ROW('PT2 (FILTRAR)'!$E$5)+1,NA()),ROWS($B$5:C129)),COLUMNS($B$5:C129)),"")</f>
        <v/>
      </c>
      <c r="D129" s="142" t="str">
        <f t="array" ref="D129">IFERROR(INDEX(BD[],_xlfn.AGGREGATE(15,6,IF(BD[CLASIFICACIÓN]=$B$2,ROW(BD[CLASIFICACIÓN])-ROW('PT2 (FILTRAR)'!$E$5)+1,NA()),ROWS($B$5:D129)),COLUMNS($B$5:D129)),"")</f>
        <v/>
      </c>
      <c r="E129" s="126" t="str">
        <f t="array" ref="E129">IFERROR(INDEX(BD[],_xlfn.AGGREGATE(15,6,IF(BD[CLASIFICACIÓN]=$B$2,ROW(BD[CLASIFICACIÓN])-ROW('PT2 (FILTRAR)'!$E$5)+1,NA()),ROWS($B$5:E129)),COLUMNS($B$5:E129)),"")</f>
        <v/>
      </c>
    </row>
    <row r="130" spans="2:5" x14ac:dyDescent="0.3">
      <c r="B130" s="126" t="str">
        <f t="array" ref="B130">IFERROR(INDEX(BD[],_xlfn.AGGREGATE(15,6,IF(BD[CLASIFICACIÓN]=$B$2,ROW(BD[CLASIFICACIÓN])-ROW('PT2 (FILTRAR)'!$E$5)+1,NA()),ROWS($B$5:B130)),COLUMNS($B$5:B130)),"")</f>
        <v/>
      </c>
      <c r="C130" s="127" t="str">
        <f t="array" ref="C130">IFERROR(INDEX(BD[],_xlfn.AGGREGATE(15,6,IF(BD[CLASIFICACIÓN]=$B$2,ROW(BD[CLASIFICACIÓN])-ROW('PT2 (FILTRAR)'!$E$5)+1,NA()),ROWS($B$5:C130)),COLUMNS($B$5:C130)),"")</f>
        <v/>
      </c>
      <c r="D130" s="142" t="str">
        <f t="array" ref="D130">IFERROR(INDEX(BD[],_xlfn.AGGREGATE(15,6,IF(BD[CLASIFICACIÓN]=$B$2,ROW(BD[CLASIFICACIÓN])-ROW('PT2 (FILTRAR)'!$E$5)+1,NA()),ROWS($B$5:D130)),COLUMNS($B$5:D130)),"")</f>
        <v/>
      </c>
      <c r="E130" s="126" t="str">
        <f t="array" ref="E130">IFERROR(INDEX(BD[],_xlfn.AGGREGATE(15,6,IF(BD[CLASIFICACIÓN]=$B$2,ROW(BD[CLASIFICACIÓN])-ROW('PT2 (FILTRAR)'!$E$5)+1,NA()),ROWS($B$5:E130)),COLUMNS($B$5:E130)),"")</f>
        <v/>
      </c>
    </row>
    <row r="131" spans="2:5" x14ac:dyDescent="0.3">
      <c r="B131" s="126" t="str">
        <f t="array" ref="B131">IFERROR(INDEX(BD[],_xlfn.AGGREGATE(15,6,IF(BD[CLASIFICACIÓN]=$B$2,ROW(BD[CLASIFICACIÓN])-ROW('PT2 (FILTRAR)'!$E$5)+1,NA()),ROWS($B$5:B131)),COLUMNS($B$5:B131)),"")</f>
        <v/>
      </c>
      <c r="C131" s="127" t="str">
        <f t="array" ref="C131">IFERROR(INDEX(BD[],_xlfn.AGGREGATE(15,6,IF(BD[CLASIFICACIÓN]=$B$2,ROW(BD[CLASIFICACIÓN])-ROW('PT2 (FILTRAR)'!$E$5)+1,NA()),ROWS($B$5:C131)),COLUMNS($B$5:C131)),"")</f>
        <v/>
      </c>
      <c r="D131" s="142" t="str">
        <f t="array" ref="D131">IFERROR(INDEX(BD[],_xlfn.AGGREGATE(15,6,IF(BD[CLASIFICACIÓN]=$B$2,ROW(BD[CLASIFICACIÓN])-ROW('PT2 (FILTRAR)'!$E$5)+1,NA()),ROWS($B$5:D131)),COLUMNS($B$5:D131)),"")</f>
        <v/>
      </c>
      <c r="E131" s="126" t="str">
        <f t="array" ref="E131">IFERROR(INDEX(BD[],_xlfn.AGGREGATE(15,6,IF(BD[CLASIFICACIÓN]=$B$2,ROW(BD[CLASIFICACIÓN])-ROW('PT2 (FILTRAR)'!$E$5)+1,NA()),ROWS($B$5:E131)),COLUMNS($B$5:E131)),"")</f>
        <v/>
      </c>
    </row>
    <row r="132" spans="2:5" x14ac:dyDescent="0.3">
      <c r="B132" s="126" t="str">
        <f t="array" ref="B132">IFERROR(INDEX(BD[],_xlfn.AGGREGATE(15,6,IF(BD[CLASIFICACIÓN]=$B$2,ROW(BD[CLASIFICACIÓN])-ROW('PT2 (FILTRAR)'!$E$5)+1,NA()),ROWS($B$5:B132)),COLUMNS($B$5:B132)),"")</f>
        <v/>
      </c>
      <c r="C132" s="127" t="str">
        <f t="array" ref="C132">IFERROR(INDEX(BD[],_xlfn.AGGREGATE(15,6,IF(BD[CLASIFICACIÓN]=$B$2,ROW(BD[CLASIFICACIÓN])-ROW('PT2 (FILTRAR)'!$E$5)+1,NA()),ROWS($B$5:C132)),COLUMNS($B$5:C132)),"")</f>
        <v/>
      </c>
      <c r="D132" s="142" t="str">
        <f t="array" ref="D132">IFERROR(INDEX(BD[],_xlfn.AGGREGATE(15,6,IF(BD[CLASIFICACIÓN]=$B$2,ROW(BD[CLASIFICACIÓN])-ROW('PT2 (FILTRAR)'!$E$5)+1,NA()),ROWS($B$5:D132)),COLUMNS($B$5:D132)),"")</f>
        <v/>
      </c>
      <c r="E132" s="126" t="str">
        <f t="array" ref="E132">IFERROR(INDEX(BD[],_xlfn.AGGREGATE(15,6,IF(BD[CLASIFICACIÓN]=$B$2,ROW(BD[CLASIFICACIÓN])-ROW('PT2 (FILTRAR)'!$E$5)+1,NA()),ROWS($B$5:E132)),COLUMNS($B$5:E132)),"")</f>
        <v/>
      </c>
    </row>
    <row r="133" spans="2:5" x14ac:dyDescent="0.3">
      <c r="B133" s="126" t="str">
        <f t="array" ref="B133">IFERROR(INDEX(BD[],_xlfn.AGGREGATE(15,6,IF(BD[CLASIFICACIÓN]=$B$2,ROW(BD[CLASIFICACIÓN])-ROW('PT2 (FILTRAR)'!$E$5)+1,NA()),ROWS($B$5:B133)),COLUMNS($B$5:B133)),"")</f>
        <v/>
      </c>
      <c r="C133" s="127" t="str">
        <f t="array" ref="C133">IFERROR(INDEX(BD[],_xlfn.AGGREGATE(15,6,IF(BD[CLASIFICACIÓN]=$B$2,ROW(BD[CLASIFICACIÓN])-ROW('PT2 (FILTRAR)'!$E$5)+1,NA()),ROWS($B$5:C133)),COLUMNS($B$5:C133)),"")</f>
        <v/>
      </c>
      <c r="D133" s="142" t="str">
        <f t="array" ref="D133">IFERROR(INDEX(BD[],_xlfn.AGGREGATE(15,6,IF(BD[CLASIFICACIÓN]=$B$2,ROW(BD[CLASIFICACIÓN])-ROW('PT2 (FILTRAR)'!$E$5)+1,NA()),ROWS($B$5:D133)),COLUMNS($B$5:D133)),"")</f>
        <v/>
      </c>
      <c r="E133" s="126" t="str">
        <f t="array" ref="E133">IFERROR(INDEX(BD[],_xlfn.AGGREGATE(15,6,IF(BD[CLASIFICACIÓN]=$B$2,ROW(BD[CLASIFICACIÓN])-ROW('PT2 (FILTRAR)'!$E$5)+1,NA()),ROWS($B$5:E133)),COLUMNS($B$5:E133)),"")</f>
        <v/>
      </c>
    </row>
    <row r="134" spans="2:5" x14ac:dyDescent="0.3">
      <c r="B134" s="126" t="str">
        <f t="array" ref="B134">IFERROR(INDEX(BD[],_xlfn.AGGREGATE(15,6,IF(BD[CLASIFICACIÓN]=$B$2,ROW(BD[CLASIFICACIÓN])-ROW('PT2 (FILTRAR)'!$E$5)+1,NA()),ROWS($B$5:B134)),COLUMNS($B$5:B134)),"")</f>
        <v/>
      </c>
      <c r="C134" s="127" t="str">
        <f t="array" ref="C134">IFERROR(INDEX(BD[],_xlfn.AGGREGATE(15,6,IF(BD[CLASIFICACIÓN]=$B$2,ROW(BD[CLASIFICACIÓN])-ROW('PT2 (FILTRAR)'!$E$5)+1,NA()),ROWS($B$5:C134)),COLUMNS($B$5:C134)),"")</f>
        <v/>
      </c>
      <c r="D134" s="142" t="str">
        <f t="array" ref="D134">IFERROR(INDEX(BD[],_xlfn.AGGREGATE(15,6,IF(BD[CLASIFICACIÓN]=$B$2,ROW(BD[CLASIFICACIÓN])-ROW('PT2 (FILTRAR)'!$E$5)+1,NA()),ROWS($B$5:D134)),COLUMNS($B$5:D134)),"")</f>
        <v/>
      </c>
      <c r="E134" s="126" t="str">
        <f t="array" ref="E134">IFERROR(INDEX(BD[],_xlfn.AGGREGATE(15,6,IF(BD[CLASIFICACIÓN]=$B$2,ROW(BD[CLASIFICACIÓN])-ROW('PT2 (FILTRAR)'!$E$5)+1,NA()),ROWS($B$5:E134)),COLUMNS($B$5:E134)),"")</f>
        <v/>
      </c>
    </row>
    <row r="135" spans="2:5" x14ac:dyDescent="0.3">
      <c r="B135" s="126" t="str">
        <f t="array" ref="B135">IFERROR(INDEX(BD[],_xlfn.AGGREGATE(15,6,IF(BD[CLASIFICACIÓN]=$B$2,ROW(BD[CLASIFICACIÓN])-ROW('PT2 (FILTRAR)'!$E$5)+1,NA()),ROWS($B$5:B135)),COLUMNS($B$5:B135)),"")</f>
        <v/>
      </c>
      <c r="C135" s="127" t="str">
        <f t="array" ref="C135">IFERROR(INDEX(BD[],_xlfn.AGGREGATE(15,6,IF(BD[CLASIFICACIÓN]=$B$2,ROW(BD[CLASIFICACIÓN])-ROW('PT2 (FILTRAR)'!$E$5)+1,NA()),ROWS($B$5:C135)),COLUMNS($B$5:C135)),"")</f>
        <v/>
      </c>
      <c r="D135" s="142" t="str">
        <f t="array" ref="D135">IFERROR(INDEX(BD[],_xlfn.AGGREGATE(15,6,IF(BD[CLASIFICACIÓN]=$B$2,ROW(BD[CLASIFICACIÓN])-ROW('PT2 (FILTRAR)'!$E$5)+1,NA()),ROWS($B$5:D135)),COLUMNS($B$5:D135)),"")</f>
        <v/>
      </c>
      <c r="E135" s="126" t="str">
        <f t="array" ref="E135">IFERROR(INDEX(BD[],_xlfn.AGGREGATE(15,6,IF(BD[CLASIFICACIÓN]=$B$2,ROW(BD[CLASIFICACIÓN])-ROW('PT2 (FILTRAR)'!$E$5)+1,NA()),ROWS($B$5:E135)),COLUMNS($B$5:E135)),"")</f>
        <v/>
      </c>
    </row>
    <row r="136" spans="2:5" x14ac:dyDescent="0.3">
      <c r="B136" s="126" t="str">
        <f t="array" ref="B136">IFERROR(INDEX(BD[],_xlfn.AGGREGATE(15,6,IF(BD[CLASIFICACIÓN]=$B$2,ROW(BD[CLASIFICACIÓN])-ROW('PT2 (FILTRAR)'!$E$5)+1,NA()),ROWS($B$5:B136)),COLUMNS($B$5:B136)),"")</f>
        <v/>
      </c>
      <c r="C136" s="127" t="str">
        <f t="array" ref="C136">IFERROR(INDEX(BD[],_xlfn.AGGREGATE(15,6,IF(BD[CLASIFICACIÓN]=$B$2,ROW(BD[CLASIFICACIÓN])-ROW('PT2 (FILTRAR)'!$E$5)+1,NA()),ROWS($B$5:C136)),COLUMNS($B$5:C136)),"")</f>
        <v/>
      </c>
      <c r="D136" s="142" t="str">
        <f t="array" ref="D136">IFERROR(INDEX(BD[],_xlfn.AGGREGATE(15,6,IF(BD[CLASIFICACIÓN]=$B$2,ROW(BD[CLASIFICACIÓN])-ROW('PT2 (FILTRAR)'!$E$5)+1,NA()),ROWS($B$5:D136)),COLUMNS($B$5:D136)),"")</f>
        <v/>
      </c>
      <c r="E136" s="126" t="str">
        <f t="array" ref="E136">IFERROR(INDEX(BD[],_xlfn.AGGREGATE(15,6,IF(BD[CLASIFICACIÓN]=$B$2,ROW(BD[CLASIFICACIÓN])-ROW('PT2 (FILTRAR)'!$E$5)+1,NA()),ROWS($B$5:E136)),COLUMNS($B$5:E136)),"")</f>
        <v/>
      </c>
    </row>
    <row r="137" spans="2:5" x14ac:dyDescent="0.3">
      <c r="B137" s="126" t="str">
        <f t="array" ref="B137">IFERROR(INDEX(BD[],_xlfn.AGGREGATE(15,6,IF(BD[CLASIFICACIÓN]=$B$2,ROW(BD[CLASIFICACIÓN])-ROW('PT2 (FILTRAR)'!$E$5)+1,NA()),ROWS($B$5:B137)),COLUMNS($B$5:B137)),"")</f>
        <v/>
      </c>
      <c r="C137" s="127" t="str">
        <f t="array" ref="C137">IFERROR(INDEX(BD[],_xlfn.AGGREGATE(15,6,IF(BD[CLASIFICACIÓN]=$B$2,ROW(BD[CLASIFICACIÓN])-ROW('PT2 (FILTRAR)'!$E$5)+1,NA()),ROWS($B$5:C137)),COLUMNS($B$5:C137)),"")</f>
        <v/>
      </c>
      <c r="D137" s="142" t="str">
        <f t="array" ref="D137">IFERROR(INDEX(BD[],_xlfn.AGGREGATE(15,6,IF(BD[CLASIFICACIÓN]=$B$2,ROW(BD[CLASIFICACIÓN])-ROW('PT2 (FILTRAR)'!$E$5)+1,NA()),ROWS($B$5:D137)),COLUMNS($B$5:D137)),"")</f>
        <v/>
      </c>
      <c r="E137" s="126" t="str">
        <f t="array" ref="E137">IFERROR(INDEX(BD[],_xlfn.AGGREGATE(15,6,IF(BD[CLASIFICACIÓN]=$B$2,ROW(BD[CLASIFICACIÓN])-ROW('PT2 (FILTRAR)'!$E$5)+1,NA()),ROWS($B$5:E137)),COLUMNS($B$5:E137)),"")</f>
        <v/>
      </c>
    </row>
    <row r="138" spans="2:5" x14ac:dyDescent="0.3">
      <c r="B138" s="126" t="str">
        <f t="array" ref="B138">IFERROR(INDEX(BD[],_xlfn.AGGREGATE(15,6,IF(BD[CLASIFICACIÓN]=$B$2,ROW(BD[CLASIFICACIÓN])-ROW('PT2 (FILTRAR)'!$E$5)+1,NA()),ROWS($B$5:B138)),COLUMNS($B$5:B138)),"")</f>
        <v/>
      </c>
      <c r="C138" s="127" t="str">
        <f t="array" ref="C138">IFERROR(INDEX(BD[],_xlfn.AGGREGATE(15,6,IF(BD[CLASIFICACIÓN]=$B$2,ROW(BD[CLASIFICACIÓN])-ROW('PT2 (FILTRAR)'!$E$5)+1,NA()),ROWS($B$5:C138)),COLUMNS($B$5:C138)),"")</f>
        <v/>
      </c>
      <c r="D138" s="142" t="str">
        <f t="array" ref="D138">IFERROR(INDEX(BD[],_xlfn.AGGREGATE(15,6,IF(BD[CLASIFICACIÓN]=$B$2,ROW(BD[CLASIFICACIÓN])-ROW('PT2 (FILTRAR)'!$E$5)+1,NA()),ROWS($B$5:D138)),COLUMNS($B$5:D138)),"")</f>
        <v/>
      </c>
      <c r="E138" s="126" t="str">
        <f t="array" ref="E138">IFERROR(INDEX(BD[],_xlfn.AGGREGATE(15,6,IF(BD[CLASIFICACIÓN]=$B$2,ROW(BD[CLASIFICACIÓN])-ROW('PT2 (FILTRAR)'!$E$5)+1,NA()),ROWS($B$5:E138)),COLUMNS($B$5:E138)),"")</f>
        <v/>
      </c>
    </row>
    <row r="139" spans="2:5" x14ac:dyDescent="0.3">
      <c r="B139" s="126" t="str">
        <f t="array" ref="B139">IFERROR(INDEX(BD[],_xlfn.AGGREGATE(15,6,IF(BD[CLASIFICACIÓN]=$B$2,ROW(BD[CLASIFICACIÓN])-ROW('PT2 (FILTRAR)'!$E$5)+1,NA()),ROWS($B$5:B139)),COLUMNS($B$5:B139)),"")</f>
        <v/>
      </c>
      <c r="C139" s="127" t="str">
        <f t="array" ref="C139">IFERROR(INDEX(BD[],_xlfn.AGGREGATE(15,6,IF(BD[CLASIFICACIÓN]=$B$2,ROW(BD[CLASIFICACIÓN])-ROW('PT2 (FILTRAR)'!$E$5)+1,NA()),ROWS($B$5:C139)),COLUMNS($B$5:C139)),"")</f>
        <v/>
      </c>
      <c r="D139" s="142" t="str">
        <f t="array" ref="D139">IFERROR(INDEX(BD[],_xlfn.AGGREGATE(15,6,IF(BD[CLASIFICACIÓN]=$B$2,ROW(BD[CLASIFICACIÓN])-ROW('PT2 (FILTRAR)'!$E$5)+1,NA()),ROWS($B$5:D139)),COLUMNS($B$5:D139)),"")</f>
        <v/>
      </c>
      <c r="E139" s="126" t="str">
        <f t="array" ref="E139">IFERROR(INDEX(BD[],_xlfn.AGGREGATE(15,6,IF(BD[CLASIFICACIÓN]=$B$2,ROW(BD[CLASIFICACIÓN])-ROW('PT2 (FILTRAR)'!$E$5)+1,NA()),ROWS($B$5:E139)),COLUMNS($B$5:E139)),"")</f>
        <v/>
      </c>
    </row>
    <row r="140" spans="2:5" x14ac:dyDescent="0.3">
      <c r="B140" s="126" t="str">
        <f t="array" ref="B140">IFERROR(INDEX(BD[],_xlfn.AGGREGATE(15,6,IF(BD[CLASIFICACIÓN]=$B$2,ROW(BD[CLASIFICACIÓN])-ROW('PT2 (FILTRAR)'!$E$5)+1,NA()),ROWS($B$5:B140)),COLUMNS($B$5:B140)),"")</f>
        <v/>
      </c>
      <c r="C140" s="127" t="str">
        <f t="array" ref="C140">IFERROR(INDEX(BD[],_xlfn.AGGREGATE(15,6,IF(BD[CLASIFICACIÓN]=$B$2,ROW(BD[CLASIFICACIÓN])-ROW('PT2 (FILTRAR)'!$E$5)+1,NA()),ROWS($B$5:C140)),COLUMNS($B$5:C140)),"")</f>
        <v/>
      </c>
      <c r="D140" s="142" t="str">
        <f t="array" ref="D140">IFERROR(INDEX(BD[],_xlfn.AGGREGATE(15,6,IF(BD[CLASIFICACIÓN]=$B$2,ROW(BD[CLASIFICACIÓN])-ROW('PT2 (FILTRAR)'!$E$5)+1,NA()),ROWS($B$5:D140)),COLUMNS($B$5:D140)),"")</f>
        <v/>
      </c>
      <c r="E140" s="126" t="str">
        <f t="array" ref="E140">IFERROR(INDEX(BD[],_xlfn.AGGREGATE(15,6,IF(BD[CLASIFICACIÓN]=$B$2,ROW(BD[CLASIFICACIÓN])-ROW('PT2 (FILTRAR)'!$E$5)+1,NA()),ROWS($B$5:E140)),COLUMNS($B$5:E140)),"")</f>
        <v/>
      </c>
    </row>
    <row r="141" spans="2:5" x14ac:dyDescent="0.3">
      <c r="B141" s="126" t="str">
        <f t="array" ref="B141">IFERROR(INDEX(BD[],_xlfn.AGGREGATE(15,6,IF(BD[CLASIFICACIÓN]=$B$2,ROW(BD[CLASIFICACIÓN])-ROW('PT2 (FILTRAR)'!$E$5)+1,NA()),ROWS($B$5:B141)),COLUMNS($B$5:B141)),"")</f>
        <v/>
      </c>
      <c r="C141" s="127" t="str">
        <f t="array" ref="C141">IFERROR(INDEX(BD[],_xlfn.AGGREGATE(15,6,IF(BD[CLASIFICACIÓN]=$B$2,ROW(BD[CLASIFICACIÓN])-ROW('PT2 (FILTRAR)'!$E$5)+1,NA()),ROWS($B$5:C141)),COLUMNS($B$5:C141)),"")</f>
        <v/>
      </c>
      <c r="D141" s="142" t="str">
        <f t="array" ref="D141">IFERROR(INDEX(BD[],_xlfn.AGGREGATE(15,6,IF(BD[CLASIFICACIÓN]=$B$2,ROW(BD[CLASIFICACIÓN])-ROW('PT2 (FILTRAR)'!$E$5)+1,NA()),ROWS($B$5:D141)),COLUMNS($B$5:D141)),"")</f>
        <v/>
      </c>
      <c r="E141" s="126" t="str">
        <f t="array" ref="E141">IFERROR(INDEX(BD[],_xlfn.AGGREGATE(15,6,IF(BD[CLASIFICACIÓN]=$B$2,ROW(BD[CLASIFICACIÓN])-ROW('PT2 (FILTRAR)'!$E$5)+1,NA()),ROWS($B$5:E141)),COLUMNS($B$5:E141)),"")</f>
        <v/>
      </c>
    </row>
    <row r="142" spans="2:5" x14ac:dyDescent="0.3">
      <c r="B142" s="126" t="str">
        <f t="array" ref="B142">IFERROR(INDEX(BD[],_xlfn.AGGREGATE(15,6,IF(BD[CLASIFICACIÓN]=$B$2,ROW(BD[CLASIFICACIÓN])-ROW('PT2 (FILTRAR)'!$E$5)+1,NA()),ROWS($B$5:B142)),COLUMNS($B$5:B142)),"")</f>
        <v/>
      </c>
      <c r="C142" s="127" t="str">
        <f t="array" ref="C142">IFERROR(INDEX(BD[],_xlfn.AGGREGATE(15,6,IF(BD[CLASIFICACIÓN]=$B$2,ROW(BD[CLASIFICACIÓN])-ROW('PT2 (FILTRAR)'!$E$5)+1,NA()),ROWS($B$5:C142)),COLUMNS($B$5:C142)),"")</f>
        <v/>
      </c>
      <c r="D142" s="142" t="str">
        <f t="array" ref="D142">IFERROR(INDEX(BD[],_xlfn.AGGREGATE(15,6,IF(BD[CLASIFICACIÓN]=$B$2,ROW(BD[CLASIFICACIÓN])-ROW('PT2 (FILTRAR)'!$E$5)+1,NA()),ROWS($B$5:D142)),COLUMNS($B$5:D142)),"")</f>
        <v/>
      </c>
      <c r="E142" s="126" t="str">
        <f t="array" ref="E142">IFERROR(INDEX(BD[],_xlfn.AGGREGATE(15,6,IF(BD[CLASIFICACIÓN]=$B$2,ROW(BD[CLASIFICACIÓN])-ROW('PT2 (FILTRAR)'!$E$5)+1,NA()),ROWS($B$5:E142)),COLUMNS($B$5:E142)),"")</f>
        <v/>
      </c>
    </row>
    <row r="143" spans="2:5" x14ac:dyDescent="0.3">
      <c r="B143" s="126" t="str">
        <f t="array" ref="B143">IFERROR(INDEX(BD[],_xlfn.AGGREGATE(15,6,IF(BD[CLASIFICACIÓN]=$B$2,ROW(BD[CLASIFICACIÓN])-ROW('PT2 (FILTRAR)'!$E$5)+1,NA()),ROWS($B$5:B143)),COLUMNS($B$5:B143)),"")</f>
        <v/>
      </c>
      <c r="C143" s="127" t="str">
        <f t="array" ref="C143">IFERROR(INDEX(BD[],_xlfn.AGGREGATE(15,6,IF(BD[CLASIFICACIÓN]=$B$2,ROW(BD[CLASIFICACIÓN])-ROW('PT2 (FILTRAR)'!$E$5)+1,NA()),ROWS($B$5:C143)),COLUMNS($B$5:C143)),"")</f>
        <v/>
      </c>
      <c r="D143" s="142" t="str">
        <f t="array" ref="D143">IFERROR(INDEX(BD[],_xlfn.AGGREGATE(15,6,IF(BD[CLASIFICACIÓN]=$B$2,ROW(BD[CLASIFICACIÓN])-ROW('PT2 (FILTRAR)'!$E$5)+1,NA()),ROWS($B$5:D143)),COLUMNS($B$5:D143)),"")</f>
        <v/>
      </c>
      <c r="E143" s="126" t="str">
        <f t="array" ref="E143">IFERROR(INDEX(BD[],_xlfn.AGGREGATE(15,6,IF(BD[CLASIFICACIÓN]=$B$2,ROW(BD[CLASIFICACIÓN])-ROW('PT2 (FILTRAR)'!$E$5)+1,NA()),ROWS($B$5:E143)),COLUMNS($B$5:E143)),"")</f>
        <v/>
      </c>
    </row>
    <row r="144" spans="2:5" x14ac:dyDescent="0.3">
      <c r="B144" s="126" t="str">
        <f t="array" ref="B144">IFERROR(INDEX(BD[],_xlfn.AGGREGATE(15,6,IF(BD[CLASIFICACIÓN]=$B$2,ROW(BD[CLASIFICACIÓN])-ROW('PT2 (FILTRAR)'!$E$5)+1,NA()),ROWS($B$5:B144)),COLUMNS($B$5:B144)),"")</f>
        <v/>
      </c>
      <c r="C144" s="127" t="str">
        <f t="array" ref="C144">IFERROR(INDEX(BD[],_xlfn.AGGREGATE(15,6,IF(BD[CLASIFICACIÓN]=$B$2,ROW(BD[CLASIFICACIÓN])-ROW('PT2 (FILTRAR)'!$E$5)+1,NA()),ROWS($B$5:C144)),COLUMNS($B$5:C144)),"")</f>
        <v/>
      </c>
      <c r="D144" s="142" t="str">
        <f t="array" ref="D144">IFERROR(INDEX(BD[],_xlfn.AGGREGATE(15,6,IF(BD[CLASIFICACIÓN]=$B$2,ROW(BD[CLASIFICACIÓN])-ROW('PT2 (FILTRAR)'!$E$5)+1,NA()),ROWS($B$5:D144)),COLUMNS($B$5:D144)),"")</f>
        <v/>
      </c>
      <c r="E144" s="126" t="str">
        <f t="array" ref="E144">IFERROR(INDEX(BD[],_xlfn.AGGREGATE(15,6,IF(BD[CLASIFICACIÓN]=$B$2,ROW(BD[CLASIFICACIÓN])-ROW('PT2 (FILTRAR)'!$E$5)+1,NA()),ROWS($B$5:E144)),COLUMNS($B$5:E144)),"")</f>
        <v/>
      </c>
    </row>
    <row r="145" spans="2:5" x14ac:dyDescent="0.3">
      <c r="B145" s="126" t="str">
        <f t="array" ref="B145">IFERROR(INDEX(BD[],_xlfn.AGGREGATE(15,6,IF(BD[CLASIFICACIÓN]=$B$2,ROW(BD[CLASIFICACIÓN])-ROW('PT2 (FILTRAR)'!$E$5)+1,NA()),ROWS($B$5:B145)),COLUMNS($B$5:B145)),"")</f>
        <v/>
      </c>
      <c r="C145" s="127" t="str">
        <f t="array" ref="C145">IFERROR(INDEX(BD[],_xlfn.AGGREGATE(15,6,IF(BD[CLASIFICACIÓN]=$B$2,ROW(BD[CLASIFICACIÓN])-ROW('PT2 (FILTRAR)'!$E$5)+1,NA()),ROWS($B$5:C145)),COLUMNS($B$5:C145)),"")</f>
        <v/>
      </c>
      <c r="D145" s="142" t="str">
        <f t="array" ref="D145">IFERROR(INDEX(BD[],_xlfn.AGGREGATE(15,6,IF(BD[CLASIFICACIÓN]=$B$2,ROW(BD[CLASIFICACIÓN])-ROW('PT2 (FILTRAR)'!$E$5)+1,NA()),ROWS($B$5:D145)),COLUMNS($B$5:D145)),"")</f>
        <v/>
      </c>
      <c r="E145" s="126" t="str">
        <f t="array" ref="E145">IFERROR(INDEX(BD[],_xlfn.AGGREGATE(15,6,IF(BD[CLASIFICACIÓN]=$B$2,ROW(BD[CLASIFICACIÓN])-ROW('PT2 (FILTRAR)'!$E$5)+1,NA()),ROWS($B$5:E145)),COLUMNS($B$5:E145)),"")</f>
        <v/>
      </c>
    </row>
    <row r="146" spans="2:5" x14ac:dyDescent="0.3">
      <c r="B146" s="126" t="str">
        <f t="array" ref="B146">IFERROR(INDEX(BD[],_xlfn.AGGREGATE(15,6,IF(BD[CLASIFICACIÓN]=$B$2,ROW(BD[CLASIFICACIÓN])-ROW('PT2 (FILTRAR)'!$E$5)+1,NA()),ROWS($B$5:B146)),COLUMNS($B$5:B146)),"")</f>
        <v/>
      </c>
      <c r="C146" s="127" t="str">
        <f t="array" ref="C146">IFERROR(INDEX(BD[],_xlfn.AGGREGATE(15,6,IF(BD[CLASIFICACIÓN]=$B$2,ROW(BD[CLASIFICACIÓN])-ROW('PT2 (FILTRAR)'!$E$5)+1,NA()),ROWS($B$5:C146)),COLUMNS($B$5:C146)),"")</f>
        <v/>
      </c>
      <c r="D146" s="142" t="str">
        <f t="array" ref="D146">IFERROR(INDEX(BD[],_xlfn.AGGREGATE(15,6,IF(BD[CLASIFICACIÓN]=$B$2,ROW(BD[CLASIFICACIÓN])-ROW('PT2 (FILTRAR)'!$E$5)+1,NA()),ROWS($B$5:D146)),COLUMNS($B$5:D146)),"")</f>
        <v/>
      </c>
      <c r="E146" s="126" t="str">
        <f t="array" ref="E146">IFERROR(INDEX(BD[],_xlfn.AGGREGATE(15,6,IF(BD[CLASIFICACIÓN]=$B$2,ROW(BD[CLASIFICACIÓN])-ROW('PT2 (FILTRAR)'!$E$5)+1,NA()),ROWS($B$5:E146)),COLUMNS($B$5:E146)),"")</f>
        <v/>
      </c>
    </row>
    <row r="147" spans="2:5" x14ac:dyDescent="0.3">
      <c r="B147" s="126" t="str">
        <f t="array" ref="B147">IFERROR(INDEX(BD[],_xlfn.AGGREGATE(15,6,IF(BD[CLASIFICACIÓN]=$B$2,ROW(BD[CLASIFICACIÓN])-ROW('PT2 (FILTRAR)'!$E$5)+1,NA()),ROWS($B$5:B147)),COLUMNS($B$5:B147)),"")</f>
        <v/>
      </c>
      <c r="C147" s="127" t="str">
        <f t="array" ref="C147">IFERROR(INDEX(BD[],_xlfn.AGGREGATE(15,6,IF(BD[CLASIFICACIÓN]=$B$2,ROW(BD[CLASIFICACIÓN])-ROW('PT2 (FILTRAR)'!$E$5)+1,NA()),ROWS($B$5:C147)),COLUMNS($B$5:C147)),"")</f>
        <v/>
      </c>
      <c r="D147" s="142" t="str">
        <f t="array" ref="D147">IFERROR(INDEX(BD[],_xlfn.AGGREGATE(15,6,IF(BD[CLASIFICACIÓN]=$B$2,ROW(BD[CLASIFICACIÓN])-ROW('PT2 (FILTRAR)'!$E$5)+1,NA()),ROWS($B$5:D147)),COLUMNS($B$5:D147)),"")</f>
        <v/>
      </c>
      <c r="E147" s="126" t="str">
        <f t="array" ref="E147">IFERROR(INDEX(BD[],_xlfn.AGGREGATE(15,6,IF(BD[CLASIFICACIÓN]=$B$2,ROW(BD[CLASIFICACIÓN])-ROW('PT2 (FILTRAR)'!$E$5)+1,NA()),ROWS($B$5:E147)),COLUMNS($B$5:E147)),"")</f>
        <v/>
      </c>
    </row>
    <row r="148" spans="2:5" x14ac:dyDescent="0.3">
      <c r="B148" s="126" t="str">
        <f t="array" ref="B148">IFERROR(INDEX(BD[],_xlfn.AGGREGATE(15,6,IF(BD[CLASIFICACIÓN]=$B$2,ROW(BD[CLASIFICACIÓN])-ROW('PT2 (FILTRAR)'!$E$5)+1,NA()),ROWS($B$5:B148)),COLUMNS($B$5:B148)),"")</f>
        <v/>
      </c>
      <c r="C148" s="127" t="str">
        <f t="array" ref="C148">IFERROR(INDEX(BD[],_xlfn.AGGREGATE(15,6,IF(BD[CLASIFICACIÓN]=$B$2,ROW(BD[CLASIFICACIÓN])-ROW('PT2 (FILTRAR)'!$E$5)+1,NA()),ROWS($B$5:C148)),COLUMNS($B$5:C148)),"")</f>
        <v/>
      </c>
      <c r="D148" s="142" t="str">
        <f t="array" ref="D148">IFERROR(INDEX(BD[],_xlfn.AGGREGATE(15,6,IF(BD[CLASIFICACIÓN]=$B$2,ROW(BD[CLASIFICACIÓN])-ROW('PT2 (FILTRAR)'!$E$5)+1,NA()),ROWS($B$5:D148)),COLUMNS($B$5:D148)),"")</f>
        <v/>
      </c>
      <c r="E148" s="126" t="str">
        <f t="array" ref="E148">IFERROR(INDEX(BD[],_xlfn.AGGREGATE(15,6,IF(BD[CLASIFICACIÓN]=$B$2,ROW(BD[CLASIFICACIÓN])-ROW('PT2 (FILTRAR)'!$E$5)+1,NA()),ROWS($B$5:E148)),COLUMNS($B$5:E148)),"")</f>
        <v/>
      </c>
    </row>
    <row r="149" spans="2:5" x14ac:dyDescent="0.3">
      <c r="B149" s="126" t="str">
        <f t="array" ref="B149">IFERROR(INDEX(BD[],_xlfn.AGGREGATE(15,6,IF(BD[CLASIFICACIÓN]=$B$2,ROW(BD[CLASIFICACIÓN])-ROW('PT2 (FILTRAR)'!$E$5)+1,NA()),ROWS($B$5:B149)),COLUMNS($B$5:B149)),"")</f>
        <v/>
      </c>
      <c r="C149" s="127" t="str">
        <f t="array" ref="C149">IFERROR(INDEX(BD[],_xlfn.AGGREGATE(15,6,IF(BD[CLASIFICACIÓN]=$B$2,ROW(BD[CLASIFICACIÓN])-ROW('PT2 (FILTRAR)'!$E$5)+1,NA()),ROWS($B$5:C149)),COLUMNS($B$5:C149)),"")</f>
        <v/>
      </c>
      <c r="D149" s="142" t="str">
        <f t="array" ref="D149">IFERROR(INDEX(BD[],_xlfn.AGGREGATE(15,6,IF(BD[CLASIFICACIÓN]=$B$2,ROW(BD[CLASIFICACIÓN])-ROW('PT2 (FILTRAR)'!$E$5)+1,NA()),ROWS($B$5:D149)),COLUMNS($B$5:D149)),"")</f>
        <v/>
      </c>
      <c r="E149" s="126" t="str">
        <f t="array" ref="E149">IFERROR(INDEX(BD[],_xlfn.AGGREGATE(15,6,IF(BD[CLASIFICACIÓN]=$B$2,ROW(BD[CLASIFICACIÓN])-ROW('PT2 (FILTRAR)'!$E$5)+1,NA()),ROWS($B$5:E149)),COLUMNS($B$5:E149)),"")</f>
        <v/>
      </c>
    </row>
    <row r="150" spans="2:5" x14ac:dyDescent="0.3">
      <c r="B150" s="126" t="str">
        <f t="array" ref="B150">IFERROR(INDEX(BD[],_xlfn.AGGREGATE(15,6,IF(BD[CLASIFICACIÓN]=$B$2,ROW(BD[CLASIFICACIÓN])-ROW('PT2 (FILTRAR)'!$E$5)+1,NA()),ROWS($B$5:B150)),COLUMNS($B$5:B150)),"")</f>
        <v/>
      </c>
      <c r="C150" s="127" t="str">
        <f t="array" ref="C150">IFERROR(INDEX(BD[],_xlfn.AGGREGATE(15,6,IF(BD[CLASIFICACIÓN]=$B$2,ROW(BD[CLASIFICACIÓN])-ROW('PT2 (FILTRAR)'!$E$5)+1,NA()),ROWS($B$5:C150)),COLUMNS($B$5:C150)),"")</f>
        <v/>
      </c>
      <c r="D150" s="142" t="str">
        <f t="array" ref="D150">IFERROR(INDEX(BD[],_xlfn.AGGREGATE(15,6,IF(BD[CLASIFICACIÓN]=$B$2,ROW(BD[CLASIFICACIÓN])-ROW('PT2 (FILTRAR)'!$E$5)+1,NA()),ROWS($B$5:D150)),COLUMNS($B$5:D150)),"")</f>
        <v/>
      </c>
      <c r="E150" s="126" t="str">
        <f t="array" ref="E150">IFERROR(INDEX(BD[],_xlfn.AGGREGATE(15,6,IF(BD[CLASIFICACIÓN]=$B$2,ROW(BD[CLASIFICACIÓN])-ROW('PT2 (FILTRAR)'!$E$5)+1,NA()),ROWS($B$5:E150)),COLUMNS($B$5:E150)),"")</f>
        <v/>
      </c>
    </row>
    <row r="151" spans="2:5" x14ac:dyDescent="0.3">
      <c r="B151" s="126" t="str">
        <f t="array" ref="B151">IFERROR(INDEX(BD[],_xlfn.AGGREGATE(15,6,IF(BD[CLASIFICACIÓN]=$B$2,ROW(BD[CLASIFICACIÓN])-ROW('PT2 (FILTRAR)'!$E$5)+1,NA()),ROWS($B$5:B151)),COLUMNS($B$5:B151)),"")</f>
        <v/>
      </c>
      <c r="C151" s="127" t="str">
        <f t="array" ref="C151">IFERROR(INDEX(BD[],_xlfn.AGGREGATE(15,6,IF(BD[CLASIFICACIÓN]=$B$2,ROW(BD[CLASIFICACIÓN])-ROW('PT2 (FILTRAR)'!$E$5)+1,NA()),ROWS($B$5:C151)),COLUMNS($B$5:C151)),"")</f>
        <v/>
      </c>
      <c r="D151" s="142" t="str">
        <f t="array" ref="D151">IFERROR(INDEX(BD[],_xlfn.AGGREGATE(15,6,IF(BD[CLASIFICACIÓN]=$B$2,ROW(BD[CLASIFICACIÓN])-ROW('PT2 (FILTRAR)'!$E$5)+1,NA()),ROWS($B$5:D151)),COLUMNS($B$5:D151)),"")</f>
        <v/>
      </c>
      <c r="E151" s="126" t="str">
        <f t="array" ref="E151">IFERROR(INDEX(BD[],_xlfn.AGGREGATE(15,6,IF(BD[CLASIFICACIÓN]=$B$2,ROW(BD[CLASIFICACIÓN])-ROW('PT2 (FILTRAR)'!$E$5)+1,NA()),ROWS($B$5:E151)),COLUMNS($B$5:E151)),"")</f>
        <v/>
      </c>
    </row>
    <row r="152" spans="2:5" x14ac:dyDescent="0.3">
      <c r="B152" s="126" t="str">
        <f t="array" ref="B152">IFERROR(INDEX(BD[],_xlfn.AGGREGATE(15,6,IF(BD[CLASIFICACIÓN]=$B$2,ROW(BD[CLASIFICACIÓN])-ROW('PT2 (FILTRAR)'!$E$5)+1,NA()),ROWS($B$5:B152)),COLUMNS($B$5:B152)),"")</f>
        <v/>
      </c>
      <c r="C152" s="127" t="str">
        <f t="array" ref="C152">IFERROR(INDEX(BD[],_xlfn.AGGREGATE(15,6,IF(BD[CLASIFICACIÓN]=$B$2,ROW(BD[CLASIFICACIÓN])-ROW('PT2 (FILTRAR)'!$E$5)+1,NA()),ROWS($B$5:C152)),COLUMNS($B$5:C152)),"")</f>
        <v/>
      </c>
      <c r="D152" s="142" t="str">
        <f t="array" ref="D152">IFERROR(INDEX(BD[],_xlfn.AGGREGATE(15,6,IF(BD[CLASIFICACIÓN]=$B$2,ROW(BD[CLASIFICACIÓN])-ROW('PT2 (FILTRAR)'!$E$5)+1,NA()),ROWS($B$5:D152)),COLUMNS($B$5:D152)),"")</f>
        <v/>
      </c>
      <c r="E152" s="126" t="str">
        <f t="array" ref="E152">IFERROR(INDEX(BD[],_xlfn.AGGREGATE(15,6,IF(BD[CLASIFICACIÓN]=$B$2,ROW(BD[CLASIFICACIÓN])-ROW('PT2 (FILTRAR)'!$E$5)+1,NA()),ROWS($B$5:E152)),COLUMNS($B$5:E152)),"")</f>
        <v/>
      </c>
    </row>
    <row r="153" spans="2:5" x14ac:dyDescent="0.3">
      <c r="B153" s="126" t="str">
        <f t="array" ref="B153">IFERROR(INDEX(BD[],_xlfn.AGGREGATE(15,6,IF(BD[CLASIFICACIÓN]=$B$2,ROW(BD[CLASIFICACIÓN])-ROW('PT2 (FILTRAR)'!$E$5)+1,NA()),ROWS($B$5:B153)),COLUMNS($B$5:B153)),"")</f>
        <v/>
      </c>
      <c r="C153" s="127" t="str">
        <f t="array" ref="C153">IFERROR(INDEX(BD[],_xlfn.AGGREGATE(15,6,IF(BD[CLASIFICACIÓN]=$B$2,ROW(BD[CLASIFICACIÓN])-ROW('PT2 (FILTRAR)'!$E$5)+1,NA()),ROWS($B$5:C153)),COLUMNS($B$5:C153)),"")</f>
        <v/>
      </c>
      <c r="D153" s="142" t="str">
        <f t="array" ref="D153">IFERROR(INDEX(BD[],_xlfn.AGGREGATE(15,6,IF(BD[CLASIFICACIÓN]=$B$2,ROW(BD[CLASIFICACIÓN])-ROW('PT2 (FILTRAR)'!$E$5)+1,NA()),ROWS($B$5:D153)),COLUMNS($B$5:D153)),"")</f>
        <v/>
      </c>
      <c r="E153" s="126" t="str">
        <f t="array" ref="E153">IFERROR(INDEX(BD[],_xlfn.AGGREGATE(15,6,IF(BD[CLASIFICACIÓN]=$B$2,ROW(BD[CLASIFICACIÓN])-ROW('PT2 (FILTRAR)'!$E$5)+1,NA()),ROWS($B$5:E153)),COLUMNS($B$5:E153)),"")</f>
        <v/>
      </c>
    </row>
    <row r="154" spans="2:5" x14ac:dyDescent="0.3">
      <c r="B154" s="126" t="str">
        <f t="array" ref="B154">IFERROR(INDEX(BD[],_xlfn.AGGREGATE(15,6,IF(BD[CLASIFICACIÓN]=$B$2,ROW(BD[CLASIFICACIÓN])-ROW('PT2 (FILTRAR)'!$E$5)+1,NA()),ROWS($B$5:B154)),COLUMNS($B$5:B154)),"")</f>
        <v/>
      </c>
      <c r="C154" s="127" t="str">
        <f t="array" ref="C154">IFERROR(INDEX(BD[],_xlfn.AGGREGATE(15,6,IF(BD[CLASIFICACIÓN]=$B$2,ROW(BD[CLASIFICACIÓN])-ROW('PT2 (FILTRAR)'!$E$5)+1,NA()),ROWS($B$5:C154)),COLUMNS($B$5:C154)),"")</f>
        <v/>
      </c>
      <c r="D154" s="142" t="str">
        <f t="array" ref="D154">IFERROR(INDEX(BD[],_xlfn.AGGREGATE(15,6,IF(BD[CLASIFICACIÓN]=$B$2,ROW(BD[CLASIFICACIÓN])-ROW('PT2 (FILTRAR)'!$E$5)+1,NA()),ROWS($B$5:D154)),COLUMNS($B$5:D154)),"")</f>
        <v/>
      </c>
      <c r="E154" s="126" t="str">
        <f t="array" ref="E154">IFERROR(INDEX(BD[],_xlfn.AGGREGATE(15,6,IF(BD[CLASIFICACIÓN]=$B$2,ROW(BD[CLASIFICACIÓN])-ROW('PT2 (FILTRAR)'!$E$5)+1,NA()),ROWS($B$5:E154)),COLUMNS($B$5:E154)),"")</f>
        <v/>
      </c>
    </row>
    <row r="155" spans="2:5" x14ac:dyDescent="0.3">
      <c r="B155" s="126" t="str">
        <f t="array" ref="B155">IFERROR(INDEX(BD[],_xlfn.AGGREGATE(15,6,IF(BD[CLASIFICACIÓN]=$B$2,ROW(BD[CLASIFICACIÓN])-ROW('PT2 (FILTRAR)'!$E$5)+1,NA()),ROWS($B$5:B155)),COLUMNS($B$5:B155)),"")</f>
        <v/>
      </c>
      <c r="C155" s="127" t="str">
        <f t="array" ref="C155">IFERROR(INDEX(BD[],_xlfn.AGGREGATE(15,6,IF(BD[CLASIFICACIÓN]=$B$2,ROW(BD[CLASIFICACIÓN])-ROW('PT2 (FILTRAR)'!$E$5)+1,NA()),ROWS($B$5:C155)),COLUMNS($B$5:C155)),"")</f>
        <v/>
      </c>
      <c r="D155" s="142" t="str">
        <f t="array" ref="D155">IFERROR(INDEX(BD[],_xlfn.AGGREGATE(15,6,IF(BD[CLASIFICACIÓN]=$B$2,ROW(BD[CLASIFICACIÓN])-ROW('PT2 (FILTRAR)'!$E$5)+1,NA()),ROWS($B$5:D155)),COLUMNS($B$5:D155)),"")</f>
        <v/>
      </c>
      <c r="E155" s="126" t="str">
        <f t="array" ref="E155">IFERROR(INDEX(BD[],_xlfn.AGGREGATE(15,6,IF(BD[CLASIFICACIÓN]=$B$2,ROW(BD[CLASIFICACIÓN])-ROW('PT2 (FILTRAR)'!$E$5)+1,NA()),ROWS($B$5:E155)),COLUMNS($B$5:E155)),"")</f>
        <v/>
      </c>
    </row>
    <row r="156" spans="2:5" x14ac:dyDescent="0.3">
      <c r="B156" s="126" t="str">
        <f t="array" ref="B156">IFERROR(INDEX(BD[],_xlfn.AGGREGATE(15,6,IF(BD[CLASIFICACIÓN]=$B$2,ROW(BD[CLASIFICACIÓN])-ROW('PT2 (FILTRAR)'!$E$5)+1,NA()),ROWS($B$5:B156)),COLUMNS($B$5:B156)),"")</f>
        <v/>
      </c>
      <c r="C156" s="127" t="str">
        <f t="array" ref="C156">IFERROR(INDEX(BD[],_xlfn.AGGREGATE(15,6,IF(BD[CLASIFICACIÓN]=$B$2,ROW(BD[CLASIFICACIÓN])-ROW('PT2 (FILTRAR)'!$E$5)+1,NA()),ROWS($B$5:C156)),COLUMNS($B$5:C156)),"")</f>
        <v/>
      </c>
      <c r="D156" s="142" t="str">
        <f t="array" ref="D156">IFERROR(INDEX(BD[],_xlfn.AGGREGATE(15,6,IF(BD[CLASIFICACIÓN]=$B$2,ROW(BD[CLASIFICACIÓN])-ROW('PT2 (FILTRAR)'!$E$5)+1,NA()),ROWS($B$5:D156)),COLUMNS($B$5:D156)),"")</f>
        <v/>
      </c>
      <c r="E156" s="126" t="str">
        <f t="array" ref="E156">IFERROR(INDEX(BD[],_xlfn.AGGREGATE(15,6,IF(BD[CLASIFICACIÓN]=$B$2,ROW(BD[CLASIFICACIÓN])-ROW('PT2 (FILTRAR)'!$E$5)+1,NA()),ROWS($B$5:E156)),COLUMNS($B$5:E156)),"")</f>
        <v/>
      </c>
    </row>
    <row r="157" spans="2:5" x14ac:dyDescent="0.3">
      <c r="B157" s="126" t="str">
        <f t="array" ref="B157">IFERROR(INDEX(BD[],_xlfn.AGGREGATE(15,6,IF(BD[CLASIFICACIÓN]=$B$2,ROW(BD[CLASIFICACIÓN])-ROW('PT2 (FILTRAR)'!$E$5)+1,NA()),ROWS($B$5:B157)),COLUMNS($B$5:B157)),"")</f>
        <v/>
      </c>
      <c r="C157" s="127" t="str">
        <f t="array" ref="C157">IFERROR(INDEX(BD[],_xlfn.AGGREGATE(15,6,IF(BD[CLASIFICACIÓN]=$B$2,ROW(BD[CLASIFICACIÓN])-ROW('PT2 (FILTRAR)'!$E$5)+1,NA()),ROWS($B$5:C157)),COLUMNS($B$5:C157)),"")</f>
        <v/>
      </c>
      <c r="D157" s="142" t="str">
        <f t="array" ref="D157">IFERROR(INDEX(BD[],_xlfn.AGGREGATE(15,6,IF(BD[CLASIFICACIÓN]=$B$2,ROW(BD[CLASIFICACIÓN])-ROW('PT2 (FILTRAR)'!$E$5)+1,NA()),ROWS($B$5:D157)),COLUMNS($B$5:D157)),"")</f>
        <v/>
      </c>
      <c r="E157" s="126" t="str">
        <f t="array" ref="E157">IFERROR(INDEX(BD[],_xlfn.AGGREGATE(15,6,IF(BD[CLASIFICACIÓN]=$B$2,ROW(BD[CLASIFICACIÓN])-ROW('PT2 (FILTRAR)'!$E$5)+1,NA()),ROWS($B$5:E157)),COLUMNS($B$5:E157)),"")</f>
        <v/>
      </c>
    </row>
    <row r="158" spans="2:5" x14ac:dyDescent="0.3">
      <c r="B158" s="126" t="str">
        <f t="array" ref="B158">IFERROR(INDEX(BD[],_xlfn.AGGREGATE(15,6,IF(BD[CLASIFICACIÓN]=$B$2,ROW(BD[CLASIFICACIÓN])-ROW('PT2 (FILTRAR)'!$E$5)+1,NA()),ROWS($B$5:B158)),COLUMNS($B$5:B158)),"")</f>
        <v/>
      </c>
      <c r="C158" s="127" t="str">
        <f t="array" ref="C158">IFERROR(INDEX(BD[],_xlfn.AGGREGATE(15,6,IF(BD[CLASIFICACIÓN]=$B$2,ROW(BD[CLASIFICACIÓN])-ROW('PT2 (FILTRAR)'!$E$5)+1,NA()),ROWS($B$5:C158)),COLUMNS($B$5:C158)),"")</f>
        <v/>
      </c>
      <c r="D158" s="142" t="str">
        <f t="array" ref="D158">IFERROR(INDEX(BD[],_xlfn.AGGREGATE(15,6,IF(BD[CLASIFICACIÓN]=$B$2,ROW(BD[CLASIFICACIÓN])-ROW('PT2 (FILTRAR)'!$E$5)+1,NA()),ROWS($B$5:D158)),COLUMNS($B$5:D158)),"")</f>
        <v/>
      </c>
      <c r="E158" s="126" t="str">
        <f t="array" ref="E158">IFERROR(INDEX(BD[],_xlfn.AGGREGATE(15,6,IF(BD[CLASIFICACIÓN]=$B$2,ROW(BD[CLASIFICACIÓN])-ROW('PT2 (FILTRAR)'!$E$5)+1,NA()),ROWS($B$5:E158)),COLUMNS($B$5:E158)),"")</f>
        <v/>
      </c>
    </row>
    <row r="159" spans="2:5" x14ac:dyDescent="0.3">
      <c r="B159" s="126" t="str">
        <f t="array" ref="B159">IFERROR(INDEX(BD[],_xlfn.AGGREGATE(15,6,IF(BD[CLASIFICACIÓN]=$B$2,ROW(BD[CLASIFICACIÓN])-ROW('PT2 (FILTRAR)'!$E$5)+1,NA()),ROWS($B$5:B159)),COLUMNS($B$5:B159)),"")</f>
        <v/>
      </c>
      <c r="C159" s="127" t="str">
        <f t="array" ref="C159">IFERROR(INDEX(BD[],_xlfn.AGGREGATE(15,6,IF(BD[CLASIFICACIÓN]=$B$2,ROW(BD[CLASIFICACIÓN])-ROW('PT2 (FILTRAR)'!$E$5)+1,NA()),ROWS($B$5:C159)),COLUMNS($B$5:C159)),"")</f>
        <v/>
      </c>
      <c r="D159" s="142" t="str">
        <f t="array" ref="D159">IFERROR(INDEX(BD[],_xlfn.AGGREGATE(15,6,IF(BD[CLASIFICACIÓN]=$B$2,ROW(BD[CLASIFICACIÓN])-ROW('PT2 (FILTRAR)'!$E$5)+1,NA()),ROWS($B$5:D159)),COLUMNS($B$5:D159)),"")</f>
        <v/>
      </c>
      <c r="E159" s="126" t="str">
        <f t="array" ref="E159">IFERROR(INDEX(BD[],_xlfn.AGGREGATE(15,6,IF(BD[CLASIFICACIÓN]=$B$2,ROW(BD[CLASIFICACIÓN])-ROW('PT2 (FILTRAR)'!$E$5)+1,NA()),ROWS($B$5:E159)),COLUMNS($B$5:E159)),"")</f>
        <v/>
      </c>
    </row>
    <row r="160" spans="2:5" x14ac:dyDescent="0.3">
      <c r="B160" s="126" t="str">
        <f t="array" ref="B160">IFERROR(INDEX(BD[],_xlfn.AGGREGATE(15,6,IF(BD[CLASIFICACIÓN]=$B$2,ROW(BD[CLASIFICACIÓN])-ROW('PT2 (FILTRAR)'!$E$5)+1,NA()),ROWS($B$5:B160)),COLUMNS($B$5:B160)),"")</f>
        <v/>
      </c>
      <c r="C160" s="127" t="str">
        <f t="array" ref="C160">IFERROR(INDEX(BD[],_xlfn.AGGREGATE(15,6,IF(BD[CLASIFICACIÓN]=$B$2,ROW(BD[CLASIFICACIÓN])-ROW('PT2 (FILTRAR)'!$E$5)+1,NA()),ROWS($B$5:C160)),COLUMNS($B$5:C160)),"")</f>
        <v/>
      </c>
      <c r="D160" s="142" t="str">
        <f t="array" ref="D160">IFERROR(INDEX(BD[],_xlfn.AGGREGATE(15,6,IF(BD[CLASIFICACIÓN]=$B$2,ROW(BD[CLASIFICACIÓN])-ROW('PT2 (FILTRAR)'!$E$5)+1,NA()),ROWS($B$5:D160)),COLUMNS($B$5:D160)),"")</f>
        <v/>
      </c>
      <c r="E160" s="126" t="str">
        <f t="array" ref="E160">IFERROR(INDEX(BD[],_xlfn.AGGREGATE(15,6,IF(BD[CLASIFICACIÓN]=$B$2,ROW(BD[CLASIFICACIÓN])-ROW('PT2 (FILTRAR)'!$E$5)+1,NA()),ROWS($B$5:E160)),COLUMNS($B$5:E160)),"")</f>
        <v/>
      </c>
    </row>
    <row r="161" spans="2:5" x14ac:dyDescent="0.3">
      <c r="B161" s="126" t="str">
        <f t="array" ref="B161">IFERROR(INDEX(BD[],_xlfn.AGGREGATE(15,6,IF(BD[CLASIFICACIÓN]=$B$2,ROW(BD[CLASIFICACIÓN])-ROW('PT2 (FILTRAR)'!$E$5)+1,NA()),ROWS($B$5:B161)),COLUMNS($B$5:B161)),"")</f>
        <v/>
      </c>
      <c r="C161" s="127" t="str">
        <f t="array" ref="C161">IFERROR(INDEX(BD[],_xlfn.AGGREGATE(15,6,IF(BD[CLASIFICACIÓN]=$B$2,ROW(BD[CLASIFICACIÓN])-ROW('PT2 (FILTRAR)'!$E$5)+1,NA()),ROWS($B$5:C161)),COLUMNS($B$5:C161)),"")</f>
        <v/>
      </c>
      <c r="D161" s="142" t="str">
        <f t="array" ref="D161">IFERROR(INDEX(BD[],_xlfn.AGGREGATE(15,6,IF(BD[CLASIFICACIÓN]=$B$2,ROW(BD[CLASIFICACIÓN])-ROW('PT2 (FILTRAR)'!$E$5)+1,NA()),ROWS($B$5:D161)),COLUMNS($B$5:D161)),"")</f>
        <v/>
      </c>
      <c r="E161" s="126" t="str">
        <f t="array" ref="E161">IFERROR(INDEX(BD[],_xlfn.AGGREGATE(15,6,IF(BD[CLASIFICACIÓN]=$B$2,ROW(BD[CLASIFICACIÓN])-ROW('PT2 (FILTRAR)'!$E$5)+1,NA()),ROWS($B$5:E161)),COLUMNS($B$5:E161)),"")</f>
        <v/>
      </c>
    </row>
    <row r="162" spans="2:5" x14ac:dyDescent="0.3">
      <c r="B162" s="126" t="str">
        <f t="array" ref="B162">IFERROR(INDEX(BD[],_xlfn.AGGREGATE(15,6,IF(BD[CLASIFICACIÓN]=$B$2,ROW(BD[CLASIFICACIÓN])-ROW('PT2 (FILTRAR)'!$E$5)+1,NA()),ROWS($B$5:B162)),COLUMNS($B$5:B162)),"")</f>
        <v/>
      </c>
      <c r="C162" s="127" t="str">
        <f t="array" ref="C162">IFERROR(INDEX(BD[],_xlfn.AGGREGATE(15,6,IF(BD[CLASIFICACIÓN]=$B$2,ROW(BD[CLASIFICACIÓN])-ROW('PT2 (FILTRAR)'!$E$5)+1,NA()),ROWS($B$5:C162)),COLUMNS($B$5:C162)),"")</f>
        <v/>
      </c>
      <c r="D162" s="142" t="str">
        <f t="array" ref="D162">IFERROR(INDEX(BD[],_xlfn.AGGREGATE(15,6,IF(BD[CLASIFICACIÓN]=$B$2,ROW(BD[CLASIFICACIÓN])-ROW('PT2 (FILTRAR)'!$E$5)+1,NA()),ROWS($B$5:D162)),COLUMNS($B$5:D162)),"")</f>
        <v/>
      </c>
      <c r="E162" s="126" t="str">
        <f t="array" ref="E162">IFERROR(INDEX(BD[],_xlfn.AGGREGATE(15,6,IF(BD[CLASIFICACIÓN]=$B$2,ROW(BD[CLASIFICACIÓN])-ROW('PT2 (FILTRAR)'!$E$5)+1,NA()),ROWS($B$5:E162)),COLUMNS($B$5:E162)),"")</f>
        <v/>
      </c>
    </row>
    <row r="163" spans="2:5" x14ac:dyDescent="0.3">
      <c r="B163" s="126" t="str">
        <f t="array" ref="B163">IFERROR(INDEX(BD[],_xlfn.AGGREGATE(15,6,IF(BD[CLASIFICACIÓN]=$B$2,ROW(BD[CLASIFICACIÓN])-ROW('PT2 (FILTRAR)'!$E$5)+1,NA()),ROWS($B$5:B163)),COLUMNS($B$5:B163)),"")</f>
        <v/>
      </c>
      <c r="C163" s="127" t="str">
        <f t="array" ref="C163">IFERROR(INDEX(BD[],_xlfn.AGGREGATE(15,6,IF(BD[CLASIFICACIÓN]=$B$2,ROW(BD[CLASIFICACIÓN])-ROW('PT2 (FILTRAR)'!$E$5)+1,NA()),ROWS($B$5:C163)),COLUMNS($B$5:C163)),"")</f>
        <v/>
      </c>
      <c r="D163" s="142" t="str">
        <f t="array" ref="D163">IFERROR(INDEX(BD[],_xlfn.AGGREGATE(15,6,IF(BD[CLASIFICACIÓN]=$B$2,ROW(BD[CLASIFICACIÓN])-ROW('PT2 (FILTRAR)'!$E$5)+1,NA()),ROWS($B$5:D163)),COLUMNS($B$5:D163)),"")</f>
        <v/>
      </c>
      <c r="E163" s="126" t="str">
        <f t="array" ref="E163">IFERROR(INDEX(BD[],_xlfn.AGGREGATE(15,6,IF(BD[CLASIFICACIÓN]=$B$2,ROW(BD[CLASIFICACIÓN])-ROW('PT2 (FILTRAR)'!$E$5)+1,NA()),ROWS($B$5:E163)),COLUMNS($B$5:E163)),"")</f>
        <v/>
      </c>
    </row>
    <row r="164" spans="2:5" x14ac:dyDescent="0.3">
      <c r="B164" s="126" t="str">
        <f t="array" ref="B164">IFERROR(INDEX(BD[],_xlfn.AGGREGATE(15,6,IF(BD[CLASIFICACIÓN]=$B$2,ROW(BD[CLASIFICACIÓN])-ROW('PT2 (FILTRAR)'!$E$5)+1,NA()),ROWS($B$5:B164)),COLUMNS($B$5:B164)),"")</f>
        <v/>
      </c>
      <c r="C164" s="127" t="str">
        <f t="array" ref="C164">IFERROR(INDEX(BD[],_xlfn.AGGREGATE(15,6,IF(BD[CLASIFICACIÓN]=$B$2,ROW(BD[CLASIFICACIÓN])-ROW('PT2 (FILTRAR)'!$E$5)+1,NA()),ROWS($B$5:C164)),COLUMNS($B$5:C164)),"")</f>
        <v/>
      </c>
      <c r="D164" s="142" t="str">
        <f t="array" ref="D164">IFERROR(INDEX(BD[],_xlfn.AGGREGATE(15,6,IF(BD[CLASIFICACIÓN]=$B$2,ROW(BD[CLASIFICACIÓN])-ROW('PT2 (FILTRAR)'!$E$5)+1,NA()),ROWS($B$5:D164)),COLUMNS($B$5:D164)),"")</f>
        <v/>
      </c>
      <c r="E164" s="126" t="str">
        <f t="array" ref="E164">IFERROR(INDEX(BD[],_xlfn.AGGREGATE(15,6,IF(BD[CLASIFICACIÓN]=$B$2,ROW(BD[CLASIFICACIÓN])-ROW('PT2 (FILTRAR)'!$E$5)+1,NA()),ROWS($B$5:E164)),COLUMNS($B$5:E164)),"")</f>
        <v/>
      </c>
    </row>
    <row r="165" spans="2:5" x14ac:dyDescent="0.3">
      <c r="B165" s="126" t="str">
        <f t="array" ref="B165">IFERROR(INDEX(BD[],_xlfn.AGGREGATE(15,6,IF(BD[CLASIFICACIÓN]=$B$2,ROW(BD[CLASIFICACIÓN])-ROW('PT2 (FILTRAR)'!$E$5)+1,NA()),ROWS($B$5:B165)),COLUMNS($B$5:B165)),"")</f>
        <v/>
      </c>
      <c r="C165" s="127" t="str">
        <f t="array" ref="C165">IFERROR(INDEX(BD[],_xlfn.AGGREGATE(15,6,IF(BD[CLASIFICACIÓN]=$B$2,ROW(BD[CLASIFICACIÓN])-ROW('PT2 (FILTRAR)'!$E$5)+1,NA()),ROWS($B$5:C165)),COLUMNS($B$5:C165)),"")</f>
        <v/>
      </c>
      <c r="D165" s="142" t="str">
        <f t="array" ref="D165">IFERROR(INDEX(BD[],_xlfn.AGGREGATE(15,6,IF(BD[CLASIFICACIÓN]=$B$2,ROW(BD[CLASIFICACIÓN])-ROW('PT2 (FILTRAR)'!$E$5)+1,NA()),ROWS($B$5:D165)),COLUMNS($B$5:D165)),"")</f>
        <v/>
      </c>
      <c r="E165" s="126" t="str">
        <f t="array" ref="E165">IFERROR(INDEX(BD[],_xlfn.AGGREGATE(15,6,IF(BD[CLASIFICACIÓN]=$B$2,ROW(BD[CLASIFICACIÓN])-ROW('PT2 (FILTRAR)'!$E$5)+1,NA()),ROWS($B$5:E165)),COLUMNS($B$5:E165)),"")</f>
        <v/>
      </c>
    </row>
    <row r="166" spans="2:5" x14ac:dyDescent="0.3">
      <c r="B166" s="126" t="str">
        <f t="array" ref="B166">IFERROR(INDEX(BD[],_xlfn.AGGREGATE(15,6,IF(BD[CLASIFICACIÓN]=$B$2,ROW(BD[CLASIFICACIÓN])-ROW('PT2 (FILTRAR)'!$E$5)+1,NA()),ROWS($B$5:B166)),COLUMNS($B$5:B166)),"")</f>
        <v/>
      </c>
      <c r="C166" s="127" t="str">
        <f t="array" ref="C166">IFERROR(INDEX(BD[],_xlfn.AGGREGATE(15,6,IF(BD[CLASIFICACIÓN]=$B$2,ROW(BD[CLASIFICACIÓN])-ROW('PT2 (FILTRAR)'!$E$5)+1,NA()),ROWS($B$5:C166)),COLUMNS($B$5:C166)),"")</f>
        <v/>
      </c>
      <c r="D166" s="142" t="str">
        <f t="array" ref="D166">IFERROR(INDEX(BD[],_xlfn.AGGREGATE(15,6,IF(BD[CLASIFICACIÓN]=$B$2,ROW(BD[CLASIFICACIÓN])-ROW('PT2 (FILTRAR)'!$E$5)+1,NA()),ROWS($B$5:D166)),COLUMNS($B$5:D166)),"")</f>
        <v/>
      </c>
      <c r="E166" s="126" t="str">
        <f t="array" ref="E166">IFERROR(INDEX(BD[],_xlfn.AGGREGATE(15,6,IF(BD[CLASIFICACIÓN]=$B$2,ROW(BD[CLASIFICACIÓN])-ROW('PT2 (FILTRAR)'!$E$5)+1,NA()),ROWS($B$5:E166)),COLUMNS($B$5:E166)),"")</f>
        <v/>
      </c>
    </row>
    <row r="167" spans="2:5" x14ac:dyDescent="0.3">
      <c r="B167" s="126" t="str">
        <f t="array" ref="B167">IFERROR(INDEX(BD[],_xlfn.AGGREGATE(15,6,IF(BD[CLASIFICACIÓN]=$B$2,ROW(BD[CLASIFICACIÓN])-ROW('PT2 (FILTRAR)'!$E$5)+1,NA()),ROWS($B$5:B167)),COLUMNS($B$5:B167)),"")</f>
        <v/>
      </c>
      <c r="C167" s="127" t="str">
        <f t="array" ref="C167">IFERROR(INDEX(BD[],_xlfn.AGGREGATE(15,6,IF(BD[CLASIFICACIÓN]=$B$2,ROW(BD[CLASIFICACIÓN])-ROW('PT2 (FILTRAR)'!$E$5)+1,NA()),ROWS($B$5:C167)),COLUMNS($B$5:C167)),"")</f>
        <v/>
      </c>
      <c r="D167" s="142" t="str">
        <f t="array" ref="D167">IFERROR(INDEX(BD[],_xlfn.AGGREGATE(15,6,IF(BD[CLASIFICACIÓN]=$B$2,ROW(BD[CLASIFICACIÓN])-ROW('PT2 (FILTRAR)'!$E$5)+1,NA()),ROWS($B$5:D167)),COLUMNS($B$5:D167)),"")</f>
        <v/>
      </c>
      <c r="E167" s="126" t="str">
        <f t="array" ref="E167">IFERROR(INDEX(BD[],_xlfn.AGGREGATE(15,6,IF(BD[CLASIFICACIÓN]=$B$2,ROW(BD[CLASIFICACIÓN])-ROW('PT2 (FILTRAR)'!$E$5)+1,NA()),ROWS($B$5:E167)),COLUMNS($B$5:E167)),"")</f>
        <v/>
      </c>
    </row>
    <row r="168" spans="2:5" x14ac:dyDescent="0.3">
      <c r="B168" s="126" t="str">
        <f t="array" ref="B168">IFERROR(INDEX(BD[],_xlfn.AGGREGATE(15,6,IF(BD[CLASIFICACIÓN]=$B$2,ROW(BD[CLASIFICACIÓN])-ROW('PT2 (FILTRAR)'!$E$5)+1,NA()),ROWS($B$5:B168)),COLUMNS($B$5:B168)),"")</f>
        <v/>
      </c>
      <c r="C168" s="127" t="str">
        <f t="array" ref="C168">IFERROR(INDEX(BD[],_xlfn.AGGREGATE(15,6,IF(BD[CLASIFICACIÓN]=$B$2,ROW(BD[CLASIFICACIÓN])-ROW('PT2 (FILTRAR)'!$E$5)+1,NA()),ROWS($B$5:C168)),COLUMNS($B$5:C168)),"")</f>
        <v/>
      </c>
      <c r="D168" s="142" t="str">
        <f t="array" ref="D168">IFERROR(INDEX(BD[],_xlfn.AGGREGATE(15,6,IF(BD[CLASIFICACIÓN]=$B$2,ROW(BD[CLASIFICACIÓN])-ROW('PT2 (FILTRAR)'!$E$5)+1,NA()),ROWS($B$5:D168)),COLUMNS($B$5:D168)),"")</f>
        <v/>
      </c>
      <c r="E168" s="126" t="str">
        <f t="array" ref="E168">IFERROR(INDEX(BD[],_xlfn.AGGREGATE(15,6,IF(BD[CLASIFICACIÓN]=$B$2,ROW(BD[CLASIFICACIÓN])-ROW('PT2 (FILTRAR)'!$E$5)+1,NA()),ROWS($B$5:E168)),COLUMNS($B$5:E168)),"")</f>
        <v/>
      </c>
    </row>
    <row r="169" spans="2:5" x14ac:dyDescent="0.3">
      <c r="B169" s="126" t="str">
        <f t="array" ref="B169">IFERROR(INDEX(BD[],_xlfn.AGGREGATE(15,6,IF(BD[CLASIFICACIÓN]=$B$2,ROW(BD[CLASIFICACIÓN])-ROW('PT2 (FILTRAR)'!$E$5)+1,NA()),ROWS($B$5:B169)),COLUMNS($B$5:B169)),"")</f>
        <v/>
      </c>
      <c r="C169" s="127" t="str">
        <f t="array" ref="C169">IFERROR(INDEX(BD[],_xlfn.AGGREGATE(15,6,IF(BD[CLASIFICACIÓN]=$B$2,ROW(BD[CLASIFICACIÓN])-ROW('PT2 (FILTRAR)'!$E$5)+1,NA()),ROWS($B$5:C169)),COLUMNS($B$5:C169)),"")</f>
        <v/>
      </c>
      <c r="D169" s="142" t="str">
        <f t="array" ref="D169">IFERROR(INDEX(BD[],_xlfn.AGGREGATE(15,6,IF(BD[CLASIFICACIÓN]=$B$2,ROW(BD[CLASIFICACIÓN])-ROW('PT2 (FILTRAR)'!$E$5)+1,NA()),ROWS($B$5:D169)),COLUMNS($B$5:D169)),"")</f>
        <v/>
      </c>
      <c r="E169" s="126" t="str">
        <f t="array" ref="E169">IFERROR(INDEX(BD[],_xlfn.AGGREGATE(15,6,IF(BD[CLASIFICACIÓN]=$B$2,ROW(BD[CLASIFICACIÓN])-ROW('PT2 (FILTRAR)'!$E$5)+1,NA()),ROWS($B$5:E169)),COLUMNS($B$5:E169)),"")</f>
        <v/>
      </c>
    </row>
    <row r="170" spans="2:5" x14ac:dyDescent="0.3">
      <c r="B170" s="126" t="str">
        <f t="array" ref="B170">IFERROR(INDEX(BD[],_xlfn.AGGREGATE(15,6,IF(BD[CLASIFICACIÓN]=$B$2,ROW(BD[CLASIFICACIÓN])-ROW('PT2 (FILTRAR)'!$E$5)+1,NA()),ROWS($B$5:B170)),COLUMNS($B$5:B170)),"")</f>
        <v/>
      </c>
      <c r="C170" s="127" t="str">
        <f t="array" ref="C170">IFERROR(INDEX(BD[],_xlfn.AGGREGATE(15,6,IF(BD[CLASIFICACIÓN]=$B$2,ROW(BD[CLASIFICACIÓN])-ROW('PT2 (FILTRAR)'!$E$5)+1,NA()),ROWS($B$5:C170)),COLUMNS($B$5:C170)),"")</f>
        <v/>
      </c>
      <c r="D170" s="142" t="str">
        <f t="array" ref="D170">IFERROR(INDEX(BD[],_xlfn.AGGREGATE(15,6,IF(BD[CLASIFICACIÓN]=$B$2,ROW(BD[CLASIFICACIÓN])-ROW('PT2 (FILTRAR)'!$E$5)+1,NA()),ROWS($B$5:D170)),COLUMNS($B$5:D170)),"")</f>
        <v/>
      </c>
      <c r="E170" s="126" t="str">
        <f t="array" ref="E170">IFERROR(INDEX(BD[],_xlfn.AGGREGATE(15,6,IF(BD[CLASIFICACIÓN]=$B$2,ROW(BD[CLASIFICACIÓN])-ROW('PT2 (FILTRAR)'!$E$5)+1,NA()),ROWS($B$5:E170)),COLUMNS($B$5:E170)),"")</f>
        <v/>
      </c>
    </row>
    <row r="171" spans="2:5" x14ac:dyDescent="0.3">
      <c r="B171" s="126" t="str">
        <f t="array" ref="B171">IFERROR(INDEX(BD[],_xlfn.AGGREGATE(15,6,IF(BD[CLASIFICACIÓN]=$B$2,ROW(BD[CLASIFICACIÓN])-ROW('PT2 (FILTRAR)'!$E$5)+1,NA()),ROWS($B$5:B171)),COLUMNS($B$5:B171)),"")</f>
        <v/>
      </c>
      <c r="C171" s="127" t="str">
        <f t="array" ref="C171">IFERROR(INDEX(BD[],_xlfn.AGGREGATE(15,6,IF(BD[CLASIFICACIÓN]=$B$2,ROW(BD[CLASIFICACIÓN])-ROW('PT2 (FILTRAR)'!$E$5)+1,NA()),ROWS($B$5:C171)),COLUMNS($B$5:C171)),"")</f>
        <v/>
      </c>
      <c r="D171" s="142" t="str">
        <f t="array" ref="D171">IFERROR(INDEX(BD[],_xlfn.AGGREGATE(15,6,IF(BD[CLASIFICACIÓN]=$B$2,ROW(BD[CLASIFICACIÓN])-ROW('PT2 (FILTRAR)'!$E$5)+1,NA()),ROWS($B$5:D171)),COLUMNS($B$5:D171)),"")</f>
        <v/>
      </c>
      <c r="E171" s="126" t="str">
        <f t="array" ref="E171">IFERROR(INDEX(BD[],_xlfn.AGGREGATE(15,6,IF(BD[CLASIFICACIÓN]=$B$2,ROW(BD[CLASIFICACIÓN])-ROW('PT2 (FILTRAR)'!$E$5)+1,NA()),ROWS($B$5:E171)),COLUMNS($B$5:E171)),"")</f>
        <v/>
      </c>
    </row>
    <row r="172" spans="2:5" x14ac:dyDescent="0.3">
      <c r="B172" s="126" t="str">
        <f t="array" ref="B172">IFERROR(INDEX(BD[],_xlfn.AGGREGATE(15,6,IF(BD[CLASIFICACIÓN]=$B$2,ROW(BD[CLASIFICACIÓN])-ROW('PT2 (FILTRAR)'!$E$5)+1,NA()),ROWS($B$5:B172)),COLUMNS($B$5:B172)),"")</f>
        <v/>
      </c>
      <c r="C172" s="127" t="str">
        <f t="array" ref="C172">IFERROR(INDEX(BD[],_xlfn.AGGREGATE(15,6,IF(BD[CLASIFICACIÓN]=$B$2,ROW(BD[CLASIFICACIÓN])-ROW('PT2 (FILTRAR)'!$E$5)+1,NA()),ROWS($B$5:C172)),COLUMNS($B$5:C172)),"")</f>
        <v/>
      </c>
      <c r="D172" s="142" t="str">
        <f t="array" ref="D172">IFERROR(INDEX(BD[],_xlfn.AGGREGATE(15,6,IF(BD[CLASIFICACIÓN]=$B$2,ROW(BD[CLASIFICACIÓN])-ROW('PT2 (FILTRAR)'!$E$5)+1,NA()),ROWS($B$5:D172)),COLUMNS($B$5:D172)),"")</f>
        <v/>
      </c>
      <c r="E172" s="126" t="str">
        <f t="array" ref="E172">IFERROR(INDEX(BD[],_xlfn.AGGREGATE(15,6,IF(BD[CLASIFICACIÓN]=$B$2,ROW(BD[CLASIFICACIÓN])-ROW('PT2 (FILTRAR)'!$E$5)+1,NA()),ROWS($B$5:E172)),COLUMNS($B$5:E172)),"")</f>
        <v/>
      </c>
    </row>
    <row r="173" spans="2:5" x14ac:dyDescent="0.3">
      <c r="B173" s="126" t="str">
        <f t="array" ref="B173">IFERROR(INDEX(BD[],_xlfn.AGGREGATE(15,6,IF(BD[CLASIFICACIÓN]=$B$2,ROW(BD[CLASIFICACIÓN])-ROW('PT2 (FILTRAR)'!$E$5)+1,NA()),ROWS($B$5:B173)),COLUMNS($B$5:B173)),"")</f>
        <v/>
      </c>
      <c r="C173" s="127" t="str">
        <f t="array" ref="C173">IFERROR(INDEX(BD[],_xlfn.AGGREGATE(15,6,IF(BD[CLASIFICACIÓN]=$B$2,ROW(BD[CLASIFICACIÓN])-ROW('PT2 (FILTRAR)'!$E$5)+1,NA()),ROWS($B$5:C173)),COLUMNS($B$5:C173)),"")</f>
        <v/>
      </c>
      <c r="D173" s="142" t="str">
        <f t="array" ref="D173">IFERROR(INDEX(BD[],_xlfn.AGGREGATE(15,6,IF(BD[CLASIFICACIÓN]=$B$2,ROW(BD[CLASIFICACIÓN])-ROW('PT2 (FILTRAR)'!$E$5)+1,NA()),ROWS($B$5:D173)),COLUMNS($B$5:D173)),"")</f>
        <v/>
      </c>
      <c r="E173" s="126" t="str">
        <f t="array" ref="E173">IFERROR(INDEX(BD[],_xlfn.AGGREGATE(15,6,IF(BD[CLASIFICACIÓN]=$B$2,ROW(BD[CLASIFICACIÓN])-ROW('PT2 (FILTRAR)'!$E$5)+1,NA()),ROWS($B$5:E173)),COLUMNS($B$5:E173)),"")</f>
        <v/>
      </c>
    </row>
    <row r="174" spans="2:5" x14ac:dyDescent="0.3">
      <c r="B174" s="126" t="str">
        <f t="array" ref="B174">IFERROR(INDEX(BD[],_xlfn.AGGREGATE(15,6,IF(BD[CLASIFICACIÓN]=$B$2,ROW(BD[CLASIFICACIÓN])-ROW('PT2 (FILTRAR)'!$E$5)+1,NA()),ROWS($B$5:B174)),COLUMNS($B$5:B174)),"")</f>
        <v/>
      </c>
      <c r="C174" s="127" t="str">
        <f t="array" ref="C174">IFERROR(INDEX(BD[],_xlfn.AGGREGATE(15,6,IF(BD[CLASIFICACIÓN]=$B$2,ROW(BD[CLASIFICACIÓN])-ROW('PT2 (FILTRAR)'!$E$5)+1,NA()),ROWS($B$5:C174)),COLUMNS($B$5:C174)),"")</f>
        <v/>
      </c>
      <c r="D174" s="142" t="str">
        <f t="array" ref="D174">IFERROR(INDEX(BD[],_xlfn.AGGREGATE(15,6,IF(BD[CLASIFICACIÓN]=$B$2,ROW(BD[CLASIFICACIÓN])-ROW('PT2 (FILTRAR)'!$E$5)+1,NA()),ROWS($B$5:D174)),COLUMNS($B$5:D174)),"")</f>
        <v/>
      </c>
      <c r="E174" s="126" t="str">
        <f t="array" ref="E174">IFERROR(INDEX(BD[],_xlfn.AGGREGATE(15,6,IF(BD[CLASIFICACIÓN]=$B$2,ROW(BD[CLASIFICACIÓN])-ROW('PT2 (FILTRAR)'!$E$5)+1,NA()),ROWS($B$5:E174)),COLUMNS($B$5:E174)),"")</f>
        <v/>
      </c>
    </row>
    <row r="175" spans="2:5" x14ac:dyDescent="0.3">
      <c r="B175" s="126" t="str">
        <f t="array" ref="B175">IFERROR(INDEX(BD[],_xlfn.AGGREGATE(15,6,IF(BD[CLASIFICACIÓN]=$B$2,ROW(BD[CLASIFICACIÓN])-ROW('PT2 (FILTRAR)'!$E$5)+1,NA()),ROWS($B$5:B175)),COLUMNS($B$5:B175)),"")</f>
        <v/>
      </c>
      <c r="C175" s="127" t="str">
        <f t="array" ref="C175">IFERROR(INDEX(BD[],_xlfn.AGGREGATE(15,6,IF(BD[CLASIFICACIÓN]=$B$2,ROW(BD[CLASIFICACIÓN])-ROW('PT2 (FILTRAR)'!$E$5)+1,NA()),ROWS($B$5:C175)),COLUMNS($B$5:C175)),"")</f>
        <v/>
      </c>
      <c r="D175" s="142" t="str">
        <f t="array" ref="D175">IFERROR(INDEX(BD[],_xlfn.AGGREGATE(15,6,IF(BD[CLASIFICACIÓN]=$B$2,ROW(BD[CLASIFICACIÓN])-ROW('PT2 (FILTRAR)'!$E$5)+1,NA()),ROWS($B$5:D175)),COLUMNS($B$5:D175)),"")</f>
        <v/>
      </c>
      <c r="E175" s="126" t="str">
        <f t="array" ref="E175">IFERROR(INDEX(BD[],_xlfn.AGGREGATE(15,6,IF(BD[CLASIFICACIÓN]=$B$2,ROW(BD[CLASIFICACIÓN])-ROW('PT2 (FILTRAR)'!$E$5)+1,NA()),ROWS($B$5:E175)),COLUMNS($B$5:E175)),"")</f>
        <v/>
      </c>
    </row>
    <row r="176" spans="2:5" x14ac:dyDescent="0.3">
      <c r="B176" s="126" t="str">
        <f t="array" ref="B176">IFERROR(INDEX(BD[],_xlfn.AGGREGATE(15,6,IF(BD[CLASIFICACIÓN]=$B$2,ROW(BD[CLASIFICACIÓN])-ROW('PT2 (FILTRAR)'!$E$5)+1,NA()),ROWS($B$5:B176)),COLUMNS($B$5:B176)),"")</f>
        <v/>
      </c>
      <c r="C176" s="127" t="str">
        <f t="array" ref="C176">IFERROR(INDEX(BD[],_xlfn.AGGREGATE(15,6,IF(BD[CLASIFICACIÓN]=$B$2,ROW(BD[CLASIFICACIÓN])-ROW('PT2 (FILTRAR)'!$E$5)+1,NA()),ROWS($B$5:C176)),COLUMNS($B$5:C176)),"")</f>
        <v/>
      </c>
      <c r="D176" s="142" t="str">
        <f t="array" ref="D176">IFERROR(INDEX(BD[],_xlfn.AGGREGATE(15,6,IF(BD[CLASIFICACIÓN]=$B$2,ROW(BD[CLASIFICACIÓN])-ROW('PT2 (FILTRAR)'!$E$5)+1,NA()),ROWS($B$5:D176)),COLUMNS($B$5:D176)),"")</f>
        <v/>
      </c>
      <c r="E176" s="126" t="str">
        <f t="array" ref="E176">IFERROR(INDEX(BD[],_xlfn.AGGREGATE(15,6,IF(BD[CLASIFICACIÓN]=$B$2,ROW(BD[CLASIFICACIÓN])-ROW('PT2 (FILTRAR)'!$E$5)+1,NA()),ROWS($B$5:E176)),COLUMNS($B$5:E176)),"")</f>
        <v/>
      </c>
    </row>
    <row r="177" spans="2:5" x14ac:dyDescent="0.3">
      <c r="B177" s="126" t="str">
        <f t="array" ref="B177">IFERROR(INDEX(BD[],_xlfn.AGGREGATE(15,6,IF(BD[CLASIFICACIÓN]=$B$2,ROW(BD[CLASIFICACIÓN])-ROW('PT2 (FILTRAR)'!$E$5)+1,NA()),ROWS($B$5:B177)),COLUMNS($B$5:B177)),"")</f>
        <v/>
      </c>
      <c r="C177" s="127" t="str">
        <f t="array" ref="C177">IFERROR(INDEX(BD[],_xlfn.AGGREGATE(15,6,IF(BD[CLASIFICACIÓN]=$B$2,ROW(BD[CLASIFICACIÓN])-ROW('PT2 (FILTRAR)'!$E$5)+1,NA()),ROWS($B$5:C177)),COLUMNS($B$5:C177)),"")</f>
        <v/>
      </c>
      <c r="D177" s="142" t="str">
        <f t="array" ref="D177">IFERROR(INDEX(BD[],_xlfn.AGGREGATE(15,6,IF(BD[CLASIFICACIÓN]=$B$2,ROW(BD[CLASIFICACIÓN])-ROW('PT2 (FILTRAR)'!$E$5)+1,NA()),ROWS($B$5:D177)),COLUMNS($B$5:D177)),"")</f>
        <v/>
      </c>
      <c r="E177" s="126" t="str">
        <f t="array" ref="E177">IFERROR(INDEX(BD[],_xlfn.AGGREGATE(15,6,IF(BD[CLASIFICACIÓN]=$B$2,ROW(BD[CLASIFICACIÓN])-ROW('PT2 (FILTRAR)'!$E$5)+1,NA()),ROWS($B$5:E177)),COLUMNS($B$5:E177)),"")</f>
        <v/>
      </c>
    </row>
    <row r="178" spans="2:5" x14ac:dyDescent="0.3">
      <c r="B178" s="126" t="str">
        <f t="array" ref="B178">IFERROR(INDEX(BD[],_xlfn.AGGREGATE(15,6,IF(BD[CLASIFICACIÓN]=$B$2,ROW(BD[CLASIFICACIÓN])-ROW('PT2 (FILTRAR)'!$E$5)+1,NA()),ROWS($B$5:B178)),COLUMNS($B$5:B178)),"")</f>
        <v/>
      </c>
      <c r="C178" s="127" t="str">
        <f t="array" ref="C178">IFERROR(INDEX(BD[],_xlfn.AGGREGATE(15,6,IF(BD[CLASIFICACIÓN]=$B$2,ROW(BD[CLASIFICACIÓN])-ROW('PT2 (FILTRAR)'!$E$5)+1,NA()),ROWS($B$5:C178)),COLUMNS($B$5:C178)),"")</f>
        <v/>
      </c>
      <c r="D178" s="142" t="str">
        <f t="array" ref="D178">IFERROR(INDEX(BD[],_xlfn.AGGREGATE(15,6,IF(BD[CLASIFICACIÓN]=$B$2,ROW(BD[CLASIFICACIÓN])-ROW('PT2 (FILTRAR)'!$E$5)+1,NA()),ROWS($B$5:D178)),COLUMNS($B$5:D178)),"")</f>
        <v/>
      </c>
      <c r="E178" s="126" t="str">
        <f t="array" ref="E178">IFERROR(INDEX(BD[],_xlfn.AGGREGATE(15,6,IF(BD[CLASIFICACIÓN]=$B$2,ROW(BD[CLASIFICACIÓN])-ROW('PT2 (FILTRAR)'!$E$5)+1,NA()),ROWS($B$5:E178)),COLUMNS($B$5:E178)),"")</f>
        <v/>
      </c>
    </row>
    <row r="179" spans="2:5" x14ac:dyDescent="0.3">
      <c r="B179" s="126" t="str">
        <f t="array" ref="B179">IFERROR(INDEX(BD[],_xlfn.AGGREGATE(15,6,IF(BD[CLASIFICACIÓN]=$B$2,ROW(BD[CLASIFICACIÓN])-ROW('PT2 (FILTRAR)'!$E$5)+1,NA()),ROWS($B$5:B179)),COLUMNS($B$5:B179)),"")</f>
        <v/>
      </c>
      <c r="C179" s="127" t="str">
        <f t="array" ref="C179">IFERROR(INDEX(BD[],_xlfn.AGGREGATE(15,6,IF(BD[CLASIFICACIÓN]=$B$2,ROW(BD[CLASIFICACIÓN])-ROW('PT2 (FILTRAR)'!$E$5)+1,NA()),ROWS($B$5:C179)),COLUMNS($B$5:C179)),"")</f>
        <v/>
      </c>
      <c r="D179" s="142" t="str">
        <f t="array" ref="D179">IFERROR(INDEX(BD[],_xlfn.AGGREGATE(15,6,IF(BD[CLASIFICACIÓN]=$B$2,ROW(BD[CLASIFICACIÓN])-ROW('PT2 (FILTRAR)'!$E$5)+1,NA()),ROWS($B$5:D179)),COLUMNS($B$5:D179)),"")</f>
        <v/>
      </c>
      <c r="E179" s="126" t="str">
        <f t="array" ref="E179">IFERROR(INDEX(BD[],_xlfn.AGGREGATE(15,6,IF(BD[CLASIFICACIÓN]=$B$2,ROW(BD[CLASIFICACIÓN])-ROW('PT2 (FILTRAR)'!$E$5)+1,NA()),ROWS($B$5:E179)),COLUMNS($B$5:E179)),"")</f>
        <v/>
      </c>
    </row>
    <row r="180" spans="2:5" x14ac:dyDescent="0.3">
      <c r="B180" s="126" t="str">
        <f t="array" ref="B180">IFERROR(INDEX(BD[],_xlfn.AGGREGATE(15,6,IF(BD[CLASIFICACIÓN]=$B$2,ROW(BD[CLASIFICACIÓN])-ROW('PT2 (FILTRAR)'!$E$5)+1,NA()),ROWS($B$5:B180)),COLUMNS($B$5:B180)),"")</f>
        <v/>
      </c>
      <c r="C180" s="127" t="str">
        <f t="array" ref="C180">IFERROR(INDEX(BD[],_xlfn.AGGREGATE(15,6,IF(BD[CLASIFICACIÓN]=$B$2,ROW(BD[CLASIFICACIÓN])-ROW('PT2 (FILTRAR)'!$E$5)+1,NA()),ROWS($B$5:C180)),COLUMNS($B$5:C180)),"")</f>
        <v/>
      </c>
      <c r="D180" s="142" t="str">
        <f t="array" ref="D180">IFERROR(INDEX(BD[],_xlfn.AGGREGATE(15,6,IF(BD[CLASIFICACIÓN]=$B$2,ROW(BD[CLASIFICACIÓN])-ROW('PT2 (FILTRAR)'!$E$5)+1,NA()),ROWS($B$5:D180)),COLUMNS($B$5:D180)),"")</f>
        <v/>
      </c>
      <c r="E180" s="126" t="str">
        <f t="array" ref="E180">IFERROR(INDEX(BD[],_xlfn.AGGREGATE(15,6,IF(BD[CLASIFICACIÓN]=$B$2,ROW(BD[CLASIFICACIÓN])-ROW('PT2 (FILTRAR)'!$E$5)+1,NA()),ROWS($B$5:E180)),COLUMNS($B$5:E180)),"")</f>
        <v/>
      </c>
    </row>
    <row r="181" spans="2:5" x14ac:dyDescent="0.3">
      <c r="B181" s="126" t="str">
        <f t="array" ref="B181">IFERROR(INDEX(BD[],_xlfn.AGGREGATE(15,6,IF(BD[CLASIFICACIÓN]=$B$2,ROW(BD[CLASIFICACIÓN])-ROW('PT2 (FILTRAR)'!$E$5)+1,NA()),ROWS($B$5:B181)),COLUMNS($B$5:B181)),"")</f>
        <v/>
      </c>
      <c r="C181" s="127" t="str">
        <f t="array" ref="C181">IFERROR(INDEX(BD[],_xlfn.AGGREGATE(15,6,IF(BD[CLASIFICACIÓN]=$B$2,ROW(BD[CLASIFICACIÓN])-ROW('PT2 (FILTRAR)'!$E$5)+1,NA()),ROWS($B$5:C181)),COLUMNS($B$5:C181)),"")</f>
        <v/>
      </c>
      <c r="D181" s="142" t="str">
        <f t="array" ref="D181">IFERROR(INDEX(BD[],_xlfn.AGGREGATE(15,6,IF(BD[CLASIFICACIÓN]=$B$2,ROW(BD[CLASIFICACIÓN])-ROW('PT2 (FILTRAR)'!$E$5)+1,NA()),ROWS($B$5:D181)),COLUMNS($B$5:D181)),"")</f>
        <v/>
      </c>
      <c r="E181" s="126" t="str">
        <f t="array" ref="E181">IFERROR(INDEX(BD[],_xlfn.AGGREGATE(15,6,IF(BD[CLASIFICACIÓN]=$B$2,ROW(BD[CLASIFICACIÓN])-ROW('PT2 (FILTRAR)'!$E$5)+1,NA()),ROWS($B$5:E181)),COLUMNS($B$5:E181)),"")</f>
        <v/>
      </c>
    </row>
    <row r="182" spans="2:5" x14ac:dyDescent="0.3">
      <c r="B182" s="126" t="str">
        <f t="array" ref="B182">IFERROR(INDEX(BD[],_xlfn.AGGREGATE(15,6,IF(BD[CLASIFICACIÓN]=$B$2,ROW(BD[CLASIFICACIÓN])-ROW('PT2 (FILTRAR)'!$E$5)+1,NA()),ROWS($B$5:B182)),COLUMNS($B$5:B182)),"")</f>
        <v/>
      </c>
      <c r="C182" s="127" t="str">
        <f t="array" ref="C182">IFERROR(INDEX(BD[],_xlfn.AGGREGATE(15,6,IF(BD[CLASIFICACIÓN]=$B$2,ROW(BD[CLASIFICACIÓN])-ROW('PT2 (FILTRAR)'!$E$5)+1,NA()),ROWS($B$5:C182)),COLUMNS($B$5:C182)),"")</f>
        <v/>
      </c>
      <c r="D182" s="142" t="str">
        <f t="array" ref="D182">IFERROR(INDEX(BD[],_xlfn.AGGREGATE(15,6,IF(BD[CLASIFICACIÓN]=$B$2,ROW(BD[CLASIFICACIÓN])-ROW('PT2 (FILTRAR)'!$E$5)+1,NA()),ROWS($B$5:D182)),COLUMNS($B$5:D182)),"")</f>
        <v/>
      </c>
      <c r="E182" s="126" t="str">
        <f t="array" ref="E182">IFERROR(INDEX(BD[],_xlfn.AGGREGATE(15,6,IF(BD[CLASIFICACIÓN]=$B$2,ROW(BD[CLASIFICACIÓN])-ROW('PT2 (FILTRAR)'!$E$5)+1,NA()),ROWS($B$5:E182)),COLUMNS($B$5:E182)),"")</f>
        <v/>
      </c>
    </row>
    <row r="183" spans="2:5" x14ac:dyDescent="0.3">
      <c r="B183" s="126" t="str">
        <f t="array" ref="B183">IFERROR(INDEX(BD[],_xlfn.AGGREGATE(15,6,IF(BD[CLASIFICACIÓN]=$B$2,ROW(BD[CLASIFICACIÓN])-ROW('PT2 (FILTRAR)'!$E$5)+1,NA()),ROWS($B$5:B183)),COLUMNS($B$5:B183)),"")</f>
        <v/>
      </c>
      <c r="C183" s="127" t="str">
        <f t="array" ref="C183">IFERROR(INDEX(BD[],_xlfn.AGGREGATE(15,6,IF(BD[CLASIFICACIÓN]=$B$2,ROW(BD[CLASIFICACIÓN])-ROW('PT2 (FILTRAR)'!$E$5)+1,NA()),ROWS($B$5:C183)),COLUMNS($B$5:C183)),"")</f>
        <v/>
      </c>
      <c r="D183" s="142" t="str">
        <f t="array" ref="D183">IFERROR(INDEX(BD[],_xlfn.AGGREGATE(15,6,IF(BD[CLASIFICACIÓN]=$B$2,ROW(BD[CLASIFICACIÓN])-ROW('PT2 (FILTRAR)'!$E$5)+1,NA()),ROWS($B$5:D183)),COLUMNS($B$5:D183)),"")</f>
        <v/>
      </c>
      <c r="E183" s="126" t="str">
        <f t="array" ref="E183">IFERROR(INDEX(BD[],_xlfn.AGGREGATE(15,6,IF(BD[CLASIFICACIÓN]=$B$2,ROW(BD[CLASIFICACIÓN])-ROW('PT2 (FILTRAR)'!$E$5)+1,NA()),ROWS($B$5:E183)),COLUMNS($B$5:E183)),"")</f>
        <v/>
      </c>
    </row>
    <row r="184" spans="2:5" x14ac:dyDescent="0.3">
      <c r="B184" s="126" t="str">
        <f t="array" ref="B184">IFERROR(INDEX(BD[],_xlfn.AGGREGATE(15,6,IF(BD[CLASIFICACIÓN]=$B$2,ROW(BD[CLASIFICACIÓN])-ROW('PT2 (FILTRAR)'!$E$5)+1,NA()),ROWS($B$5:B184)),COLUMNS($B$5:B184)),"")</f>
        <v/>
      </c>
      <c r="C184" s="127" t="str">
        <f t="array" ref="C184">IFERROR(INDEX(BD[],_xlfn.AGGREGATE(15,6,IF(BD[CLASIFICACIÓN]=$B$2,ROW(BD[CLASIFICACIÓN])-ROW('PT2 (FILTRAR)'!$E$5)+1,NA()),ROWS($B$5:C184)),COLUMNS($B$5:C184)),"")</f>
        <v/>
      </c>
      <c r="D184" s="142" t="str">
        <f t="array" ref="D184">IFERROR(INDEX(BD[],_xlfn.AGGREGATE(15,6,IF(BD[CLASIFICACIÓN]=$B$2,ROW(BD[CLASIFICACIÓN])-ROW('PT2 (FILTRAR)'!$E$5)+1,NA()),ROWS($B$5:D184)),COLUMNS($B$5:D184)),"")</f>
        <v/>
      </c>
      <c r="E184" s="126" t="str">
        <f t="array" ref="E184">IFERROR(INDEX(BD[],_xlfn.AGGREGATE(15,6,IF(BD[CLASIFICACIÓN]=$B$2,ROW(BD[CLASIFICACIÓN])-ROW('PT2 (FILTRAR)'!$E$5)+1,NA()),ROWS($B$5:E184)),COLUMNS($B$5:E184)),"")</f>
        <v/>
      </c>
    </row>
    <row r="185" spans="2:5" x14ac:dyDescent="0.3">
      <c r="B185" s="126" t="str">
        <f t="array" ref="B185">IFERROR(INDEX(BD[],_xlfn.AGGREGATE(15,6,IF(BD[CLASIFICACIÓN]=$B$2,ROW(BD[CLASIFICACIÓN])-ROW('PT2 (FILTRAR)'!$E$5)+1,NA()),ROWS($B$5:B185)),COLUMNS($B$5:B185)),"")</f>
        <v/>
      </c>
      <c r="C185" s="127" t="str">
        <f t="array" ref="C185">IFERROR(INDEX(BD[],_xlfn.AGGREGATE(15,6,IF(BD[CLASIFICACIÓN]=$B$2,ROW(BD[CLASIFICACIÓN])-ROW('PT2 (FILTRAR)'!$E$5)+1,NA()),ROWS($B$5:C185)),COLUMNS($B$5:C185)),"")</f>
        <v/>
      </c>
      <c r="D185" s="142" t="str">
        <f t="array" ref="D185">IFERROR(INDEX(BD[],_xlfn.AGGREGATE(15,6,IF(BD[CLASIFICACIÓN]=$B$2,ROW(BD[CLASIFICACIÓN])-ROW('PT2 (FILTRAR)'!$E$5)+1,NA()),ROWS($B$5:D185)),COLUMNS($B$5:D185)),"")</f>
        <v/>
      </c>
      <c r="E185" s="126" t="str">
        <f t="array" ref="E185">IFERROR(INDEX(BD[],_xlfn.AGGREGATE(15,6,IF(BD[CLASIFICACIÓN]=$B$2,ROW(BD[CLASIFICACIÓN])-ROW('PT2 (FILTRAR)'!$E$5)+1,NA()),ROWS($B$5:E185)),COLUMNS($B$5:E185)),"")</f>
        <v/>
      </c>
    </row>
    <row r="186" spans="2:5" x14ac:dyDescent="0.3">
      <c r="B186" s="126" t="str">
        <f t="array" ref="B186">IFERROR(INDEX(BD[],_xlfn.AGGREGATE(15,6,IF(BD[CLASIFICACIÓN]=$B$2,ROW(BD[CLASIFICACIÓN])-ROW('PT2 (FILTRAR)'!$E$5)+1,NA()),ROWS($B$5:B186)),COLUMNS($B$5:B186)),"")</f>
        <v/>
      </c>
      <c r="C186" s="127" t="str">
        <f t="array" ref="C186">IFERROR(INDEX(BD[],_xlfn.AGGREGATE(15,6,IF(BD[CLASIFICACIÓN]=$B$2,ROW(BD[CLASIFICACIÓN])-ROW('PT2 (FILTRAR)'!$E$5)+1,NA()),ROWS($B$5:C186)),COLUMNS($B$5:C186)),"")</f>
        <v/>
      </c>
      <c r="D186" s="142" t="str">
        <f t="array" ref="D186">IFERROR(INDEX(BD[],_xlfn.AGGREGATE(15,6,IF(BD[CLASIFICACIÓN]=$B$2,ROW(BD[CLASIFICACIÓN])-ROW('PT2 (FILTRAR)'!$E$5)+1,NA()),ROWS($B$5:D186)),COLUMNS($B$5:D186)),"")</f>
        <v/>
      </c>
      <c r="E186" s="126" t="str">
        <f t="array" ref="E186">IFERROR(INDEX(BD[],_xlfn.AGGREGATE(15,6,IF(BD[CLASIFICACIÓN]=$B$2,ROW(BD[CLASIFICACIÓN])-ROW('PT2 (FILTRAR)'!$E$5)+1,NA()),ROWS($B$5:E186)),COLUMNS($B$5:E186)),"")</f>
        <v/>
      </c>
    </row>
    <row r="187" spans="2:5" x14ac:dyDescent="0.3">
      <c r="B187" s="126" t="str">
        <f t="array" ref="B187">IFERROR(INDEX(BD[],_xlfn.AGGREGATE(15,6,IF(BD[CLASIFICACIÓN]=$B$2,ROW(BD[CLASIFICACIÓN])-ROW('PT2 (FILTRAR)'!$E$5)+1,NA()),ROWS($B$5:B187)),COLUMNS($B$5:B187)),"")</f>
        <v/>
      </c>
      <c r="C187" s="127" t="str">
        <f t="array" ref="C187">IFERROR(INDEX(BD[],_xlfn.AGGREGATE(15,6,IF(BD[CLASIFICACIÓN]=$B$2,ROW(BD[CLASIFICACIÓN])-ROW('PT2 (FILTRAR)'!$E$5)+1,NA()),ROWS($B$5:C187)),COLUMNS($B$5:C187)),"")</f>
        <v/>
      </c>
      <c r="D187" s="142" t="str">
        <f t="array" ref="D187">IFERROR(INDEX(BD[],_xlfn.AGGREGATE(15,6,IF(BD[CLASIFICACIÓN]=$B$2,ROW(BD[CLASIFICACIÓN])-ROW('PT2 (FILTRAR)'!$E$5)+1,NA()),ROWS($B$5:D187)),COLUMNS($B$5:D187)),"")</f>
        <v/>
      </c>
      <c r="E187" s="126" t="str">
        <f t="array" ref="E187">IFERROR(INDEX(BD[],_xlfn.AGGREGATE(15,6,IF(BD[CLASIFICACIÓN]=$B$2,ROW(BD[CLASIFICACIÓN])-ROW('PT2 (FILTRAR)'!$E$5)+1,NA()),ROWS($B$5:E187)),COLUMNS($B$5:E187)),"")</f>
        <v/>
      </c>
    </row>
    <row r="188" spans="2:5" x14ac:dyDescent="0.3">
      <c r="B188" s="126" t="str">
        <f t="array" ref="B188">IFERROR(INDEX(BD[],_xlfn.AGGREGATE(15,6,IF(BD[CLASIFICACIÓN]=$B$2,ROW(BD[CLASIFICACIÓN])-ROW('PT2 (FILTRAR)'!$E$5)+1,NA()),ROWS($B$5:B188)),COLUMNS($B$5:B188)),"")</f>
        <v/>
      </c>
      <c r="C188" s="127" t="str">
        <f t="array" ref="C188">IFERROR(INDEX(BD[],_xlfn.AGGREGATE(15,6,IF(BD[CLASIFICACIÓN]=$B$2,ROW(BD[CLASIFICACIÓN])-ROW('PT2 (FILTRAR)'!$E$5)+1,NA()),ROWS($B$5:C188)),COLUMNS($B$5:C188)),"")</f>
        <v/>
      </c>
      <c r="D188" s="142" t="str">
        <f t="array" ref="D188">IFERROR(INDEX(BD[],_xlfn.AGGREGATE(15,6,IF(BD[CLASIFICACIÓN]=$B$2,ROW(BD[CLASIFICACIÓN])-ROW('PT2 (FILTRAR)'!$E$5)+1,NA()),ROWS($B$5:D188)),COLUMNS($B$5:D188)),"")</f>
        <v/>
      </c>
      <c r="E188" s="126" t="str">
        <f t="array" ref="E188">IFERROR(INDEX(BD[],_xlfn.AGGREGATE(15,6,IF(BD[CLASIFICACIÓN]=$B$2,ROW(BD[CLASIFICACIÓN])-ROW('PT2 (FILTRAR)'!$E$5)+1,NA()),ROWS($B$5:E188)),COLUMNS($B$5:E188)),"")</f>
        <v/>
      </c>
    </row>
    <row r="189" spans="2:5" x14ac:dyDescent="0.3">
      <c r="B189" s="126" t="str">
        <f t="array" ref="B189">IFERROR(INDEX(BD[],_xlfn.AGGREGATE(15,6,IF(BD[CLASIFICACIÓN]=$B$2,ROW(BD[CLASIFICACIÓN])-ROW('PT2 (FILTRAR)'!$E$5)+1,NA()),ROWS($B$5:B189)),COLUMNS($B$5:B189)),"")</f>
        <v/>
      </c>
      <c r="C189" s="127" t="str">
        <f t="array" ref="C189">IFERROR(INDEX(BD[],_xlfn.AGGREGATE(15,6,IF(BD[CLASIFICACIÓN]=$B$2,ROW(BD[CLASIFICACIÓN])-ROW('PT2 (FILTRAR)'!$E$5)+1,NA()),ROWS($B$5:C189)),COLUMNS($B$5:C189)),"")</f>
        <v/>
      </c>
      <c r="D189" s="142" t="str">
        <f t="array" ref="D189">IFERROR(INDEX(BD[],_xlfn.AGGREGATE(15,6,IF(BD[CLASIFICACIÓN]=$B$2,ROW(BD[CLASIFICACIÓN])-ROW('PT2 (FILTRAR)'!$E$5)+1,NA()),ROWS($B$5:D189)),COLUMNS($B$5:D189)),"")</f>
        <v/>
      </c>
      <c r="E189" s="126" t="str">
        <f t="array" ref="E189">IFERROR(INDEX(BD[],_xlfn.AGGREGATE(15,6,IF(BD[CLASIFICACIÓN]=$B$2,ROW(BD[CLASIFICACIÓN])-ROW('PT2 (FILTRAR)'!$E$5)+1,NA()),ROWS($B$5:E189)),COLUMNS($B$5:E189)),"")</f>
        <v/>
      </c>
    </row>
    <row r="190" spans="2:5" x14ac:dyDescent="0.3">
      <c r="B190" s="126" t="str">
        <f t="array" ref="B190">IFERROR(INDEX(BD[],_xlfn.AGGREGATE(15,6,IF(BD[CLASIFICACIÓN]=$B$2,ROW(BD[CLASIFICACIÓN])-ROW('PT2 (FILTRAR)'!$E$5)+1,NA()),ROWS($B$5:B190)),COLUMNS($B$5:B190)),"")</f>
        <v/>
      </c>
      <c r="C190" s="127" t="str">
        <f t="array" ref="C190">IFERROR(INDEX(BD[],_xlfn.AGGREGATE(15,6,IF(BD[CLASIFICACIÓN]=$B$2,ROW(BD[CLASIFICACIÓN])-ROW('PT2 (FILTRAR)'!$E$5)+1,NA()),ROWS($B$5:C190)),COLUMNS($B$5:C190)),"")</f>
        <v/>
      </c>
      <c r="D190" s="142" t="str">
        <f t="array" ref="D190">IFERROR(INDEX(BD[],_xlfn.AGGREGATE(15,6,IF(BD[CLASIFICACIÓN]=$B$2,ROW(BD[CLASIFICACIÓN])-ROW('PT2 (FILTRAR)'!$E$5)+1,NA()),ROWS($B$5:D190)),COLUMNS($B$5:D190)),"")</f>
        <v/>
      </c>
      <c r="E190" s="126" t="str">
        <f t="array" ref="E190">IFERROR(INDEX(BD[],_xlfn.AGGREGATE(15,6,IF(BD[CLASIFICACIÓN]=$B$2,ROW(BD[CLASIFICACIÓN])-ROW('PT2 (FILTRAR)'!$E$5)+1,NA()),ROWS($B$5:E190)),COLUMNS($B$5:E190)),"")</f>
        <v/>
      </c>
    </row>
    <row r="191" spans="2:5" x14ac:dyDescent="0.3">
      <c r="B191" s="126" t="str">
        <f t="array" ref="B191">IFERROR(INDEX(BD[],_xlfn.AGGREGATE(15,6,IF(BD[CLASIFICACIÓN]=$B$2,ROW(BD[CLASIFICACIÓN])-ROW('PT2 (FILTRAR)'!$E$5)+1,NA()),ROWS($B$5:B191)),COLUMNS($B$5:B191)),"")</f>
        <v/>
      </c>
      <c r="C191" s="127" t="str">
        <f t="array" ref="C191">IFERROR(INDEX(BD[],_xlfn.AGGREGATE(15,6,IF(BD[CLASIFICACIÓN]=$B$2,ROW(BD[CLASIFICACIÓN])-ROW('PT2 (FILTRAR)'!$E$5)+1,NA()),ROWS($B$5:C191)),COLUMNS($B$5:C191)),"")</f>
        <v/>
      </c>
      <c r="D191" s="142" t="str">
        <f t="array" ref="D191">IFERROR(INDEX(BD[],_xlfn.AGGREGATE(15,6,IF(BD[CLASIFICACIÓN]=$B$2,ROW(BD[CLASIFICACIÓN])-ROW('PT2 (FILTRAR)'!$E$5)+1,NA()),ROWS($B$5:D191)),COLUMNS($B$5:D191)),"")</f>
        <v/>
      </c>
      <c r="E191" s="126" t="str">
        <f t="array" ref="E191">IFERROR(INDEX(BD[],_xlfn.AGGREGATE(15,6,IF(BD[CLASIFICACIÓN]=$B$2,ROW(BD[CLASIFICACIÓN])-ROW('PT2 (FILTRAR)'!$E$5)+1,NA()),ROWS($B$5:E191)),COLUMNS($B$5:E191)),"")</f>
        <v/>
      </c>
    </row>
    <row r="192" spans="2:5" x14ac:dyDescent="0.3">
      <c r="B192" s="126" t="str">
        <f t="array" ref="B192">IFERROR(INDEX(BD[],_xlfn.AGGREGATE(15,6,IF(BD[CLASIFICACIÓN]=$B$2,ROW(BD[CLASIFICACIÓN])-ROW('PT2 (FILTRAR)'!$E$5)+1,NA()),ROWS($B$5:B192)),COLUMNS($B$5:B192)),"")</f>
        <v/>
      </c>
      <c r="C192" s="127" t="str">
        <f t="array" ref="C192">IFERROR(INDEX(BD[],_xlfn.AGGREGATE(15,6,IF(BD[CLASIFICACIÓN]=$B$2,ROW(BD[CLASIFICACIÓN])-ROW('PT2 (FILTRAR)'!$E$5)+1,NA()),ROWS($B$5:C192)),COLUMNS($B$5:C192)),"")</f>
        <v/>
      </c>
      <c r="D192" s="142" t="str">
        <f t="array" ref="D192">IFERROR(INDEX(BD[],_xlfn.AGGREGATE(15,6,IF(BD[CLASIFICACIÓN]=$B$2,ROW(BD[CLASIFICACIÓN])-ROW('PT2 (FILTRAR)'!$E$5)+1,NA()),ROWS($B$5:D192)),COLUMNS($B$5:D192)),"")</f>
        <v/>
      </c>
      <c r="E192" s="126" t="str">
        <f t="array" ref="E192">IFERROR(INDEX(BD[],_xlfn.AGGREGATE(15,6,IF(BD[CLASIFICACIÓN]=$B$2,ROW(BD[CLASIFICACIÓN])-ROW('PT2 (FILTRAR)'!$E$5)+1,NA()),ROWS($B$5:E192)),COLUMNS($B$5:E192)),"")</f>
        <v/>
      </c>
    </row>
    <row r="193" spans="2:5" x14ac:dyDescent="0.3">
      <c r="B193" s="126" t="str">
        <f t="array" ref="B193">IFERROR(INDEX(BD[],_xlfn.AGGREGATE(15,6,IF(BD[CLASIFICACIÓN]=$B$2,ROW(BD[CLASIFICACIÓN])-ROW('PT2 (FILTRAR)'!$E$5)+1,NA()),ROWS($B$5:B193)),COLUMNS($B$5:B193)),"")</f>
        <v/>
      </c>
      <c r="C193" s="127" t="str">
        <f t="array" ref="C193">IFERROR(INDEX(BD[],_xlfn.AGGREGATE(15,6,IF(BD[CLASIFICACIÓN]=$B$2,ROW(BD[CLASIFICACIÓN])-ROW('PT2 (FILTRAR)'!$E$5)+1,NA()),ROWS($B$5:C193)),COLUMNS($B$5:C193)),"")</f>
        <v/>
      </c>
      <c r="D193" s="142" t="str">
        <f t="array" ref="D193">IFERROR(INDEX(BD[],_xlfn.AGGREGATE(15,6,IF(BD[CLASIFICACIÓN]=$B$2,ROW(BD[CLASIFICACIÓN])-ROW('PT2 (FILTRAR)'!$E$5)+1,NA()),ROWS($B$5:D193)),COLUMNS($B$5:D193)),"")</f>
        <v/>
      </c>
      <c r="E193" s="126" t="str">
        <f t="array" ref="E193">IFERROR(INDEX(BD[],_xlfn.AGGREGATE(15,6,IF(BD[CLASIFICACIÓN]=$B$2,ROW(BD[CLASIFICACIÓN])-ROW('PT2 (FILTRAR)'!$E$5)+1,NA()),ROWS($B$5:E193)),COLUMNS($B$5:E193)),"")</f>
        <v/>
      </c>
    </row>
    <row r="194" spans="2:5" x14ac:dyDescent="0.3">
      <c r="B194" s="126" t="str">
        <f t="array" ref="B194">IFERROR(INDEX(BD[],_xlfn.AGGREGATE(15,6,IF(BD[CLASIFICACIÓN]=$B$2,ROW(BD[CLASIFICACIÓN])-ROW('PT2 (FILTRAR)'!$E$5)+1,NA()),ROWS($B$5:B194)),COLUMNS($B$5:B194)),"")</f>
        <v/>
      </c>
      <c r="C194" s="127" t="str">
        <f t="array" ref="C194">IFERROR(INDEX(BD[],_xlfn.AGGREGATE(15,6,IF(BD[CLASIFICACIÓN]=$B$2,ROW(BD[CLASIFICACIÓN])-ROW('PT2 (FILTRAR)'!$E$5)+1,NA()),ROWS($B$5:C194)),COLUMNS($B$5:C194)),"")</f>
        <v/>
      </c>
      <c r="D194" s="142" t="str">
        <f t="array" ref="D194">IFERROR(INDEX(BD[],_xlfn.AGGREGATE(15,6,IF(BD[CLASIFICACIÓN]=$B$2,ROW(BD[CLASIFICACIÓN])-ROW('PT2 (FILTRAR)'!$E$5)+1,NA()),ROWS($B$5:D194)),COLUMNS($B$5:D194)),"")</f>
        <v/>
      </c>
      <c r="E194" s="126" t="str">
        <f t="array" ref="E194">IFERROR(INDEX(BD[],_xlfn.AGGREGATE(15,6,IF(BD[CLASIFICACIÓN]=$B$2,ROW(BD[CLASIFICACIÓN])-ROW('PT2 (FILTRAR)'!$E$5)+1,NA()),ROWS($B$5:E194)),COLUMNS($B$5:E194)),"")</f>
        <v/>
      </c>
    </row>
    <row r="195" spans="2:5" x14ac:dyDescent="0.3">
      <c r="B195" s="126" t="str">
        <f t="array" ref="B195">IFERROR(INDEX(BD[],_xlfn.AGGREGATE(15,6,IF(BD[CLASIFICACIÓN]=$B$2,ROW(BD[CLASIFICACIÓN])-ROW('PT2 (FILTRAR)'!$E$5)+1,NA()),ROWS($B$5:B195)),COLUMNS($B$5:B195)),"")</f>
        <v/>
      </c>
      <c r="C195" s="127" t="str">
        <f t="array" ref="C195">IFERROR(INDEX(BD[],_xlfn.AGGREGATE(15,6,IF(BD[CLASIFICACIÓN]=$B$2,ROW(BD[CLASIFICACIÓN])-ROW('PT2 (FILTRAR)'!$E$5)+1,NA()),ROWS($B$5:C195)),COLUMNS($B$5:C195)),"")</f>
        <v/>
      </c>
      <c r="D195" s="142" t="str">
        <f t="array" ref="D195">IFERROR(INDEX(BD[],_xlfn.AGGREGATE(15,6,IF(BD[CLASIFICACIÓN]=$B$2,ROW(BD[CLASIFICACIÓN])-ROW('PT2 (FILTRAR)'!$E$5)+1,NA()),ROWS($B$5:D195)),COLUMNS($B$5:D195)),"")</f>
        <v/>
      </c>
      <c r="E195" s="126" t="str">
        <f t="array" ref="E195">IFERROR(INDEX(BD[],_xlfn.AGGREGATE(15,6,IF(BD[CLASIFICACIÓN]=$B$2,ROW(BD[CLASIFICACIÓN])-ROW('PT2 (FILTRAR)'!$E$5)+1,NA()),ROWS($B$5:E195)),COLUMNS($B$5:E195)),"")</f>
        <v/>
      </c>
    </row>
    <row r="196" spans="2:5" x14ac:dyDescent="0.3">
      <c r="B196" s="126" t="str">
        <f t="array" ref="B196">IFERROR(INDEX(BD[],_xlfn.AGGREGATE(15,6,IF(BD[CLASIFICACIÓN]=$B$2,ROW(BD[CLASIFICACIÓN])-ROW('PT2 (FILTRAR)'!$E$5)+1,NA()),ROWS($B$5:B196)),COLUMNS($B$5:B196)),"")</f>
        <v/>
      </c>
      <c r="C196" s="127" t="str">
        <f t="array" ref="C196">IFERROR(INDEX(BD[],_xlfn.AGGREGATE(15,6,IF(BD[CLASIFICACIÓN]=$B$2,ROW(BD[CLASIFICACIÓN])-ROW('PT2 (FILTRAR)'!$E$5)+1,NA()),ROWS($B$5:C196)),COLUMNS($B$5:C196)),"")</f>
        <v/>
      </c>
      <c r="D196" s="142" t="str">
        <f t="array" ref="D196">IFERROR(INDEX(BD[],_xlfn.AGGREGATE(15,6,IF(BD[CLASIFICACIÓN]=$B$2,ROW(BD[CLASIFICACIÓN])-ROW('PT2 (FILTRAR)'!$E$5)+1,NA()),ROWS($B$5:D196)),COLUMNS($B$5:D196)),"")</f>
        <v/>
      </c>
      <c r="E196" s="126" t="str">
        <f t="array" ref="E196">IFERROR(INDEX(BD[],_xlfn.AGGREGATE(15,6,IF(BD[CLASIFICACIÓN]=$B$2,ROW(BD[CLASIFICACIÓN])-ROW('PT2 (FILTRAR)'!$E$5)+1,NA()),ROWS($B$5:E196)),COLUMNS($B$5:E196)),"")</f>
        <v/>
      </c>
    </row>
    <row r="197" spans="2:5" x14ac:dyDescent="0.3">
      <c r="B197" s="126" t="str">
        <f t="array" ref="B197">IFERROR(INDEX(BD[],_xlfn.AGGREGATE(15,6,IF(BD[CLASIFICACIÓN]=$B$2,ROW(BD[CLASIFICACIÓN])-ROW('PT2 (FILTRAR)'!$E$5)+1,NA()),ROWS($B$5:B197)),COLUMNS($B$5:B197)),"")</f>
        <v/>
      </c>
      <c r="C197" s="127" t="str">
        <f t="array" ref="C197">IFERROR(INDEX(BD[],_xlfn.AGGREGATE(15,6,IF(BD[CLASIFICACIÓN]=$B$2,ROW(BD[CLASIFICACIÓN])-ROW('PT2 (FILTRAR)'!$E$5)+1,NA()),ROWS($B$5:C197)),COLUMNS($B$5:C197)),"")</f>
        <v/>
      </c>
      <c r="D197" s="142" t="str">
        <f t="array" ref="D197">IFERROR(INDEX(BD[],_xlfn.AGGREGATE(15,6,IF(BD[CLASIFICACIÓN]=$B$2,ROW(BD[CLASIFICACIÓN])-ROW('PT2 (FILTRAR)'!$E$5)+1,NA()),ROWS($B$5:D197)),COLUMNS($B$5:D197)),"")</f>
        <v/>
      </c>
      <c r="E197" s="126" t="str">
        <f t="array" ref="E197">IFERROR(INDEX(BD[],_xlfn.AGGREGATE(15,6,IF(BD[CLASIFICACIÓN]=$B$2,ROW(BD[CLASIFICACIÓN])-ROW('PT2 (FILTRAR)'!$E$5)+1,NA()),ROWS($B$5:E197)),COLUMNS($B$5:E197)),"")</f>
        <v/>
      </c>
    </row>
    <row r="198" spans="2:5" x14ac:dyDescent="0.3">
      <c r="B198" s="126" t="str">
        <f t="array" ref="B198">IFERROR(INDEX(BD[],_xlfn.AGGREGATE(15,6,IF(BD[CLASIFICACIÓN]=$B$2,ROW(BD[CLASIFICACIÓN])-ROW('PT2 (FILTRAR)'!$E$5)+1,NA()),ROWS($B$5:B198)),COLUMNS($B$5:B198)),"")</f>
        <v/>
      </c>
      <c r="C198" s="127" t="str">
        <f t="array" ref="C198">IFERROR(INDEX(BD[],_xlfn.AGGREGATE(15,6,IF(BD[CLASIFICACIÓN]=$B$2,ROW(BD[CLASIFICACIÓN])-ROW('PT2 (FILTRAR)'!$E$5)+1,NA()),ROWS($B$5:C198)),COLUMNS($B$5:C198)),"")</f>
        <v/>
      </c>
      <c r="D198" s="142" t="str">
        <f t="array" ref="D198">IFERROR(INDEX(BD[],_xlfn.AGGREGATE(15,6,IF(BD[CLASIFICACIÓN]=$B$2,ROW(BD[CLASIFICACIÓN])-ROW('PT2 (FILTRAR)'!$E$5)+1,NA()),ROWS($B$5:D198)),COLUMNS($B$5:D198)),"")</f>
        <v/>
      </c>
      <c r="E198" s="126" t="str">
        <f t="array" ref="E198">IFERROR(INDEX(BD[],_xlfn.AGGREGATE(15,6,IF(BD[CLASIFICACIÓN]=$B$2,ROW(BD[CLASIFICACIÓN])-ROW('PT2 (FILTRAR)'!$E$5)+1,NA()),ROWS($B$5:E198)),COLUMNS($B$5:E198)),"")</f>
        <v/>
      </c>
    </row>
    <row r="199" spans="2:5" x14ac:dyDescent="0.3">
      <c r="B199" s="126" t="str">
        <f t="array" ref="B199">IFERROR(INDEX(BD[],_xlfn.AGGREGATE(15,6,IF(BD[CLASIFICACIÓN]=$B$2,ROW(BD[CLASIFICACIÓN])-ROW('PT2 (FILTRAR)'!$E$5)+1,NA()),ROWS($B$5:B199)),COLUMNS($B$5:B199)),"")</f>
        <v/>
      </c>
      <c r="C199" s="127" t="str">
        <f t="array" ref="C199">IFERROR(INDEX(BD[],_xlfn.AGGREGATE(15,6,IF(BD[CLASIFICACIÓN]=$B$2,ROW(BD[CLASIFICACIÓN])-ROW('PT2 (FILTRAR)'!$E$5)+1,NA()),ROWS($B$5:C199)),COLUMNS($B$5:C199)),"")</f>
        <v/>
      </c>
      <c r="D199" s="142" t="str">
        <f t="array" ref="D199">IFERROR(INDEX(BD[],_xlfn.AGGREGATE(15,6,IF(BD[CLASIFICACIÓN]=$B$2,ROW(BD[CLASIFICACIÓN])-ROW('PT2 (FILTRAR)'!$E$5)+1,NA()),ROWS($B$5:D199)),COLUMNS($B$5:D199)),"")</f>
        <v/>
      </c>
      <c r="E199" s="126" t="str">
        <f t="array" ref="E199">IFERROR(INDEX(BD[],_xlfn.AGGREGATE(15,6,IF(BD[CLASIFICACIÓN]=$B$2,ROW(BD[CLASIFICACIÓN])-ROW('PT2 (FILTRAR)'!$E$5)+1,NA()),ROWS($B$5:E199)),COLUMNS($B$5:E199)),"")</f>
        <v/>
      </c>
    </row>
    <row r="200" spans="2:5" x14ac:dyDescent="0.3">
      <c r="B200" s="126" t="str">
        <f t="array" ref="B200">IFERROR(INDEX(BD[],_xlfn.AGGREGATE(15,6,IF(BD[CLASIFICACIÓN]=$B$2,ROW(BD[CLASIFICACIÓN])-ROW('PT2 (FILTRAR)'!$E$5)+1,NA()),ROWS($B$5:B200)),COLUMNS($B$5:B200)),"")</f>
        <v/>
      </c>
      <c r="C200" s="127" t="str">
        <f t="array" ref="C200">IFERROR(INDEX(BD[],_xlfn.AGGREGATE(15,6,IF(BD[CLASIFICACIÓN]=$B$2,ROW(BD[CLASIFICACIÓN])-ROW('PT2 (FILTRAR)'!$E$5)+1,NA()),ROWS($B$5:C200)),COLUMNS($B$5:C200)),"")</f>
        <v/>
      </c>
      <c r="D200" s="142" t="str">
        <f t="array" ref="D200">IFERROR(INDEX(BD[],_xlfn.AGGREGATE(15,6,IF(BD[CLASIFICACIÓN]=$B$2,ROW(BD[CLASIFICACIÓN])-ROW('PT2 (FILTRAR)'!$E$5)+1,NA()),ROWS($B$5:D200)),COLUMNS($B$5:D200)),"")</f>
        <v/>
      </c>
      <c r="E200" s="126" t="str">
        <f t="array" ref="E200">IFERROR(INDEX(BD[],_xlfn.AGGREGATE(15,6,IF(BD[CLASIFICACIÓN]=$B$2,ROW(BD[CLASIFICACIÓN])-ROW('PT2 (FILTRAR)'!$E$5)+1,NA()),ROWS($B$5:E200)),COLUMNS($B$5:E200)),"")</f>
        <v/>
      </c>
    </row>
    <row r="201" spans="2:5" x14ac:dyDescent="0.3">
      <c r="B201" s="126" t="str">
        <f t="array" ref="B201">IFERROR(INDEX(BD[],_xlfn.AGGREGATE(15,6,IF(BD[CLASIFICACIÓN]=$B$2,ROW(BD[CLASIFICACIÓN])-ROW('PT2 (FILTRAR)'!$E$5)+1,NA()),ROWS($B$5:B201)),COLUMNS($B$5:B201)),"")</f>
        <v/>
      </c>
      <c r="C201" s="127" t="str">
        <f t="array" ref="C201">IFERROR(INDEX(BD[],_xlfn.AGGREGATE(15,6,IF(BD[CLASIFICACIÓN]=$B$2,ROW(BD[CLASIFICACIÓN])-ROW('PT2 (FILTRAR)'!$E$5)+1,NA()),ROWS($B$5:C201)),COLUMNS($B$5:C201)),"")</f>
        <v/>
      </c>
      <c r="D201" s="142" t="str">
        <f t="array" ref="D201">IFERROR(INDEX(BD[],_xlfn.AGGREGATE(15,6,IF(BD[CLASIFICACIÓN]=$B$2,ROW(BD[CLASIFICACIÓN])-ROW('PT2 (FILTRAR)'!$E$5)+1,NA()),ROWS($B$5:D201)),COLUMNS($B$5:D201)),"")</f>
        <v/>
      </c>
      <c r="E201" s="126" t="str">
        <f t="array" ref="E201">IFERROR(INDEX(BD[],_xlfn.AGGREGATE(15,6,IF(BD[CLASIFICACIÓN]=$B$2,ROW(BD[CLASIFICACIÓN])-ROW('PT2 (FILTRAR)'!$E$5)+1,NA()),ROWS($B$5:E201)),COLUMNS($B$5:E201)),"")</f>
        <v/>
      </c>
    </row>
    <row r="202" spans="2:5" x14ac:dyDescent="0.3">
      <c r="B202" s="126" t="str">
        <f t="array" ref="B202">IFERROR(INDEX(BD[],_xlfn.AGGREGATE(15,6,IF(BD[CLASIFICACIÓN]=$B$2,ROW(BD[CLASIFICACIÓN])-ROW('PT2 (FILTRAR)'!$E$5)+1,NA()),ROWS($B$5:B202)),COLUMNS($B$5:B202)),"")</f>
        <v/>
      </c>
      <c r="C202" s="127" t="str">
        <f t="array" ref="C202">IFERROR(INDEX(BD[],_xlfn.AGGREGATE(15,6,IF(BD[CLASIFICACIÓN]=$B$2,ROW(BD[CLASIFICACIÓN])-ROW('PT2 (FILTRAR)'!$E$5)+1,NA()),ROWS($B$5:C202)),COLUMNS($B$5:C202)),"")</f>
        <v/>
      </c>
      <c r="D202" s="142" t="str">
        <f t="array" ref="D202">IFERROR(INDEX(BD[],_xlfn.AGGREGATE(15,6,IF(BD[CLASIFICACIÓN]=$B$2,ROW(BD[CLASIFICACIÓN])-ROW('PT2 (FILTRAR)'!$E$5)+1,NA()),ROWS($B$5:D202)),COLUMNS($B$5:D202)),"")</f>
        <v/>
      </c>
      <c r="E202" s="126" t="str">
        <f t="array" ref="E202">IFERROR(INDEX(BD[],_xlfn.AGGREGATE(15,6,IF(BD[CLASIFICACIÓN]=$B$2,ROW(BD[CLASIFICACIÓN])-ROW('PT2 (FILTRAR)'!$E$5)+1,NA()),ROWS($B$5:E202)),COLUMNS($B$5:E202)),"")</f>
        <v/>
      </c>
    </row>
    <row r="203" spans="2:5" x14ac:dyDescent="0.3">
      <c r="B203" s="126" t="str">
        <f t="array" ref="B203">IFERROR(INDEX(BD[],_xlfn.AGGREGATE(15,6,IF(BD[CLASIFICACIÓN]=$B$2,ROW(BD[CLASIFICACIÓN])-ROW('PT2 (FILTRAR)'!$E$5)+1,NA()),ROWS($B$5:B203)),COLUMNS($B$5:B203)),"")</f>
        <v/>
      </c>
      <c r="C203" s="127" t="str">
        <f t="array" ref="C203">IFERROR(INDEX(BD[],_xlfn.AGGREGATE(15,6,IF(BD[CLASIFICACIÓN]=$B$2,ROW(BD[CLASIFICACIÓN])-ROW('PT2 (FILTRAR)'!$E$5)+1,NA()),ROWS($B$5:C203)),COLUMNS($B$5:C203)),"")</f>
        <v/>
      </c>
      <c r="D203" s="142" t="str">
        <f t="array" ref="D203">IFERROR(INDEX(BD[],_xlfn.AGGREGATE(15,6,IF(BD[CLASIFICACIÓN]=$B$2,ROW(BD[CLASIFICACIÓN])-ROW('PT2 (FILTRAR)'!$E$5)+1,NA()),ROWS($B$5:D203)),COLUMNS($B$5:D203)),"")</f>
        <v/>
      </c>
      <c r="E203" s="126" t="str">
        <f t="array" ref="E203">IFERROR(INDEX(BD[],_xlfn.AGGREGATE(15,6,IF(BD[CLASIFICACIÓN]=$B$2,ROW(BD[CLASIFICACIÓN])-ROW('PT2 (FILTRAR)'!$E$5)+1,NA()),ROWS($B$5:E203)),COLUMNS($B$5:E203)),"")</f>
        <v/>
      </c>
    </row>
    <row r="204" spans="2:5" x14ac:dyDescent="0.3">
      <c r="B204" s="126" t="str">
        <f t="array" ref="B204">IFERROR(INDEX(BD[],_xlfn.AGGREGATE(15,6,IF(BD[CLASIFICACIÓN]=$B$2,ROW(BD[CLASIFICACIÓN])-ROW('PT2 (FILTRAR)'!$E$5)+1,NA()),ROWS($B$5:B204)),COLUMNS($B$5:B204)),"")</f>
        <v/>
      </c>
      <c r="C204" s="127" t="str">
        <f t="array" ref="C204">IFERROR(INDEX(BD[],_xlfn.AGGREGATE(15,6,IF(BD[CLASIFICACIÓN]=$B$2,ROW(BD[CLASIFICACIÓN])-ROW('PT2 (FILTRAR)'!$E$5)+1,NA()),ROWS($B$5:C204)),COLUMNS($B$5:C204)),"")</f>
        <v/>
      </c>
      <c r="D204" s="142" t="str">
        <f t="array" ref="D204">IFERROR(INDEX(BD[],_xlfn.AGGREGATE(15,6,IF(BD[CLASIFICACIÓN]=$B$2,ROW(BD[CLASIFICACIÓN])-ROW('PT2 (FILTRAR)'!$E$5)+1,NA()),ROWS($B$5:D204)),COLUMNS($B$5:D204)),"")</f>
        <v/>
      </c>
      <c r="E204" s="126" t="str">
        <f t="array" ref="E204">IFERROR(INDEX(BD[],_xlfn.AGGREGATE(15,6,IF(BD[CLASIFICACIÓN]=$B$2,ROW(BD[CLASIFICACIÓN])-ROW('PT2 (FILTRAR)'!$E$5)+1,NA()),ROWS($B$5:E204)),COLUMNS($B$5:E204)),"")</f>
        <v/>
      </c>
    </row>
    <row r="205" spans="2:5" x14ac:dyDescent="0.3">
      <c r="B205" s="126" t="str">
        <f t="array" ref="B205">IFERROR(INDEX(BD[],_xlfn.AGGREGATE(15,6,IF(BD[CLASIFICACIÓN]=$B$2,ROW(BD[CLASIFICACIÓN])-ROW('PT2 (FILTRAR)'!$E$5)+1,NA()),ROWS($B$5:B205)),COLUMNS($B$5:B205)),"")</f>
        <v/>
      </c>
      <c r="C205" s="127" t="str">
        <f t="array" ref="C205">IFERROR(INDEX(BD[],_xlfn.AGGREGATE(15,6,IF(BD[CLASIFICACIÓN]=$B$2,ROW(BD[CLASIFICACIÓN])-ROW('PT2 (FILTRAR)'!$E$5)+1,NA()),ROWS($B$5:C205)),COLUMNS($B$5:C205)),"")</f>
        <v/>
      </c>
      <c r="D205" s="142" t="str">
        <f t="array" ref="D205">IFERROR(INDEX(BD[],_xlfn.AGGREGATE(15,6,IF(BD[CLASIFICACIÓN]=$B$2,ROW(BD[CLASIFICACIÓN])-ROW('PT2 (FILTRAR)'!$E$5)+1,NA()),ROWS($B$5:D205)),COLUMNS($B$5:D205)),"")</f>
        <v/>
      </c>
      <c r="E205" s="126" t="str">
        <f t="array" ref="E205">IFERROR(INDEX(BD[],_xlfn.AGGREGATE(15,6,IF(BD[CLASIFICACIÓN]=$B$2,ROW(BD[CLASIFICACIÓN])-ROW('PT2 (FILTRAR)'!$E$5)+1,NA()),ROWS($B$5:E205)),COLUMNS($B$5:E205)),"")</f>
        <v/>
      </c>
    </row>
    <row r="206" spans="2:5" x14ac:dyDescent="0.3">
      <c r="B206" s="126" t="str">
        <f t="array" ref="B206">IFERROR(INDEX(BD[],_xlfn.AGGREGATE(15,6,IF(BD[CLASIFICACIÓN]=$B$2,ROW(BD[CLASIFICACIÓN])-ROW('PT2 (FILTRAR)'!$E$5)+1,NA()),ROWS($B$5:B206)),COLUMNS($B$5:B206)),"")</f>
        <v/>
      </c>
      <c r="C206" s="127" t="str">
        <f t="array" ref="C206">IFERROR(INDEX(BD[],_xlfn.AGGREGATE(15,6,IF(BD[CLASIFICACIÓN]=$B$2,ROW(BD[CLASIFICACIÓN])-ROW('PT2 (FILTRAR)'!$E$5)+1,NA()),ROWS($B$5:C206)),COLUMNS($B$5:C206)),"")</f>
        <v/>
      </c>
      <c r="D206" s="142" t="str">
        <f t="array" ref="D206">IFERROR(INDEX(BD[],_xlfn.AGGREGATE(15,6,IF(BD[CLASIFICACIÓN]=$B$2,ROW(BD[CLASIFICACIÓN])-ROW('PT2 (FILTRAR)'!$E$5)+1,NA()),ROWS($B$5:D206)),COLUMNS($B$5:D206)),"")</f>
        <v/>
      </c>
      <c r="E206" s="126" t="str">
        <f t="array" ref="E206">IFERROR(INDEX(BD[],_xlfn.AGGREGATE(15,6,IF(BD[CLASIFICACIÓN]=$B$2,ROW(BD[CLASIFICACIÓN])-ROW('PT2 (FILTRAR)'!$E$5)+1,NA()),ROWS($B$5:E206)),COLUMNS($B$5:E206)),"")</f>
        <v/>
      </c>
    </row>
    <row r="207" spans="2:5" x14ac:dyDescent="0.3">
      <c r="B207" s="126" t="str">
        <f t="array" ref="B207">IFERROR(INDEX(BD[],_xlfn.AGGREGATE(15,6,IF(BD[CLASIFICACIÓN]=$B$2,ROW(BD[CLASIFICACIÓN])-ROW('PT2 (FILTRAR)'!$E$5)+1,NA()),ROWS($B$5:B207)),COLUMNS($B$5:B207)),"")</f>
        <v/>
      </c>
      <c r="C207" s="127" t="str">
        <f t="array" ref="C207">IFERROR(INDEX(BD[],_xlfn.AGGREGATE(15,6,IF(BD[CLASIFICACIÓN]=$B$2,ROW(BD[CLASIFICACIÓN])-ROW('PT2 (FILTRAR)'!$E$5)+1,NA()),ROWS($B$5:C207)),COLUMNS($B$5:C207)),"")</f>
        <v/>
      </c>
      <c r="D207" s="142" t="str">
        <f t="array" ref="D207">IFERROR(INDEX(BD[],_xlfn.AGGREGATE(15,6,IF(BD[CLASIFICACIÓN]=$B$2,ROW(BD[CLASIFICACIÓN])-ROW('PT2 (FILTRAR)'!$E$5)+1,NA()),ROWS($B$5:D207)),COLUMNS($B$5:D207)),"")</f>
        <v/>
      </c>
      <c r="E207" s="126" t="str">
        <f t="array" ref="E207">IFERROR(INDEX(BD[],_xlfn.AGGREGATE(15,6,IF(BD[CLASIFICACIÓN]=$B$2,ROW(BD[CLASIFICACIÓN])-ROW('PT2 (FILTRAR)'!$E$5)+1,NA()),ROWS($B$5:E207)),COLUMNS($B$5:E207)),"")</f>
        <v/>
      </c>
    </row>
    <row r="208" spans="2:5" x14ac:dyDescent="0.3">
      <c r="B208" s="126" t="str">
        <f t="array" ref="B208">IFERROR(INDEX(BD[],_xlfn.AGGREGATE(15,6,IF(BD[CLASIFICACIÓN]=$B$2,ROW(BD[CLASIFICACIÓN])-ROW('PT2 (FILTRAR)'!$E$5)+1,NA()),ROWS($B$5:B208)),COLUMNS($B$5:B208)),"")</f>
        <v/>
      </c>
      <c r="C208" s="127" t="str">
        <f t="array" ref="C208">IFERROR(INDEX(BD[],_xlfn.AGGREGATE(15,6,IF(BD[CLASIFICACIÓN]=$B$2,ROW(BD[CLASIFICACIÓN])-ROW('PT2 (FILTRAR)'!$E$5)+1,NA()),ROWS($B$5:C208)),COLUMNS($B$5:C208)),"")</f>
        <v/>
      </c>
      <c r="D208" s="142" t="str">
        <f t="array" ref="D208">IFERROR(INDEX(BD[],_xlfn.AGGREGATE(15,6,IF(BD[CLASIFICACIÓN]=$B$2,ROW(BD[CLASIFICACIÓN])-ROW('PT2 (FILTRAR)'!$E$5)+1,NA()),ROWS($B$5:D208)),COLUMNS($B$5:D208)),"")</f>
        <v/>
      </c>
      <c r="E208" s="126" t="str">
        <f t="array" ref="E208">IFERROR(INDEX(BD[],_xlfn.AGGREGATE(15,6,IF(BD[CLASIFICACIÓN]=$B$2,ROW(BD[CLASIFICACIÓN])-ROW('PT2 (FILTRAR)'!$E$5)+1,NA()),ROWS($B$5:E208)),COLUMNS($B$5:E208)),"")</f>
        <v/>
      </c>
    </row>
    <row r="209" spans="2:5" x14ac:dyDescent="0.3">
      <c r="B209" s="126" t="str">
        <f t="array" ref="B209">IFERROR(INDEX(BD[],_xlfn.AGGREGATE(15,6,IF(BD[CLASIFICACIÓN]=$B$2,ROW(BD[CLASIFICACIÓN])-ROW('PT2 (FILTRAR)'!$E$5)+1,NA()),ROWS($B$5:B209)),COLUMNS($B$5:B209)),"")</f>
        <v/>
      </c>
      <c r="C209" s="127" t="str">
        <f t="array" ref="C209">IFERROR(INDEX(BD[],_xlfn.AGGREGATE(15,6,IF(BD[CLASIFICACIÓN]=$B$2,ROW(BD[CLASIFICACIÓN])-ROW('PT2 (FILTRAR)'!$E$5)+1,NA()),ROWS($B$5:C209)),COLUMNS($B$5:C209)),"")</f>
        <v/>
      </c>
      <c r="D209" s="142" t="str">
        <f t="array" ref="D209">IFERROR(INDEX(BD[],_xlfn.AGGREGATE(15,6,IF(BD[CLASIFICACIÓN]=$B$2,ROW(BD[CLASIFICACIÓN])-ROW('PT2 (FILTRAR)'!$E$5)+1,NA()),ROWS($B$5:D209)),COLUMNS($B$5:D209)),"")</f>
        <v/>
      </c>
      <c r="E209" s="126" t="str">
        <f t="array" ref="E209">IFERROR(INDEX(BD[],_xlfn.AGGREGATE(15,6,IF(BD[CLASIFICACIÓN]=$B$2,ROW(BD[CLASIFICACIÓN])-ROW('PT2 (FILTRAR)'!$E$5)+1,NA()),ROWS($B$5:E209)),COLUMNS($B$5:E209)),"")</f>
        <v/>
      </c>
    </row>
    <row r="210" spans="2:5" x14ac:dyDescent="0.3">
      <c r="B210" s="126" t="str">
        <f t="array" ref="B210">IFERROR(INDEX(BD[],_xlfn.AGGREGATE(15,6,IF(BD[CLASIFICACIÓN]=$B$2,ROW(BD[CLASIFICACIÓN])-ROW('PT2 (FILTRAR)'!$E$5)+1,NA()),ROWS($B$5:B210)),COLUMNS($B$5:B210)),"")</f>
        <v/>
      </c>
      <c r="C210" s="127" t="str">
        <f t="array" ref="C210">IFERROR(INDEX(BD[],_xlfn.AGGREGATE(15,6,IF(BD[CLASIFICACIÓN]=$B$2,ROW(BD[CLASIFICACIÓN])-ROW('PT2 (FILTRAR)'!$E$5)+1,NA()),ROWS($B$5:C210)),COLUMNS($B$5:C210)),"")</f>
        <v/>
      </c>
      <c r="D210" s="142" t="str">
        <f t="array" ref="D210">IFERROR(INDEX(BD[],_xlfn.AGGREGATE(15,6,IF(BD[CLASIFICACIÓN]=$B$2,ROW(BD[CLASIFICACIÓN])-ROW('PT2 (FILTRAR)'!$E$5)+1,NA()),ROWS($B$5:D210)),COLUMNS($B$5:D210)),"")</f>
        <v/>
      </c>
      <c r="E210" s="126" t="str">
        <f t="array" ref="E210">IFERROR(INDEX(BD[],_xlfn.AGGREGATE(15,6,IF(BD[CLASIFICACIÓN]=$B$2,ROW(BD[CLASIFICACIÓN])-ROW('PT2 (FILTRAR)'!$E$5)+1,NA()),ROWS($B$5:E210)),COLUMNS($B$5:E210)),"")</f>
        <v/>
      </c>
    </row>
    <row r="211" spans="2:5" x14ac:dyDescent="0.3">
      <c r="B211" s="126" t="str">
        <f t="array" ref="B211">IFERROR(INDEX(BD[],_xlfn.AGGREGATE(15,6,IF(BD[CLASIFICACIÓN]=$B$2,ROW(BD[CLASIFICACIÓN])-ROW('PT2 (FILTRAR)'!$E$5)+1,NA()),ROWS($B$5:B211)),COLUMNS($B$5:B211)),"")</f>
        <v/>
      </c>
      <c r="C211" s="127" t="str">
        <f t="array" ref="C211">IFERROR(INDEX(BD[],_xlfn.AGGREGATE(15,6,IF(BD[CLASIFICACIÓN]=$B$2,ROW(BD[CLASIFICACIÓN])-ROW('PT2 (FILTRAR)'!$E$5)+1,NA()),ROWS($B$5:C211)),COLUMNS($B$5:C211)),"")</f>
        <v/>
      </c>
      <c r="D211" s="142" t="str">
        <f t="array" ref="D211">IFERROR(INDEX(BD[],_xlfn.AGGREGATE(15,6,IF(BD[CLASIFICACIÓN]=$B$2,ROW(BD[CLASIFICACIÓN])-ROW('PT2 (FILTRAR)'!$E$5)+1,NA()),ROWS($B$5:D211)),COLUMNS($B$5:D211)),"")</f>
        <v/>
      </c>
      <c r="E211" s="126" t="str">
        <f t="array" ref="E211">IFERROR(INDEX(BD[],_xlfn.AGGREGATE(15,6,IF(BD[CLASIFICACIÓN]=$B$2,ROW(BD[CLASIFICACIÓN])-ROW('PT2 (FILTRAR)'!$E$5)+1,NA()),ROWS($B$5:E211)),COLUMNS($B$5:E211)),"")</f>
        <v/>
      </c>
    </row>
    <row r="212" spans="2:5" x14ac:dyDescent="0.3">
      <c r="B212" s="126" t="str">
        <f t="array" ref="B212">IFERROR(INDEX(BD[],_xlfn.AGGREGATE(15,6,IF(BD[CLASIFICACIÓN]=$B$2,ROW(BD[CLASIFICACIÓN])-ROW('PT2 (FILTRAR)'!$E$5)+1,NA()),ROWS($B$5:B212)),COLUMNS($B$5:B212)),"")</f>
        <v/>
      </c>
      <c r="C212" s="127" t="str">
        <f t="array" ref="C212">IFERROR(INDEX(BD[],_xlfn.AGGREGATE(15,6,IF(BD[CLASIFICACIÓN]=$B$2,ROW(BD[CLASIFICACIÓN])-ROW('PT2 (FILTRAR)'!$E$5)+1,NA()),ROWS($B$5:C212)),COLUMNS($B$5:C212)),"")</f>
        <v/>
      </c>
      <c r="D212" s="142" t="str">
        <f t="array" ref="D212">IFERROR(INDEX(BD[],_xlfn.AGGREGATE(15,6,IF(BD[CLASIFICACIÓN]=$B$2,ROW(BD[CLASIFICACIÓN])-ROW('PT2 (FILTRAR)'!$E$5)+1,NA()),ROWS($B$5:D212)),COLUMNS($B$5:D212)),"")</f>
        <v/>
      </c>
      <c r="E212" s="126" t="str">
        <f t="array" ref="E212">IFERROR(INDEX(BD[],_xlfn.AGGREGATE(15,6,IF(BD[CLASIFICACIÓN]=$B$2,ROW(BD[CLASIFICACIÓN])-ROW('PT2 (FILTRAR)'!$E$5)+1,NA()),ROWS($B$5:E212)),COLUMNS($B$5:E212)),"")</f>
        <v/>
      </c>
    </row>
    <row r="213" spans="2:5" x14ac:dyDescent="0.3">
      <c r="B213" s="126" t="str">
        <f t="array" ref="B213">IFERROR(INDEX(BD[],_xlfn.AGGREGATE(15,6,IF(BD[CLASIFICACIÓN]=$B$2,ROW(BD[CLASIFICACIÓN])-ROW('PT2 (FILTRAR)'!$E$5)+1,NA()),ROWS($B$5:B213)),COLUMNS($B$5:B213)),"")</f>
        <v/>
      </c>
      <c r="C213" s="127" t="str">
        <f t="array" ref="C213">IFERROR(INDEX(BD[],_xlfn.AGGREGATE(15,6,IF(BD[CLASIFICACIÓN]=$B$2,ROW(BD[CLASIFICACIÓN])-ROW('PT2 (FILTRAR)'!$E$5)+1,NA()),ROWS($B$5:C213)),COLUMNS($B$5:C213)),"")</f>
        <v/>
      </c>
      <c r="D213" s="142" t="str">
        <f t="array" ref="D213">IFERROR(INDEX(BD[],_xlfn.AGGREGATE(15,6,IF(BD[CLASIFICACIÓN]=$B$2,ROW(BD[CLASIFICACIÓN])-ROW('PT2 (FILTRAR)'!$E$5)+1,NA()),ROWS($B$5:D213)),COLUMNS($B$5:D213)),"")</f>
        <v/>
      </c>
      <c r="E213" s="126" t="str">
        <f t="array" ref="E213">IFERROR(INDEX(BD[],_xlfn.AGGREGATE(15,6,IF(BD[CLASIFICACIÓN]=$B$2,ROW(BD[CLASIFICACIÓN])-ROW('PT2 (FILTRAR)'!$E$5)+1,NA()),ROWS($B$5:E213)),COLUMNS($B$5:E213)),"")</f>
        <v/>
      </c>
    </row>
    <row r="214" spans="2:5" x14ac:dyDescent="0.3">
      <c r="B214" s="126" t="str">
        <f t="array" ref="B214">IFERROR(INDEX(BD[],_xlfn.AGGREGATE(15,6,IF(BD[CLASIFICACIÓN]=$B$2,ROW(BD[CLASIFICACIÓN])-ROW('PT2 (FILTRAR)'!$E$5)+1,NA()),ROWS($B$5:B214)),COLUMNS($B$5:B214)),"")</f>
        <v/>
      </c>
      <c r="C214" s="127" t="str">
        <f t="array" ref="C214">IFERROR(INDEX(BD[],_xlfn.AGGREGATE(15,6,IF(BD[CLASIFICACIÓN]=$B$2,ROW(BD[CLASIFICACIÓN])-ROW('PT2 (FILTRAR)'!$E$5)+1,NA()),ROWS($B$5:C214)),COLUMNS($B$5:C214)),"")</f>
        <v/>
      </c>
      <c r="D214" s="142" t="str">
        <f t="array" ref="D214">IFERROR(INDEX(BD[],_xlfn.AGGREGATE(15,6,IF(BD[CLASIFICACIÓN]=$B$2,ROW(BD[CLASIFICACIÓN])-ROW('PT2 (FILTRAR)'!$E$5)+1,NA()),ROWS($B$5:D214)),COLUMNS($B$5:D214)),"")</f>
        <v/>
      </c>
      <c r="E214" s="126" t="str">
        <f t="array" ref="E214">IFERROR(INDEX(BD[],_xlfn.AGGREGATE(15,6,IF(BD[CLASIFICACIÓN]=$B$2,ROW(BD[CLASIFICACIÓN])-ROW('PT2 (FILTRAR)'!$E$5)+1,NA()),ROWS($B$5:E214)),COLUMNS($B$5:E214)),"")</f>
        <v/>
      </c>
    </row>
    <row r="215" spans="2:5" x14ac:dyDescent="0.3">
      <c r="B215" s="126" t="str">
        <f t="array" ref="B215">IFERROR(INDEX(BD[],_xlfn.AGGREGATE(15,6,IF(BD[CLASIFICACIÓN]=$B$2,ROW(BD[CLASIFICACIÓN])-ROW('PT2 (FILTRAR)'!$E$5)+1,NA()),ROWS($B$5:B215)),COLUMNS($B$5:B215)),"")</f>
        <v/>
      </c>
      <c r="C215" s="127" t="str">
        <f t="array" ref="C215">IFERROR(INDEX(BD[],_xlfn.AGGREGATE(15,6,IF(BD[CLASIFICACIÓN]=$B$2,ROW(BD[CLASIFICACIÓN])-ROW('PT2 (FILTRAR)'!$E$5)+1,NA()),ROWS($B$5:C215)),COLUMNS($B$5:C215)),"")</f>
        <v/>
      </c>
      <c r="D215" s="142" t="str">
        <f t="array" ref="D215">IFERROR(INDEX(BD[],_xlfn.AGGREGATE(15,6,IF(BD[CLASIFICACIÓN]=$B$2,ROW(BD[CLASIFICACIÓN])-ROW('PT2 (FILTRAR)'!$E$5)+1,NA()),ROWS($B$5:D215)),COLUMNS($B$5:D215)),"")</f>
        <v/>
      </c>
      <c r="E215" s="126" t="str">
        <f t="array" ref="E215">IFERROR(INDEX(BD[],_xlfn.AGGREGATE(15,6,IF(BD[CLASIFICACIÓN]=$B$2,ROW(BD[CLASIFICACIÓN])-ROW('PT2 (FILTRAR)'!$E$5)+1,NA()),ROWS($B$5:E215)),COLUMNS($B$5:E215)),"")</f>
        <v/>
      </c>
    </row>
    <row r="216" spans="2:5" x14ac:dyDescent="0.3">
      <c r="B216" s="126" t="str">
        <f t="array" ref="B216">IFERROR(INDEX(BD[],_xlfn.AGGREGATE(15,6,IF(BD[CLASIFICACIÓN]=$B$2,ROW(BD[CLASIFICACIÓN])-ROW('PT2 (FILTRAR)'!$E$5)+1,NA()),ROWS($B$5:B216)),COLUMNS($B$5:B216)),"")</f>
        <v/>
      </c>
      <c r="C216" s="127" t="str">
        <f t="array" ref="C216">IFERROR(INDEX(BD[],_xlfn.AGGREGATE(15,6,IF(BD[CLASIFICACIÓN]=$B$2,ROW(BD[CLASIFICACIÓN])-ROW('PT2 (FILTRAR)'!$E$5)+1,NA()),ROWS($B$5:C216)),COLUMNS($B$5:C216)),"")</f>
        <v/>
      </c>
      <c r="D216" s="142" t="str">
        <f t="array" ref="D216">IFERROR(INDEX(BD[],_xlfn.AGGREGATE(15,6,IF(BD[CLASIFICACIÓN]=$B$2,ROW(BD[CLASIFICACIÓN])-ROW('PT2 (FILTRAR)'!$E$5)+1,NA()),ROWS($B$5:D216)),COLUMNS($B$5:D216)),"")</f>
        <v/>
      </c>
      <c r="E216" s="126" t="str">
        <f t="array" ref="E216">IFERROR(INDEX(BD[],_xlfn.AGGREGATE(15,6,IF(BD[CLASIFICACIÓN]=$B$2,ROW(BD[CLASIFICACIÓN])-ROW('PT2 (FILTRAR)'!$E$5)+1,NA()),ROWS($B$5:E216)),COLUMNS($B$5:E216)),"")</f>
        <v/>
      </c>
    </row>
    <row r="217" spans="2:5" x14ac:dyDescent="0.3">
      <c r="B217" s="126" t="str">
        <f t="array" ref="B217">IFERROR(INDEX(BD[],_xlfn.AGGREGATE(15,6,IF(BD[CLASIFICACIÓN]=$B$2,ROW(BD[CLASIFICACIÓN])-ROW('PT2 (FILTRAR)'!$E$5)+1,NA()),ROWS($B$5:B217)),COLUMNS($B$5:B217)),"")</f>
        <v/>
      </c>
      <c r="C217" s="127" t="str">
        <f t="array" ref="C217">IFERROR(INDEX(BD[],_xlfn.AGGREGATE(15,6,IF(BD[CLASIFICACIÓN]=$B$2,ROW(BD[CLASIFICACIÓN])-ROW('PT2 (FILTRAR)'!$E$5)+1,NA()),ROWS($B$5:C217)),COLUMNS($B$5:C217)),"")</f>
        <v/>
      </c>
      <c r="D217" s="142" t="str">
        <f t="array" ref="D217">IFERROR(INDEX(BD[],_xlfn.AGGREGATE(15,6,IF(BD[CLASIFICACIÓN]=$B$2,ROW(BD[CLASIFICACIÓN])-ROW('PT2 (FILTRAR)'!$E$5)+1,NA()),ROWS($B$5:D217)),COLUMNS($B$5:D217)),"")</f>
        <v/>
      </c>
      <c r="E217" s="126" t="str">
        <f t="array" ref="E217">IFERROR(INDEX(BD[],_xlfn.AGGREGATE(15,6,IF(BD[CLASIFICACIÓN]=$B$2,ROW(BD[CLASIFICACIÓN])-ROW('PT2 (FILTRAR)'!$E$5)+1,NA()),ROWS($B$5:E217)),COLUMNS($B$5:E217)),"")</f>
        <v/>
      </c>
    </row>
    <row r="218" spans="2:5" x14ac:dyDescent="0.3">
      <c r="B218" s="126" t="str">
        <f t="array" ref="B218">IFERROR(INDEX(BD[],_xlfn.AGGREGATE(15,6,IF(BD[CLASIFICACIÓN]=$B$2,ROW(BD[CLASIFICACIÓN])-ROW('PT2 (FILTRAR)'!$E$5)+1,NA()),ROWS($B$5:B218)),COLUMNS($B$5:B218)),"")</f>
        <v/>
      </c>
      <c r="C218" s="127" t="str">
        <f t="array" ref="C218">IFERROR(INDEX(BD[],_xlfn.AGGREGATE(15,6,IF(BD[CLASIFICACIÓN]=$B$2,ROW(BD[CLASIFICACIÓN])-ROW('PT2 (FILTRAR)'!$E$5)+1,NA()),ROWS($B$5:C218)),COLUMNS($B$5:C218)),"")</f>
        <v/>
      </c>
      <c r="D218" s="142" t="str">
        <f t="array" ref="D218">IFERROR(INDEX(BD[],_xlfn.AGGREGATE(15,6,IF(BD[CLASIFICACIÓN]=$B$2,ROW(BD[CLASIFICACIÓN])-ROW('PT2 (FILTRAR)'!$E$5)+1,NA()),ROWS($B$5:D218)),COLUMNS($B$5:D218)),"")</f>
        <v/>
      </c>
      <c r="E218" s="126" t="str">
        <f t="array" ref="E218">IFERROR(INDEX(BD[],_xlfn.AGGREGATE(15,6,IF(BD[CLASIFICACIÓN]=$B$2,ROW(BD[CLASIFICACIÓN])-ROW('PT2 (FILTRAR)'!$E$5)+1,NA()),ROWS($B$5:E218)),COLUMNS($B$5:E218)),"")</f>
        <v/>
      </c>
    </row>
    <row r="219" spans="2:5" x14ac:dyDescent="0.3">
      <c r="B219" s="126" t="str">
        <f t="array" ref="B219">IFERROR(INDEX(BD[],_xlfn.AGGREGATE(15,6,IF(BD[CLASIFICACIÓN]=$B$2,ROW(BD[CLASIFICACIÓN])-ROW('PT2 (FILTRAR)'!$E$5)+1,NA()),ROWS($B$5:B219)),COLUMNS($B$5:B219)),"")</f>
        <v/>
      </c>
      <c r="C219" s="127" t="str">
        <f t="array" ref="C219">IFERROR(INDEX(BD[],_xlfn.AGGREGATE(15,6,IF(BD[CLASIFICACIÓN]=$B$2,ROW(BD[CLASIFICACIÓN])-ROW('PT2 (FILTRAR)'!$E$5)+1,NA()),ROWS($B$5:C219)),COLUMNS($B$5:C219)),"")</f>
        <v/>
      </c>
      <c r="D219" s="142" t="str">
        <f t="array" ref="D219">IFERROR(INDEX(BD[],_xlfn.AGGREGATE(15,6,IF(BD[CLASIFICACIÓN]=$B$2,ROW(BD[CLASIFICACIÓN])-ROW('PT2 (FILTRAR)'!$E$5)+1,NA()),ROWS($B$5:D219)),COLUMNS($B$5:D219)),"")</f>
        <v/>
      </c>
      <c r="E219" s="126" t="str">
        <f t="array" ref="E219">IFERROR(INDEX(BD[],_xlfn.AGGREGATE(15,6,IF(BD[CLASIFICACIÓN]=$B$2,ROW(BD[CLASIFICACIÓN])-ROW('PT2 (FILTRAR)'!$E$5)+1,NA()),ROWS($B$5:E219)),COLUMNS($B$5:E219)),"")</f>
        <v/>
      </c>
    </row>
    <row r="220" spans="2:5" x14ac:dyDescent="0.3">
      <c r="B220" s="126" t="str">
        <f t="array" ref="B220">IFERROR(INDEX(BD[],_xlfn.AGGREGATE(15,6,IF(BD[CLASIFICACIÓN]=$B$2,ROW(BD[CLASIFICACIÓN])-ROW('PT2 (FILTRAR)'!$E$5)+1,NA()),ROWS($B$5:B220)),COLUMNS($B$5:B220)),"")</f>
        <v/>
      </c>
      <c r="C220" s="127" t="str">
        <f t="array" ref="C220">IFERROR(INDEX(BD[],_xlfn.AGGREGATE(15,6,IF(BD[CLASIFICACIÓN]=$B$2,ROW(BD[CLASIFICACIÓN])-ROW('PT2 (FILTRAR)'!$E$5)+1,NA()),ROWS($B$5:C220)),COLUMNS($B$5:C220)),"")</f>
        <v/>
      </c>
      <c r="D220" s="142" t="str">
        <f t="array" ref="D220">IFERROR(INDEX(BD[],_xlfn.AGGREGATE(15,6,IF(BD[CLASIFICACIÓN]=$B$2,ROW(BD[CLASIFICACIÓN])-ROW('PT2 (FILTRAR)'!$E$5)+1,NA()),ROWS($B$5:D220)),COLUMNS($B$5:D220)),"")</f>
        <v/>
      </c>
      <c r="E220" s="126" t="str">
        <f t="array" ref="E220">IFERROR(INDEX(BD[],_xlfn.AGGREGATE(15,6,IF(BD[CLASIFICACIÓN]=$B$2,ROW(BD[CLASIFICACIÓN])-ROW('PT2 (FILTRAR)'!$E$5)+1,NA()),ROWS($B$5:E220)),COLUMNS($B$5:E220)),"")</f>
        <v/>
      </c>
    </row>
    <row r="221" spans="2:5" x14ac:dyDescent="0.3">
      <c r="B221" s="126" t="str">
        <f t="array" ref="B221">IFERROR(INDEX(BD[],_xlfn.AGGREGATE(15,6,IF(BD[CLASIFICACIÓN]=$B$2,ROW(BD[CLASIFICACIÓN])-ROW('PT2 (FILTRAR)'!$E$5)+1,NA()),ROWS($B$5:B221)),COLUMNS($B$5:B221)),"")</f>
        <v/>
      </c>
      <c r="C221" s="127" t="str">
        <f t="array" ref="C221">IFERROR(INDEX(BD[],_xlfn.AGGREGATE(15,6,IF(BD[CLASIFICACIÓN]=$B$2,ROW(BD[CLASIFICACIÓN])-ROW('PT2 (FILTRAR)'!$E$5)+1,NA()),ROWS($B$5:C221)),COLUMNS($B$5:C221)),"")</f>
        <v/>
      </c>
      <c r="D221" s="142" t="str">
        <f t="array" ref="D221">IFERROR(INDEX(BD[],_xlfn.AGGREGATE(15,6,IF(BD[CLASIFICACIÓN]=$B$2,ROW(BD[CLASIFICACIÓN])-ROW('PT2 (FILTRAR)'!$E$5)+1,NA()),ROWS($B$5:D221)),COLUMNS($B$5:D221)),"")</f>
        <v/>
      </c>
      <c r="E221" s="126" t="str">
        <f t="array" ref="E221">IFERROR(INDEX(BD[],_xlfn.AGGREGATE(15,6,IF(BD[CLASIFICACIÓN]=$B$2,ROW(BD[CLASIFICACIÓN])-ROW('PT2 (FILTRAR)'!$E$5)+1,NA()),ROWS($B$5:E221)),COLUMNS($B$5:E221)),"")</f>
        <v/>
      </c>
    </row>
    <row r="222" spans="2:5" x14ac:dyDescent="0.3">
      <c r="B222" s="126" t="str">
        <f t="array" ref="B222">IFERROR(INDEX(BD[],_xlfn.AGGREGATE(15,6,IF(BD[CLASIFICACIÓN]=$B$2,ROW(BD[CLASIFICACIÓN])-ROW('PT2 (FILTRAR)'!$E$5)+1,NA()),ROWS($B$5:B222)),COLUMNS($B$5:B222)),"")</f>
        <v/>
      </c>
      <c r="C222" s="127" t="str">
        <f t="array" ref="C222">IFERROR(INDEX(BD[],_xlfn.AGGREGATE(15,6,IF(BD[CLASIFICACIÓN]=$B$2,ROW(BD[CLASIFICACIÓN])-ROW('PT2 (FILTRAR)'!$E$5)+1,NA()),ROWS($B$5:C222)),COLUMNS($B$5:C222)),"")</f>
        <v/>
      </c>
      <c r="D222" s="142" t="str">
        <f t="array" ref="D222">IFERROR(INDEX(BD[],_xlfn.AGGREGATE(15,6,IF(BD[CLASIFICACIÓN]=$B$2,ROW(BD[CLASIFICACIÓN])-ROW('PT2 (FILTRAR)'!$E$5)+1,NA()),ROWS($B$5:D222)),COLUMNS($B$5:D222)),"")</f>
        <v/>
      </c>
      <c r="E222" s="126" t="str">
        <f t="array" ref="E222">IFERROR(INDEX(BD[],_xlfn.AGGREGATE(15,6,IF(BD[CLASIFICACIÓN]=$B$2,ROW(BD[CLASIFICACIÓN])-ROW('PT2 (FILTRAR)'!$E$5)+1,NA()),ROWS($B$5:E222)),COLUMNS($B$5:E222)),"")</f>
        <v/>
      </c>
    </row>
    <row r="223" spans="2:5" x14ac:dyDescent="0.3">
      <c r="B223" s="126" t="str">
        <f t="array" ref="B223">IFERROR(INDEX(BD[],_xlfn.AGGREGATE(15,6,IF(BD[CLASIFICACIÓN]=$B$2,ROW(BD[CLASIFICACIÓN])-ROW('PT2 (FILTRAR)'!$E$5)+1,NA()),ROWS($B$5:B223)),COLUMNS($B$5:B223)),"")</f>
        <v/>
      </c>
      <c r="C223" s="127" t="str">
        <f t="array" ref="C223">IFERROR(INDEX(BD[],_xlfn.AGGREGATE(15,6,IF(BD[CLASIFICACIÓN]=$B$2,ROW(BD[CLASIFICACIÓN])-ROW('PT2 (FILTRAR)'!$E$5)+1,NA()),ROWS($B$5:C223)),COLUMNS($B$5:C223)),"")</f>
        <v/>
      </c>
      <c r="D223" s="142" t="str">
        <f t="array" ref="D223">IFERROR(INDEX(BD[],_xlfn.AGGREGATE(15,6,IF(BD[CLASIFICACIÓN]=$B$2,ROW(BD[CLASIFICACIÓN])-ROW('PT2 (FILTRAR)'!$E$5)+1,NA()),ROWS($B$5:D223)),COLUMNS($B$5:D223)),"")</f>
        <v/>
      </c>
      <c r="E223" s="126" t="str">
        <f t="array" ref="E223">IFERROR(INDEX(BD[],_xlfn.AGGREGATE(15,6,IF(BD[CLASIFICACIÓN]=$B$2,ROW(BD[CLASIFICACIÓN])-ROW('PT2 (FILTRAR)'!$E$5)+1,NA()),ROWS($B$5:E223)),COLUMNS($B$5:E223)),"")</f>
        <v/>
      </c>
    </row>
    <row r="224" spans="2:5" x14ac:dyDescent="0.3">
      <c r="B224" s="126" t="str">
        <f t="array" ref="B224">IFERROR(INDEX(BD[],_xlfn.AGGREGATE(15,6,IF(BD[CLASIFICACIÓN]=$B$2,ROW(BD[CLASIFICACIÓN])-ROW('PT2 (FILTRAR)'!$E$5)+1,NA()),ROWS($B$5:B224)),COLUMNS($B$5:B224)),"")</f>
        <v/>
      </c>
      <c r="C224" s="127" t="str">
        <f t="array" ref="C224">IFERROR(INDEX(BD[],_xlfn.AGGREGATE(15,6,IF(BD[CLASIFICACIÓN]=$B$2,ROW(BD[CLASIFICACIÓN])-ROW('PT2 (FILTRAR)'!$E$5)+1,NA()),ROWS($B$5:C224)),COLUMNS($B$5:C224)),"")</f>
        <v/>
      </c>
      <c r="D224" s="142" t="str">
        <f t="array" ref="D224">IFERROR(INDEX(BD[],_xlfn.AGGREGATE(15,6,IF(BD[CLASIFICACIÓN]=$B$2,ROW(BD[CLASIFICACIÓN])-ROW('PT2 (FILTRAR)'!$E$5)+1,NA()),ROWS($B$5:D224)),COLUMNS($B$5:D224)),"")</f>
        <v/>
      </c>
      <c r="E224" s="126" t="str">
        <f t="array" ref="E224">IFERROR(INDEX(BD[],_xlfn.AGGREGATE(15,6,IF(BD[CLASIFICACIÓN]=$B$2,ROW(BD[CLASIFICACIÓN])-ROW('PT2 (FILTRAR)'!$E$5)+1,NA()),ROWS($B$5:E224)),COLUMNS($B$5:E224)),"")</f>
        <v/>
      </c>
    </row>
    <row r="225" spans="2:5" x14ac:dyDescent="0.3">
      <c r="B225" s="126" t="str">
        <f t="array" ref="B225">IFERROR(INDEX(BD[],_xlfn.AGGREGATE(15,6,IF(BD[CLASIFICACIÓN]=$B$2,ROW(BD[CLASIFICACIÓN])-ROW('PT2 (FILTRAR)'!$E$5)+1,NA()),ROWS($B$5:B225)),COLUMNS($B$5:B225)),"")</f>
        <v/>
      </c>
      <c r="C225" s="127" t="str">
        <f t="array" ref="C225">IFERROR(INDEX(BD[],_xlfn.AGGREGATE(15,6,IF(BD[CLASIFICACIÓN]=$B$2,ROW(BD[CLASIFICACIÓN])-ROW('PT2 (FILTRAR)'!$E$5)+1,NA()),ROWS($B$5:C225)),COLUMNS($B$5:C225)),"")</f>
        <v/>
      </c>
      <c r="D225" s="142" t="str">
        <f t="array" ref="D225">IFERROR(INDEX(BD[],_xlfn.AGGREGATE(15,6,IF(BD[CLASIFICACIÓN]=$B$2,ROW(BD[CLASIFICACIÓN])-ROW('PT2 (FILTRAR)'!$E$5)+1,NA()),ROWS($B$5:D225)),COLUMNS($B$5:D225)),"")</f>
        <v/>
      </c>
      <c r="E225" s="126" t="str">
        <f t="array" ref="E225">IFERROR(INDEX(BD[],_xlfn.AGGREGATE(15,6,IF(BD[CLASIFICACIÓN]=$B$2,ROW(BD[CLASIFICACIÓN])-ROW('PT2 (FILTRAR)'!$E$5)+1,NA()),ROWS($B$5:E225)),COLUMNS($B$5:E225)),"")</f>
        <v/>
      </c>
    </row>
    <row r="226" spans="2:5" x14ac:dyDescent="0.3">
      <c r="B226" s="126" t="str">
        <f t="array" ref="B226">IFERROR(INDEX(BD[],_xlfn.AGGREGATE(15,6,IF(BD[CLASIFICACIÓN]=$B$2,ROW(BD[CLASIFICACIÓN])-ROW('PT2 (FILTRAR)'!$E$5)+1,NA()),ROWS($B$5:B226)),COLUMNS($B$5:B226)),"")</f>
        <v/>
      </c>
      <c r="C226" s="127" t="str">
        <f t="array" ref="C226">IFERROR(INDEX(BD[],_xlfn.AGGREGATE(15,6,IF(BD[CLASIFICACIÓN]=$B$2,ROW(BD[CLASIFICACIÓN])-ROW('PT2 (FILTRAR)'!$E$5)+1,NA()),ROWS($B$5:C226)),COLUMNS($B$5:C226)),"")</f>
        <v/>
      </c>
      <c r="D226" s="142" t="str">
        <f t="array" ref="D226">IFERROR(INDEX(BD[],_xlfn.AGGREGATE(15,6,IF(BD[CLASIFICACIÓN]=$B$2,ROW(BD[CLASIFICACIÓN])-ROW('PT2 (FILTRAR)'!$E$5)+1,NA()),ROWS($B$5:D226)),COLUMNS($B$5:D226)),"")</f>
        <v/>
      </c>
      <c r="E226" s="126" t="str">
        <f t="array" ref="E226">IFERROR(INDEX(BD[],_xlfn.AGGREGATE(15,6,IF(BD[CLASIFICACIÓN]=$B$2,ROW(BD[CLASIFICACIÓN])-ROW('PT2 (FILTRAR)'!$E$5)+1,NA()),ROWS($B$5:E226)),COLUMNS($B$5:E226)),"")</f>
        <v/>
      </c>
    </row>
    <row r="227" spans="2:5" x14ac:dyDescent="0.3">
      <c r="B227" s="126" t="str">
        <f t="array" ref="B227">IFERROR(INDEX(BD[],_xlfn.AGGREGATE(15,6,IF(BD[CLASIFICACIÓN]=$B$2,ROW(BD[CLASIFICACIÓN])-ROW('PT2 (FILTRAR)'!$E$5)+1,NA()),ROWS($B$5:B227)),COLUMNS($B$5:B227)),"")</f>
        <v/>
      </c>
      <c r="C227" s="127" t="str">
        <f t="array" ref="C227">IFERROR(INDEX(BD[],_xlfn.AGGREGATE(15,6,IF(BD[CLASIFICACIÓN]=$B$2,ROW(BD[CLASIFICACIÓN])-ROW('PT2 (FILTRAR)'!$E$5)+1,NA()),ROWS($B$5:C227)),COLUMNS($B$5:C227)),"")</f>
        <v/>
      </c>
      <c r="D227" s="142" t="str">
        <f t="array" ref="D227">IFERROR(INDEX(BD[],_xlfn.AGGREGATE(15,6,IF(BD[CLASIFICACIÓN]=$B$2,ROW(BD[CLASIFICACIÓN])-ROW('PT2 (FILTRAR)'!$E$5)+1,NA()),ROWS($B$5:D227)),COLUMNS($B$5:D227)),"")</f>
        <v/>
      </c>
      <c r="E227" s="126" t="str">
        <f t="array" ref="E227">IFERROR(INDEX(BD[],_xlfn.AGGREGATE(15,6,IF(BD[CLASIFICACIÓN]=$B$2,ROW(BD[CLASIFICACIÓN])-ROW('PT2 (FILTRAR)'!$E$5)+1,NA()),ROWS($B$5:E227)),COLUMNS($B$5:E227)),"")</f>
        <v/>
      </c>
    </row>
    <row r="228" spans="2:5" x14ac:dyDescent="0.3">
      <c r="B228" s="126" t="str">
        <f t="array" ref="B228">IFERROR(INDEX(BD[],_xlfn.AGGREGATE(15,6,IF(BD[CLASIFICACIÓN]=$B$2,ROW(BD[CLASIFICACIÓN])-ROW('PT2 (FILTRAR)'!$E$5)+1,NA()),ROWS($B$5:B228)),COLUMNS($B$5:B228)),"")</f>
        <v/>
      </c>
      <c r="C228" s="127" t="str">
        <f t="array" ref="C228">IFERROR(INDEX(BD[],_xlfn.AGGREGATE(15,6,IF(BD[CLASIFICACIÓN]=$B$2,ROW(BD[CLASIFICACIÓN])-ROW('PT2 (FILTRAR)'!$E$5)+1,NA()),ROWS($B$5:C228)),COLUMNS($B$5:C228)),"")</f>
        <v/>
      </c>
      <c r="D228" s="142" t="str">
        <f t="array" ref="D228">IFERROR(INDEX(BD[],_xlfn.AGGREGATE(15,6,IF(BD[CLASIFICACIÓN]=$B$2,ROW(BD[CLASIFICACIÓN])-ROW('PT2 (FILTRAR)'!$E$5)+1,NA()),ROWS($B$5:D228)),COLUMNS($B$5:D228)),"")</f>
        <v/>
      </c>
      <c r="E228" s="126" t="str">
        <f t="array" ref="E228">IFERROR(INDEX(BD[],_xlfn.AGGREGATE(15,6,IF(BD[CLASIFICACIÓN]=$B$2,ROW(BD[CLASIFICACIÓN])-ROW('PT2 (FILTRAR)'!$E$5)+1,NA()),ROWS($B$5:E228)),COLUMNS($B$5:E228)),"")</f>
        <v/>
      </c>
    </row>
    <row r="229" spans="2:5" x14ac:dyDescent="0.3">
      <c r="B229" s="126" t="str">
        <f t="array" ref="B229">IFERROR(INDEX(BD[],_xlfn.AGGREGATE(15,6,IF(BD[CLASIFICACIÓN]=$B$2,ROW(BD[CLASIFICACIÓN])-ROW('PT2 (FILTRAR)'!$E$5)+1,NA()),ROWS($B$5:B229)),COLUMNS($B$5:B229)),"")</f>
        <v/>
      </c>
      <c r="C229" s="127" t="str">
        <f t="array" ref="C229">IFERROR(INDEX(BD[],_xlfn.AGGREGATE(15,6,IF(BD[CLASIFICACIÓN]=$B$2,ROW(BD[CLASIFICACIÓN])-ROW('PT2 (FILTRAR)'!$E$5)+1,NA()),ROWS($B$5:C229)),COLUMNS($B$5:C229)),"")</f>
        <v/>
      </c>
      <c r="D229" s="142" t="str">
        <f t="array" ref="D229">IFERROR(INDEX(BD[],_xlfn.AGGREGATE(15,6,IF(BD[CLASIFICACIÓN]=$B$2,ROW(BD[CLASIFICACIÓN])-ROW('PT2 (FILTRAR)'!$E$5)+1,NA()),ROWS($B$5:D229)),COLUMNS($B$5:D229)),"")</f>
        <v/>
      </c>
      <c r="E229" s="126" t="str">
        <f t="array" ref="E229">IFERROR(INDEX(BD[],_xlfn.AGGREGATE(15,6,IF(BD[CLASIFICACIÓN]=$B$2,ROW(BD[CLASIFICACIÓN])-ROW('PT2 (FILTRAR)'!$E$5)+1,NA()),ROWS($B$5:E229)),COLUMNS($B$5:E229)),"")</f>
        <v/>
      </c>
    </row>
    <row r="230" spans="2:5" x14ac:dyDescent="0.3">
      <c r="B230" s="126" t="str">
        <f t="array" ref="B230">IFERROR(INDEX(BD[],_xlfn.AGGREGATE(15,6,IF(BD[CLASIFICACIÓN]=$B$2,ROW(BD[CLASIFICACIÓN])-ROW('PT2 (FILTRAR)'!$E$5)+1,NA()),ROWS($B$5:B230)),COLUMNS($B$5:B230)),"")</f>
        <v/>
      </c>
      <c r="C230" s="127" t="str">
        <f t="array" ref="C230">IFERROR(INDEX(BD[],_xlfn.AGGREGATE(15,6,IF(BD[CLASIFICACIÓN]=$B$2,ROW(BD[CLASIFICACIÓN])-ROW('PT2 (FILTRAR)'!$E$5)+1,NA()),ROWS($B$5:C230)),COLUMNS($B$5:C230)),"")</f>
        <v/>
      </c>
      <c r="D230" s="142" t="str">
        <f t="array" ref="D230">IFERROR(INDEX(BD[],_xlfn.AGGREGATE(15,6,IF(BD[CLASIFICACIÓN]=$B$2,ROW(BD[CLASIFICACIÓN])-ROW('PT2 (FILTRAR)'!$E$5)+1,NA()),ROWS($B$5:D230)),COLUMNS($B$5:D230)),"")</f>
        <v/>
      </c>
      <c r="E230" s="126" t="str">
        <f t="array" ref="E230">IFERROR(INDEX(BD[],_xlfn.AGGREGATE(15,6,IF(BD[CLASIFICACIÓN]=$B$2,ROW(BD[CLASIFICACIÓN])-ROW('PT2 (FILTRAR)'!$E$5)+1,NA()),ROWS($B$5:E230)),COLUMNS($B$5:E230)),"")</f>
        <v/>
      </c>
    </row>
    <row r="231" spans="2:5" x14ac:dyDescent="0.3">
      <c r="B231" s="126" t="str">
        <f t="array" ref="B231">IFERROR(INDEX(BD[],_xlfn.AGGREGATE(15,6,IF(BD[CLASIFICACIÓN]=$B$2,ROW(BD[CLASIFICACIÓN])-ROW('PT2 (FILTRAR)'!$E$5)+1,NA()),ROWS($B$5:B231)),COLUMNS($B$5:B231)),"")</f>
        <v/>
      </c>
      <c r="C231" s="127" t="str">
        <f t="array" ref="C231">IFERROR(INDEX(BD[],_xlfn.AGGREGATE(15,6,IF(BD[CLASIFICACIÓN]=$B$2,ROW(BD[CLASIFICACIÓN])-ROW('PT2 (FILTRAR)'!$E$5)+1,NA()),ROWS($B$5:C231)),COLUMNS($B$5:C231)),"")</f>
        <v/>
      </c>
      <c r="D231" s="142" t="str">
        <f t="array" ref="D231">IFERROR(INDEX(BD[],_xlfn.AGGREGATE(15,6,IF(BD[CLASIFICACIÓN]=$B$2,ROW(BD[CLASIFICACIÓN])-ROW('PT2 (FILTRAR)'!$E$5)+1,NA()),ROWS($B$5:D231)),COLUMNS($B$5:D231)),"")</f>
        <v/>
      </c>
      <c r="E231" s="126" t="str">
        <f t="array" ref="E231">IFERROR(INDEX(BD[],_xlfn.AGGREGATE(15,6,IF(BD[CLASIFICACIÓN]=$B$2,ROW(BD[CLASIFICACIÓN])-ROW('PT2 (FILTRAR)'!$E$5)+1,NA()),ROWS($B$5:E231)),COLUMNS($B$5:E231)),"")</f>
        <v/>
      </c>
    </row>
    <row r="232" spans="2:5" x14ac:dyDescent="0.3">
      <c r="B232" s="126" t="str">
        <f t="array" ref="B232">IFERROR(INDEX(BD[],_xlfn.AGGREGATE(15,6,IF(BD[CLASIFICACIÓN]=$B$2,ROW(BD[CLASIFICACIÓN])-ROW('PT2 (FILTRAR)'!$E$5)+1,NA()),ROWS($B$5:B232)),COLUMNS($B$5:B232)),"")</f>
        <v/>
      </c>
      <c r="C232" s="127" t="str">
        <f t="array" ref="C232">IFERROR(INDEX(BD[],_xlfn.AGGREGATE(15,6,IF(BD[CLASIFICACIÓN]=$B$2,ROW(BD[CLASIFICACIÓN])-ROW('PT2 (FILTRAR)'!$E$5)+1,NA()),ROWS($B$5:C232)),COLUMNS($B$5:C232)),"")</f>
        <v/>
      </c>
      <c r="D232" s="142" t="str">
        <f t="array" ref="D232">IFERROR(INDEX(BD[],_xlfn.AGGREGATE(15,6,IF(BD[CLASIFICACIÓN]=$B$2,ROW(BD[CLASIFICACIÓN])-ROW('PT2 (FILTRAR)'!$E$5)+1,NA()),ROWS($B$5:D232)),COLUMNS($B$5:D232)),"")</f>
        <v/>
      </c>
      <c r="E232" s="126" t="str">
        <f t="array" ref="E232">IFERROR(INDEX(BD[],_xlfn.AGGREGATE(15,6,IF(BD[CLASIFICACIÓN]=$B$2,ROW(BD[CLASIFICACIÓN])-ROW('PT2 (FILTRAR)'!$E$5)+1,NA()),ROWS($B$5:E232)),COLUMNS($B$5:E232)),"")</f>
        <v/>
      </c>
    </row>
    <row r="233" spans="2:5" x14ac:dyDescent="0.3">
      <c r="B233" s="126" t="str">
        <f t="array" ref="B233">IFERROR(INDEX(BD[],_xlfn.AGGREGATE(15,6,IF(BD[CLASIFICACIÓN]=$B$2,ROW(BD[CLASIFICACIÓN])-ROW('PT2 (FILTRAR)'!$E$5)+1,NA()),ROWS($B$5:B233)),COLUMNS($B$5:B233)),"")</f>
        <v/>
      </c>
      <c r="C233" s="127" t="str">
        <f t="array" ref="C233">IFERROR(INDEX(BD[],_xlfn.AGGREGATE(15,6,IF(BD[CLASIFICACIÓN]=$B$2,ROW(BD[CLASIFICACIÓN])-ROW('PT2 (FILTRAR)'!$E$5)+1,NA()),ROWS($B$5:C233)),COLUMNS($B$5:C233)),"")</f>
        <v/>
      </c>
      <c r="D233" s="142" t="str">
        <f t="array" ref="D233">IFERROR(INDEX(BD[],_xlfn.AGGREGATE(15,6,IF(BD[CLASIFICACIÓN]=$B$2,ROW(BD[CLASIFICACIÓN])-ROW('PT2 (FILTRAR)'!$E$5)+1,NA()),ROWS($B$5:D233)),COLUMNS($B$5:D233)),"")</f>
        <v/>
      </c>
      <c r="E233" s="126" t="str">
        <f t="array" ref="E233">IFERROR(INDEX(BD[],_xlfn.AGGREGATE(15,6,IF(BD[CLASIFICACIÓN]=$B$2,ROW(BD[CLASIFICACIÓN])-ROW('PT2 (FILTRAR)'!$E$5)+1,NA()),ROWS($B$5:E233)),COLUMNS($B$5:E233)),"")</f>
        <v/>
      </c>
    </row>
    <row r="234" spans="2:5" x14ac:dyDescent="0.3">
      <c r="B234" s="126" t="str">
        <f t="array" ref="B234">IFERROR(INDEX(BD[],_xlfn.AGGREGATE(15,6,IF(BD[CLASIFICACIÓN]=$B$2,ROW(BD[CLASIFICACIÓN])-ROW('PT2 (FILTRAR)'!$E$5)+1,NA()),ROWS($B$5:B234)),COLUMNS($B$5:B234)),"")</f>
        <v/>
      </c>
      <c r="C234" s="127" t="str">
        <f t="array" ref="C234">IFERROR(INDEX(BD[],_xlfn.AGGREGATE(15,6,IF(BD[CLASIFICACIÓN]=$B$2,ROW(BD[CLASIFICACIÓN])-ROW('PT2 (FILTRAR)'!$E$5)+1,NA()),ROWS($B$5:C234)),COLUMNS($B$5:C234)),"")</f>
        <v/>
      </c>
      <c r="D234" s="142" t="str">
        <f t="array" ref="D234">IFERROR(INDEX(BD[],_xlfn.AGGREGATE(15,6,IF(BD[CLASIFICACIÓN]=$B$2,ROW(BD[CLASIFICACIÓN])-ROW('PT2 (FILTRAR)'!$E$5)+1,NA()),ROWS($B$5:D234)),COLUMNS($B$5:D234)),"")</f>
        <v/>
      </c>
      <c r="E234" s="126" t="str">
        <f t="array" ref="E234">IFERROR(INDEX(BD[],_xlfn.AGGREGATE(15,6,IF(BD[CLASIFICACIÓN]=$B$2,ROW(BD[CLASIFICACIÓN])-ROW('PT2 (FILTRAR)'!$E$5)+1,NA()),ROWS($B$5:E234)),COLUMNS($B$5:E234)),"")</f>
        <v/>
      </c>
    </row>
    <row r="235" spans="2:5" x14ac:dyDescent="0.3">
      <c r="B235" s="126" t="str">
        <f t="array" ref="B235">IFERROR(INDEX(BD[],_xlfn.AGGREGATE(15,6,IF(BD[CLASIFICACIÓN]=$B$2,ROW(BD[CLASIFICACIÓN])-ROW('PT2 (FILTRAR)'!$E$5)+1,NA()),ROWS($B$5:B235)),COLUMNS($B$5:B235)),"")</f>
        <v/>
      </c>
      <c r="C235" s="127" t="str">
        <f t="array" ref="C235">IFERROR(INDEX(BD[],_xlfn.AGGREGATE(15,6,IF(BD[CLASIFICACIÓN]=$B$2,ROW(BD[CLASIFICACIÓN])-ROW('PT2 (FILTRAR)'!$E$5)+1,NA()),ROWS($B$5:C235)),COLUMNS($B$5:C235)),"")</f>
        <v/>
      </c>
      <c r="D235" s="142" t="str">
        <f t="array" ref="D235">IFERROR(INDEX(BD[],_xlfn.AGGREGATE(15,6,IF(BD[CLASIFICACIÓN]=$B$2,ROW(BD[CLASIFICACIÓN])-ROW('PT2 (FILTRAR)'!$E$5)+1,NA()),ROWS($B$5:D235)),COLUMNS($B$5:D235)),"")</f>
        <v/>
      </c>
      <c r="E235" s="126" t="str">
        <f t="array" ref="E235">IFERROR(INDEX(BD[],_xlfn.AGGREGATE(15,6,IF(BD[CLASIFICACIÓN]=$B$2,ROW(BD[CLASIFICACIÓN])-ROW('PT2 (FILTRAR)'!$E$5)+1,NA()),ROWS($B$5:E235)),COLUMNS($B$5:E235)),"")</f>
        <v/>
      </c>
    </row>
    <row r="236" spans="2:5" x14ac:dyDescent="0.3">
      <c r="B236" s="126" t="str">
        <f t="array" ref="B236">IFERROR(INDEX(BD[],_xlfn.AGGREGATE(15,6,IF(BD[CLASIFICACIÓN]=$B$2,ROW(BD[CLASIFICACIÓN])-ROW('PT2 (FILTRAR)'!$E$5)+1,NA()),ROWS($B$5:B236)),COLUMNS($B$5:B236)),"")</f>
        <v/>
      </c>
      <c r="C236" s="127" t="str">
        <f t="array" ref="C236">IFERROR(INDEX(BD[],_xlfn.AGGREGATE(15,6,IF(BD[CLASIFICACIÓN]=$B$2,ROW(BD[CLASIFICACIÓN])-ROW('PT2 (FILTRAR)'!$E$5)+1,NA()),ROWS($B$5:C236)),COLUMNS($B$5:C236)),"")</f>
        <v/>
      </c>
      <c r="D236" s="142" t="str">
        <f t="array" ref="D236">IFERROR(INDEX(BD[],_xlfn.AGGREGATE(15,6,IF(BD[CLASIFICACIÓN]=$B$2,ROW(BD[CLASIFICACIÓN])-ROW('PT2 (FILTRAR)'!$E$5)+1,NA()),ROWS($B$5:D236)),COLUMNS($B$5:D236)),"")</f>
        <v/>
      </c>
      <c r="E236" s="126" t="str">
        <f t="array" ref="E236">IFERROR(INDEX(BD[],_xlfn.AGGREGATE(15,6,IF(BD[CLASIFICACIÓN]=$B$2,ROW(BD[CLASIFICACIÓN])-ROW('PT2 (FILTRAR)'!$E$5)+1,NA()),ROWS($B$5:E236)),COLUMNS($B$5:E236)),"")</f>
        <v/>
      </c>
    </row>
    <row r="237" spans="2:5" x14ac:dyDescent="0.3">
      <c r="B237" s="126" t="str">
        <f t="array" ref="B237">IFERROR(INDEX(BD[],_xlfn.AGGREGATE(15,6,IF(BD[CLASIFICACIÓN]=$B$2,ROW(BD[CLASIFICACIÓN])-ROW('PT2 (FILTRAR)'!$E$5)+1,NA()),ROWS($B$5:B237)),COLUMNS($B$5:B237)),"")</f>
        <v/>
      </c>
      <c r="C237" s="127" t="str">
        <f t="array" ref="C237">IFERROR(INDEX(BD[],_xlfn.AGGREGATE(15,6,IF(BD[CLASIFICACIÓN]=$B$2,ROW(BD[CLASIFICACIÓN])-ROW('PT2 (FILTRAR)'!$E$5)+1,NA()),ROWS($B$5:C237)),COLUMNS($B$5:C237)),"")</f>
        <v/>
      </c>
      <c r="D237" s="142" t="str">
        <f t="array" ref="D237">IFERROR(INDEX(BD[],_xlfn.AGGREGATE(15,6,IF(BD[CLASIFICACIÓN]=$B$2,ROW(BD[CLASIFICACIÓN])-ROW('PT2 (FILTRAR)'!$E$5)+1,NA()),ROWS($B$5:D237)),COLUMNS($B$5:D237)),"")</f>
        <v/>
      </c>
      <c r="E237" s="126" t="str">
        <f t="array" ref="E237">IFERROR(INDEX(BD[],_xlfn.AGGREGATE(15,6,IF(BD[CLASIFICACIÓN]=$B$2,ROW(BD[CLASIFICACIÓN])-ROW('PT2 (FILTRAR)'!$E$5)+1,NA()),ROWS($B$5:E237)),COLUMNS($B$5:E237)),"")</f>
        <v/>
      </c>
    </row>
    <row r="238" spans="2:5" x14ac:dyDescent="0.3">
      <c r="B238" s="126" t="str">
        <f t="array" ref="B238">IFERROR(INDEX(BD[],_xlfn.AGGREGATE(15,6,IF(BD[CLASIFICACIÓN]=$B$2,ROW(BD[CLASIFICACIÓN])-ROW('PT2 (FILTRAR)'!$E$5)+1,NA()),ROWS($B$5:B238)),COLUMNS($B$5:B238)),"")</f>
        <v/>
      </c>
      <c r="C238" s="127" t="str">
        <f t="array" ref="C238">IFERROR(INDEX(BD[],_xlfn.AGGREGATE(15,6,IF(BD[CLASIFICACIÓN]=$B$2,ROW(BD[CLASIFICACIÓN])-ROW('PT2 (FILTRAR)'!$E$5)+1,NA()),ROWS($B$5:C238)),COLUMNS($B$5:C238)),"")</f>
        <v/>
      </c>
      <c r="D238" s="142" t="str">
        <f t="array" ref="D238">IFERROR(INDEX(BD[],_xlfn.AGGREGATE(15,6,IF(BD[CLASIFICACIÓN]=$B$2,ROW(BD[CLASIFICACIÓN])-ROW('PT2 (FILTRAR)'!$E$5)+1,NA()),ROWS($B$5:D238)),COLUMNS($B$5:D238)),"")</f>
        <v/>
      </c>
      <c r="E238" s="126" t="str">
        <f t="array" ref="E238">IFERROR(INDEX(BD[],_xlfn.AGGREGATE(15,6,IF(BD[CLASIFICACIÓN]=$B$2,ROW(BD[CLASIFICACIÓN])-ROW('PT2 (FILTRAR)'!$E$5)+1,NA()),ROWS($B$5:E238)),COLUMNS($B$5:E238)),"")</f>
        <v/>
      </c>
    </row>
    <row r="239" spans="2:5" x14ac:dyDescent="0.3">
      <c r="B239" s="126" t="str">
        <f t="array" ref="B239">IFERROR(INDEX(BD[],_xlfn.AGGREGATE(15,6,IF(BD[CLASIFICACIÓN]=$B$2,ROW(BD[CLASIFICACIÓN])-ROW('PT2 (FILTRAR)'!$E$5)+1,NA()),ROWS($B$5:B239)),COLUMNS($B$5:B239)),"")</f>
        <v/>
      </c>
      <c r="C239" s="127" t="str">
        <f t="array" ref="C239">IFERROR(INDEX(BD[],_xlfn.AGGREGATE(15,6,IF(BD[CLASIFICACIÓN]=$B$2,ROW(BD[CLASIFICACIÓN])-ROW('PT2 (FILTRAR)'!$E$5)+1,NA()),ROWS($B$5:C239)),COLUMNS($B$5:C239)),"")</f>
        <v/>
      </c>
      <c r="D239" s="142" t="str">
        <f t="array" ref="D239">IFERROR(INDEX(BD[],_xlfn.AGGREGATE(15,6,IF(BD[CLASIFICACIÓN]=$B$2,ROW(BD[CLASIFICACIÓN])-ROW('PT2 (FILTRAR)'!$E$5)+1,NA()),ROWS($B$5:D239)),COLUMNS($B$5:D239)),"")</f>
        <v/>
      </c>
      <c r="E239" s="126" t="str">
        <f t="array" ref="E239">IFERROR(INDEX(BD[],_xlfn.AGGREGATE(15,6,IF(BD[CLASIFICACIÓN]=$B$2,ROW(BD[CLASIFICACIÓN])-ROW('PT2 (FILTRAR)'!$E$5)+1,NA()),ROWS($B$5:E239)),COLUMNS($B$5:E239)),"")</f>
        <v/>
      </c>
    </row>
    <row r="240" spans="2:5" x14ac:dyDescent="0.3">
      <c r="B240" s="126" t="str">
        <f t="array" ref="B240">IFERROR(INDEX(BD[],_xlfn.AGGREGATE(15,6,IF(BD[CLASIFICACIÓN]=$B$2,ROW(BD[CLASIFICACIÓN])-ROW('PT2 (FILTRAR)'!$E$5)+1,NA()),ROWS($B$5:B240)),COLUMNS($B$5:B240)),"")</f>
        <v/>
      </c>
      <c r="C240" s="127" t="str">
        <f t="array" ref="C240">IFERROR(INDEX(BD[],_xlfn.AGGREGATE(15,6,IF(BD[CLASIFICACIÓN]=$B$2,ROW(BD[CLASIFICACIÓN])-ROW('PT2 (FILTRAR)'!$E$5)+1,NA()),ROWS($B$5:C240)),COLUMNS($B$5:C240)),"")</f>
        <v/>
      </c>
      <c r="D240" s="142" t="str">
        <f t="array" ref="D240">IFERROR(INDEX(BD[],_xlfn.AGGREGATE(15,6,IF(BD[CLASIFICACIÓN]=$B$2,ROW(BD[CLASIFICACIÓN])-ROW('PT2 (FILTRAR)'!$E$5)+1,NA()),ROWS($B$5:D240)),COLUMNS($B$5:D240)),"")</f>
        <v/>
      </c>
      <c r="E240" s="126" t="str">
        <f t="array" ref="E240">IFERROR(INDEX(BD[],_xlfn.AGGREGATE(15,6,IF(BD[CLASIFICACIÓN]=$B$2,ROW(BD[CLASIFICACIÓN])-ROW('PT2 (FILTRAR)'!$E$5)+1,NA()),ROWS($B$5:E240)),COLUMNS($B$5:E240)),"")</f>
        <v/>
      </c>
    </row>
    <row r="241" spans="2:5" x14ac:dyDescent="0.3">
      <c r="B241" s="126" t="str">
        <f t="array" ref="B241">IFERROR(INDEX(BD[],_xlfn.AGGREGATE(15,6,IF(BD[CLASIFICACIÓN]=$B$2,ROW(BD[CLASIFICACIÓN])-ROW('PT2 (FILTRAR)'!$E$5)+1,NA()),ROWS($B$5:B241)),COLUMNS($B$5:B241)),"")</f>
        <v/>
      </c>
      <c r="C241" s="127" t="str">
        <f t="array" ref="C241">IFERROR(INDEX(BD[],_xlfn.AGGREGATE(15,6,IF(BD[CLASIFICACIÓN]=$B$2,ROW(BD[CLASIFICACIÓN])-ROW('PT2 (FILTRAR)'!$E$5)+1,NA()),ROWS($B$5:C241)),COLUMNS($B$5:C241)),"")</f>
        <v/>
      </c>
      <c r="D241" s="142" t="str">
        <f t="array" ref="D241">IFERROR(INDEX(BD[],_xlfn.AGGREGATE(15,6,IF(BD[CLASIFICACIÓN]=$B$2,ROW(BD[CLASIFICACIÓN])-ROW('PT2 (FILTRAR)'!$E$5)+1,NA()),ROWS($B$5:D241)),COLUMNS($B$5:D241)),"")</f>
        <v/>
      </c>
      <c r="E241" s="126" t="str">
        <f t="array" ref="E241">IFERROR(INDEX(BD[],_xlfn.AGGREGATE(15,6,IF(BD[CLASIFICACIÓN]=$B$2,ROW(BD[CLASIFICACIÓN])-ROW('PT2 (FILTRAR)'!$E$5)+1,NA()),ROWS($B$5:E241)),COLUMNS($B$5:E241)),"")</f>
        <v/>
      </c>
    </row>
    <row r="242" spans="2:5" x14ac:dyDescent="0.3">
      <c r="B242" s="126" t="str">
        <f t="array" ref="B242">IFERROR(INDEX(BD[],_xlfn.AGGREGATE(15,6,IF(BD[CLASIFICACIÓN]=$B$2,ROW(BD[CLASIFICACIÓN])-ROW('PT2 (FILTRAR)'!$E$5)+1,NA()),ROWS($B$5:B242)),COLUMNS($B$5:B242)),"")</f>
        <v/>
      </c>
      <c r="C242" s="127" t="str">
        <f t="array" ref="C242">IFERROR(INDEX(BD[],_xlfn.AGGREGATE(15,6,IF(BD[CLASIFICACIÓN]=$B$2,ROW(BD[CLASIFICACIÓN])-ROW('PT2 (FILTRAR)'!$E$5)+1,NA()),ROWS($B$5:C242)),COLUMNS($B$5:C242)),"")</f>
        <v/>
      </c>
      <c r="D242" s="142" t="str">
        <f t="array" ref="D242">IFERROR(INDEX(BD[],_xlfn.AGGREGATE(15,6,IF(BD[CLASIFICACIÓN]=$B$2,ROW(BD[CLASIFICACIÓN])-ROW('PT2 (FILTRAR)'!$E$5)+1,NA()),ROWS($B$5:D242)),COLUMNS($B$5:D242)),"")</f>
        <v/>
      </c>
      <c r="E242" s="126" t="str">
        <f t="array" ref="E242">IFERROR(INDEX(BD[],_xlfn.AGGREGATE(15,6,IF(BD[CLASIFICACIÓN]=$B$2,ROW(BD[CLASIFICACIÓN])-ROW('PT2 (FILTRAR)'!$E$5)+1,NA()),ROWS($B$5:E242)),COLUMNS($B$5:E242)),"")</f>
        <v/>
      </c>
    </row>
    <row r="243" spans="2:5" x14ac:dyDescent="0.3">
      <c r="B243" s="126" t="str">
        <f t="array" ref="B243">IFERROR(INDEX(BD[],_xlfn.AGGREGATE(15,6,IF(BD[CLASIFICACIÓN]=$B$2,ROW(BD[CLASIFICACIÓN])-ROW('PT2 (FILTRAR)'!$E$5)+1,NA()),ROWS($B$5:B243)),COLUMNS($B$5:B243)),"")</f>
        <v/>
      </c>
      <c r="C243" s="127" t="str">
        <f t="array" ref="C243">IFERROR(INDEX(BD[],_xlfn.AGGREGATE(15,6,IF(BD[CLASIFICACIÓN]=$B$2,ROW(BD[CLASIFICACIÓN])-ROW('PT2 (FILTRAR)'!$E$5)+1,NA()),ROWS($B$5:C243)),COLUMNS($B$5:C243)),"")</f>
        <v/>
      </c>
      <c r="D243" s="142" t="str">
        <f t="array" ref="D243">IFERROR(INDEX(BD[],_xlfn.AGGREGATE(15,6,IF(BD[CLASIFICACIÓN]=$B$2,ROW(BD[CLASIFICACIÓN])-ROW('PT2 (FILTRAR)'!$E$5)+1,NA()),ROWS($B$5:D243)),COLUMNS($B$5:D243)),"")</f>
        <v/>
      </c>
      <c r="E243" s="126" t="str">
        <f t="array" ref="E243">IFERROR(INDEX(BD[],_xlfn.AGGREGATE(15,6,IF(BD[CLASIFICACIÓN]=$B$2,ROW(BD[CLASIFICACIÓN])-ROW('PT2 (FILTRAR)'!$E$5)+1,NA()),ROWS($B$5:E243)),COLUMNS($B$5:E243)),"")</f>
        <v/>
      </c>
    </row>
    <row r="244" spans="2:5" x14ac:dyDescent="0.3">
      <c r="B244" s="126" t="str">
        <f t="array" ref="B244">IFERROR(INDEX(BD[],_xlfn.AGGREGATE(15,6,IF(BD[CLASIFICACIÓN]=$B$2,ROW(BD[CLASIFICACIÓN])-ROW('PT2 (FILTRAR)'!$E$5)+1,NA()),ROWS($B$5:B244)),COLUMNS($B$5:B244)),"")</f>
        <v/>
      </c>
      <c r="C244" s="127" t="str">
        <f t="array" ref="C244">IFERROR(INDEX(BD[],_xlfn.AGGREGATE(15,6,IF(BD[CLASIFICACIÓN]=$B$2,ROW(BD[CLASIFICACIÓN])-ROW('PT2 (FILTRAR)'!$E$5)+1,NA()),ROWS($B$5:C244)),COLUMNS($B$5:C244)),"")</f>
        <v/>
      </c>
      <c r="D244" s="142" t="str">
        <f t="array" ref="D244">IFERROR(INDEX(BD[],_xlfn.AGGREGATE(15,6,IF(BD[CLASIFICACIÓN]=$B$2,ROW(BD[CLASIFICACIÓN])-ROW('PT2 (FILTRAR)'!$E$5)+1,NA()),ROWS($B$5:D244)),COLUMNS($B$5:D244)),"")</f>
        <v/>
      </c>
      <c r="E244" s="126" t="str">
        <f t="array" ref="E244">IFERROR(INDEX(BD[],_xlfn.AGGREGATE(15,6,IF(BD[CLASIFICACIÓN]=$B$2,ROW(BD[CLASIFICACIÓN])-ROW('PT2 (FILTRAR)'!$E$5)+1,NA()),ROWS($B$5:E244)),COLUMNS($B$5:E244)),"")</f>
        <v/>
      </c>
    </row>
    <row r="245" spans="2:5" x14ac:dyDescent="0.3">
      <c r="B245" s="126" t="str">
        <f t="array" ref="B245">IFERROR(INDEX(BD[],_xlfn.AGGREGATE(15,6,IF(BD[CLASIFICACIÓN]=$B$2,ROW(BD[CLASIFICACIÓN])-ROW('PT2 (FILTRAR)'!$E$5)+1,NA()),ROWS($B$5:B245)),COLUMNS($B$5:B245)),"")</f>
        <v/>
      </c>
      <c r="C245" s="127" t="str">
        <f t="array" ref="C245">IFERROR(INDEX(BD[],_xlfn.AGGREGATE(15,6,IF(BD[CLASIFICACIÓN]=$B$2,ROW(BD[CLASIFICACIÓN])-ROW('PT2 (FILTRAR)'!$E$5)+1,NA()),ROWS($B$5:C245)),COLUMNS($B$5:C245)),"")</f>
        <v/>
      </c>
      <c r="D245" s="142" t="str">
        <f t="array" ref="D245">IFERROR(INDEX(BD[],_xlfn.AGGREGATE(15,6,IF(BD[CLASIFICACIÓN]=$B$2,ROW(BD[CLASIFICACIÓN])-ROW('PT2 (FILTRAR)'!$E$5)+1,NA()),ROWS($B$5:D245)),COLUMNS($B$5:D245)),"")</f>
        <v/>
      </c>
      <c r="E245" s="126" t="str">
        <f t="array" ref="E245">IFERROR(INDEX(BD[],_xlfn.AGGREGATE(15,6,IF(BD[CLASIFICACIÓN]=$B$2,ROW(BD[CLASIFICACIÓN])-ROW('PT2 (FILTRAR)'!$E$5)+1,NA()),ROWS($B$5:E245)),COLUMNS($B$5:E245)),"")</f>
        <v/>
      </c>
    </row>
    <row r="246" spans="2:5" x14ac:dyDescent="0.3">
      <c r="B246" s="126" t="str">
        <f t="array" ref="B246">IFERROR(INDEX(BD[],_xlfn.AGGREGATE(15,6,IF(BD[CLASIFICACIÓN]=$B$2,ROW(BD[CLASIFICACIÓN])-ROW('PT2 (FILTRAR)'!$E$5)+1,NA()),ROWS($B$5:B246)),COLUMNS($B$5:B246)),"")</f>
        <v/>
      </c>
      <c r="C246" s="127" t="str">
        <f t="array" ref="C246">IFERROR(INDEX(BD[],_xlfn.AGGREGATE(15,6,IF(BD[CLASIFICACIÓN]=$B$2,ROW(BD[CLASIFICACIÓN])-ROW('PT2 (FILTRAR)'!$E$5)+1,NA()),ROWS($B$5:C246)),COLUMNS($B$5:C246)),"")</f>
        <v/>
      </c>
      <c r="D246" s="142" t="str">
        <f t="array" ref="D246">IFERROR(INDEX(BD[],_xlfn.AGGREGATE(15,6,IF(BD[CLASIFICACIÓN]=$B$2,ROW(BD[CLASIFICACIÓN])-ROW('PT2 (FILTRAR)'!$E$5)+1,NA()),ROWS($B$5:D246)),COLUMNS($B$5:D246)),"")</f>
        <v/>
      </c>
      <c r="E246" s="126" t="str">
        <f t="array" ref="E246">IFERROR(INDEX(BD[],_xlfn.AGGREGATE(15,6,IF(BD[CLASIFICACIÓN]=$B$2,ROW(BD[CLASIFICACIÓN])-ROW('PT2 (FILTRAR)'!$E$5)+1,NA()),ROWS($B$5:E246)),COLUMNS($B$5:E246)),"")</f>
        <v/>
      </c>
    </row>
    <row r="247" spans="2:5" x14ac:dyDescent="0.3">
      <c r="B247" s="126" t="str">
        <f t="array" ref="B247">IFERROR(INDEX(BD[],_xlfn.AGGREGATE(15,6,IF(BD[CLASIFICACIÓN]=$B$2,ROW(BD[CLASIFICACIÓN])-ROW('PT2 (FILTRAR)'!$E$5)+1,NA()),ROWS($B$5:B247)),COLUMNS($B$5:B247)),"")</f>
        <v/>
      </c>
      <c r="C247" s="127" t="str">
        <f t="array" ref="C247">IFERROR(INDEX(BD[],_xlfn.AGGREGATE(15,6,IF(BD[CLASIFICACIÓN]=$B$2,ROW(BD[CLASIFICACIÓN])-ROW('PT2 (FILTRAR)'!$E$5)+1,NA()),ROWS($B$5:C247)),COLUMNS($B$5:C247)),"")</f>
        <v/>
      </c>
      <c r="D247" s="142" t="str">
        <f t="array" ref="D247">IFERROR(INDEX(BD[],_xlfn.AGGREGATE(15,6,IF(BD[CLASIFICACIÓN]=$B$2,ROW(BD[CLASIFICACIÓN])-ROW('PT2 (FILTRAR)'!$E$5)+1,NA()),ROWS($B$5:D247)),COLUMNS($B$5:D247)),"")</f>
        <v/>
      </c>
      <c r="E247" s="126" t="str">
        <f t="array" ref="E247">IFERROR(INDEX(BD[],_xlfn.AGGREGATE(15,6,IF(BD[CLASIFICACIÓN]=$B$2,ROW(BD[CLASIFICACIÓN])-ROW('PT2 (FILTRAR)'!$E$5)+1,NA()),ROWS($B$5:E247)),COLUMNS($B$5:E247)),"")</f>
        <v/>
      </c>
    </row>
    <row r="248" spans="2:5" x14ac:dyDescent="0.3">
      <c r="B248" s="126" t="str">
        <f t="array" ref="B248">IFERROR(INDEX(BD[],_xlfn.AGGREGATE(15,6,IF(BD[CLASIFICACIÓN]=$B$2,ROW(BD[CLASIFICACIÓN])-ROW('PT2 (FILTRAR)'!$E$5)+1,NA()),ROWS($B$5:B248)),COLUMNS($B$5:B248)),"")</f>
        <v/>
      </c>
      <c r="C248" s="127" t="str">
        <f t="array" ref="C248">IFERROR(INDEX(BD[],_xlfn.AGGREGATE(15,6,IF(BD[CLASIFICACIÓN]=$B$2,ROW(BD[CLASIFICACIÓN])-ROW('PT2 (FILTRAR)'!$E$5)+1,NA()),ROWS($B$5:C248)),COLUMNS($B$5:C248)),"")</f>
        <v/>
      </c>
      <c r="D248" s="142" t="str">
        <f t="array" ref="D248">IFERROR(INDEX(BD[],_xlfn.AGGREGATE(15,6,IF(BD[CLASIFICACIÓN]=$B$2,ROW(BD[CLASIFICACIÓN])-ROW('PT2 (FILTRAR)'!$E$5)+1,NA()),ROWS($B$5:D248)),COLUMNS($B$5:D248)),"")</f>
        <v/>
      </c>
      <c r="E248" s="126" t="str">
        <f t="array" ref="E248">IFERROR(INDEX(BD[],_xlfn.AGGREGATE(15,6,IF(BD[CLASIFICACIÓN]=$B$2,ROW(BD[CLASIFICACIÓN])-ROW('PT2 (FILTRAR)'!$E$5)+1,NA()),ROWS($B$5:E248)),COLUMNS($B$5:E248)),"")</f>
        <v/>
      </c>
    </row>
    <row r="249" spans="2:5" x14ac:dyDescent="0.3">
      <c r="B249" s="126" t="str">
        <f t="array" ref="B249">IFERROR(INDEX(BD[],_xlfn.AGGREGATE(15,6,IF(BD[CLASIFICACIÓN]=$B$2,ROW(BD[CLASIFICACIÓN])-ROW('PT2 (FILTRAR)'!$E$5)+1,NA()),ROWS($B$5:B249)),COLUMNS($B$5:B249)),"")</f>
        <v/>
      </c>
      <c r="C249" s="127" t="str">
        <f t="array" ref="C249">IFERROR(INDEX(BD[],_xlfn.AGGREGATE(15,6,IF(BD[CLASIFICACIÓN]=$B$2,ROW(BD[CLASIFICACIÓN])-ROW('PT2 (FILTRAR)'!$E$5)+1,NA()),ROWS($B$5:C249)),COLUMNS($B$5:C249)),"")</f>
        <v/>
      </c>
      <c r="D249" s="142" t="str">
        <f t="array" ref="D249">IFERROR(INDEX(BD[],_xlfn.AGGREGATE(15,6,IF(BD[CLASIFICACIÓN]=$B$2,ROW(BD[CLASIFICACIÓN])-ROW('PT2 (FILTRAR)'!$E$5)+1,NA()),ROWS($B$5:D249)),COLUMNS($B$5:D249)),"")</f>
        <v/>
      </c>
      <c r="E249" s="126" t="str">
        <f t="array" ref="E249">IFERROR(INDEX(BD[],_xlfn.AGGREGATE(15,6,IF(BD[CLASIFICACIÓN]=$B$2,ROW(BD[CLASIFICACIÓN])-ROW('PT2 (FILTRAR)'!$E$5)+1,NA()),ROWS($B$5:E249)),COLUMNS($B$5:E249)),"")</f>
        <v/>
      </c>
    </row>
    <row r="250" spans="2:5" x14ac:dyDescent="0.3">
      <c r="B250" s="126" t="str">
        <f t="array" ref="B250">IFERROR(INDEX(BD[],_xlfn.AGGREGATE(15,6,IF(BD[CLASIFICACIÓN]=$B$2,ROW(BD[CLASIFICACIÓN])-ROW('PT2 (FILTRAR)'!$E$5)+1,NA()),ROWS($B$5:B250)),COLUMNS($B$5:B250)),"")</f>
        <v/>
      </c>
      <c r="C250" s="127" t="str">
        <f t="array" ref="C250">IFERROR(INDEX(BD[],_xlfn.AGGREGATE(15,6,IF(BD[CLASIFICACIÓN]=$B$2,ROW(BD[CLASIFICACIÓN])-ROW('PT2 (FILTRAR)'!$E$5)+1,NA()),ROWS($B$5:C250)),COLUMNS($B$5:C250)),"")</f>
        <v/>
      </c>
      <c r="D250" s="142" t="str">
        <f t="array" ref="D250">IFERROR(INDEX(BD[],_xlfn.AGGREGATE(15,6,IF(BD[CLASIFICACIÓN]=$B$2,ROW(BD[CLASIFICACIÓN])-ROW('PT2 (FILTRAR)'!$E$5)+1,NA()),ROWS($B$5:D250)),COLUMNS($B$5:D250)),"")</f>
        <v/>
      </c>
      <c r="E250" s="126" t="str">
        <f t="array" ref="E250">IFERROR(INDEX(BD[],_xlfn.AGGREGATE(15,6,IF(BD[CLASIFICACIÓN]=$B$2,ROW(BD[CLASIFICACIÓN])-ROW('PT2 (FILTRAR)'!$E$5)+1,NA()),ROWS($B$5:E250)),COLUMNS($B$5:E250)),"")</f>
        <v/>
      </c>
    </row>
    <row r="251" spans="2:5" x14ac:dyDescent="0.3">
      <c r="B251" s="126" t="str">
        <f t="array" ref="B251">IFERROR(INDEX(BD[],_xlfn.AGGREGATE(15,6,IF(BD[CLASIFICACIÓN]=$B$2,ROW(BD[CLASIFICACIÓN])-ROW('PT2 (FILTRAR)'!$E$5)+1,NA()),ROWS($B$5:B251)),COLUMNS($B$5:B251)),"")</f>
        <v/>
      </c>
      <c r="C251" s="127" t="str">
        <f t="array" ref="C251">IFERROR(INDEX(BD[],_xlfn.AGGREGATE(15,6,IF(BD[CLASIFICACIÓN]=$B$2,ROW(BD[CLASIFICACIÓN])-ROW('PT2 (FILTRAR)'!$E$5)+1,NA()),ROWS($B$5:C251)),COLUMNS($B$5:C251)),"")</f>
        <v/>
      </c>
      <c r="D251" s="142" t="str">
        <f t="array" ref="D251">IFERROR(INDEX(BD[],_xlfn.AGGREGATE(15,6,IF(BD[CLASIFICACIÓN]=$B$2,ROW(BD[CLASIFICACIÓN])-ROW('PT2 (FILTRAR)'!$E$5)+1,NA()),ROWS($B$5:D251)),COLUMNS($B$5:D251)),"")</f>
        <v/>
      </c>
      <c r="E251" s="126" t="str">
        <f t="array" ref="E251">IFERROR(INDEX(BD[],_xlfn.AGGREGATE(15,6,IF(BD[CLASIFICACIÓN]=$B$2,ROW(BD[CLASIFICACIÓN])-ROW('PT2 (FILTRAR)'!$E$5)+1,NA()),ROWS($B$5:E251)),COLUMNS($B$5:E251)),"")</f>
        <v/>
      </c>
    </row>
    <row r="252" spans="2:5" x14ac:dyDescent="0.3">
      <c r="B252" s="126" t="str">
        <f t="array" ref="B252">IFERROR(INDEX(BD[],_xlfn.AGGREGATE(15,6,IF(BD[CLASIFICACIÓN]=$B$2,ROW(BD[CLASIFICACIÓN])-ROW('PT2 (FILTRAR)'!$E$5)+1,NA()),ROWS($B$5:B252)),COLUMNS($B$5:B252)),"")</f>
        <v/>
      </c>
      <c r="C252" s="127" t="str">
        <f t="array" ref="C252">IFERROR(INDEX(BD[],_xlfn.AGGREGATE(15,6,IF(BD[CLASIFICACIÓN]=$B$2,ROW(BD[CLASIFICACIÓN])-ROW('PT2 (FILTRAR)'!$E$5)+1,NA()),ROWS($B$5:C252)),COLUMNS($B$5:C252)),"")</f>
        <v/>
      </c>
      <c r="D252" s="142" t="str">
        <f t="array" ref="D252">IFERROR(INDEX(BD[],_xlfn.AGGREGATE(15,6,IF(BD[CLASIFICACIÓN]=$B$2,ROW(BD[CLASIFICACIÓN])-ROW('PT2 (FILTRAR)'!$E$5)+1,NA()),ROWS($B$5:D252)),COLUMNS($B$5:D252)),"")</f>
        <v/>
      </c>
      <c r="E252" s="126" t="str">
        <f t="array" ref="E252">IFERROR(INDEX(BD[],_xlfn.AGGREGATE(15,6,IF(BD[CLASIFICACIÓN]=$B$2,ROW(BD[CLASIFICACIÓN])-ROW('PT2 (FILTRAR)'!$E$5)+1,NA()),ROWS($B$5:E252)),COLUMNS($B$5:E252)),"")</f>
        <v/>
      </c>
    </row>
    <row r="253" spans="2:5" x14ac:dyDescent="0.3">
      <c r="B253" s="126" t="str">
        <f t="array" ref="B253">IFERROR(INDEX(BD[],_xlfn.AGGREGATE(15,6,IF(BD[CLASIFICACIÓN]=$B$2,ROW(BD[CLASIFICACIÓN])-ROW('PT2 (FILTRAR)'!$E$5)+1,NA()),ROWS($B$5:B253)),COLUMNS($B$5:B253)),"")</f>
        <v/>
      </c>
      <c r="C253" s="127" t="str">
        <f t="array" ref="C253">IFERROR(INDEX(BD[],_xlfn.AGGREGATE(15,6,IF(BD[CLASIFICACIÓN]=$B$2,ROW(BD[CLASIFICACIÓN])-ROW('PT2 (FILTRAR)'!$E$5)+1,NA()),ROWS($B$5:C253)),COLUMNS($B$5:C253)),"")</f>
        <v/>
      </c>
      <c r="D253" s="142" t="str">
        <f t="array" ref="D253">IFERROR(INDEX(BD[],_xlfn.AGGREGATE(15,6,IF(BD[CLASIFICACIÓN]=$B$2,ROW(BD[CLASIFICACIÓN])-ROW('PT2 (FILTRAR)'!$E$5)+1,NA()),ROWS($B$5:D253)),COLUMNS($B$5:D253)),"")</f>
        <v/>
      </c>
      <c r="E253" s="126" t="str">
        <f t="array" ref="E253">IFERROR(INDEX(BD[],_xlfn.AGGREGATE(15,6,IF(BD[CLASIFICACIÓN]=$B$2,ROW(BD[CLASIFICACIÓN])-ROW('PT2 (FILTRAR)'!$E$5)+1,NA()),ROWS($B$5:E253)),COLUMNS($B$5:E253)),"")</f>
        <v/>
      </c>
    </row>
    <row r="254" spans="2:5" x14ac:dyDescent="0.3">
      <c r="B254" s="126" t="str">
        <f t="array" ref="B254">IFERROR(INDEX(BD[],_xlfn.AGGREGATE(15,6,IF(BD[CLASIFICACIÓN]=$B$2,ROW(BD[CLASIFICACIÓN])-ROW('PT2 (FILTRAR)'!$E$5)+1,NA()),ROWS($B$5:B254)),COLUMNS($B$5:B254)),"")</f>
        <v/>
      </c>
      <c r="C254" s="127" t="str">
        <f t="array" ref="C254">IFERROR(INDEX(BD[],_xlfn.AGGREGATE(15,6,IF(BD[CLASIFICACIÓN]=$B$2,ROW(BD[CLASIFICACIÓN])-ROW('PT2 (FILTRAR)'!$E$5)+1,NA()),ROWS($B$5:C254)),COLUMNS($B$5:C254)),"")</f>
        <v/>
      </c>
      <c r="D254" s="142" t="str">
        <f t="array" ref="D254">IFERROR(INDEX(BD[],_xlfn.AGGREGATE(15,6,IF(BD[CLASIFICACIÓN]=$B$2,ROW(BD[CLASIFICACIÓN])-ROW('PT2 (FILTRAR)'!$E$5)+1,NA()),ROWS($B$5:D254)),COLUMNS($B$5:D254)),"")</f>
        <v/>
      </c>
      <c r="E254" s="126" t="str">
        <f t="array" ref="E254">IFERROR(INDEX(BD[],_xlfn.AGGREGATE(15,6,IF(BD[CLASIFICACIÓN]=$B$2,ROW(BD[CLASIFICACIÓN])-ROW('PT2 (FILTRAR)'!$E$5)+1,NA()),ROWS($B$5:E254)),COLUMNS($B$5:E254)),"")</f>
        <v/>
      </c>
    </row>
    <row r="255" spans="2:5" x14ac:dyDescent="0.3">
      <c r="B255" s="126" t="str">
        <f t="array" ref="B255">IFERROR(INDEX(BD[],_xlfn.AGGREGATE(15,6,IF(BD[CLASIFICACIÓN]=$B$2,ROW(BD[CLASIFICACIÓN])-ROW('PT2 (FILTRAR)'!$E$5)+1,NA()),ROWS($B$5:B255)),COLUMNS($B$5:B255)),"")</f>
        <v/>
      </c>
      <c r="C255" s="127" t="str">
        <f t="array" ref="C255">IFERROR(INDEX(BD[],_xlfn.AGGREGATE(15,6,IF(BD[CLASIFICACIÓN]=$B$2,ROW(BD[CLASIFICACIÓN])-ROW('PT2 (FILTRAR)'!$E$5)+1,NA()),ROWS($B$5:C255)),COLUMNS($B$5:C255)),"")</f>
        <v/>
      </c>
      <c r="D255" s="142" t="str">
        <f t="array" ref="D255">IFERROR(INDEX(BD[],_xlfn.AGGREGATE(15,6,IF(BD[CLASIFICACIÓN]=$B$2,ROW(BD[CLASIFICACIÓN])-ROW('PT2 (FILTRAR)'!$E$5)+1,NA()),ROWS($B$5:D255)),COLUMNS($B$5:D255)),"")</f>
        <v/>
      </c>
      <c r="E255" s="126" t="str">
        <f t="array" ref="E255">IFERROR(INDEX(BD[],_xlfn.AGGREGATE(15,6,IF(BD[CLASIFICACIÓN]=$B$2,ROW(BD[CLASIFICACIÓN])-ROW('PT2 (FILTRAR)'!$E$5)+1,NA()),ROWS($B$5:E255)),COLUMNS($B$5:E255)),"")</f>
        <v/>
      </c>
    </row>
    <row r="256" spans="2:5" x14ac:dyDescent="0.3">
      <c r="B256" s="126" t="str">
        <f t="array" ref="B256">IFERROR(INDEX(BD[],_xlfn.AGGREGATE(15,6,IF(BD[CLASIFICACIÓN]=$B$2,ROW(BD[CLASIFICACIÓN])-ROW('PT2 (FILTRAR)'!$E$5)+1,NA()),ROWS($B$5:B256)),COLUMNS($B$5:B256)),"")</f>
        <v/>
      </c>
      <c r="C256" s="127" t="str">
        <f t="array" ref="C256">IFERROR(INDEX(BD[],_xlfn.AGGREGATE(15,6,IF(BD[CLASIFICACIÓN]=$B$2,ROW(BD[CLASIFICACIÓN])-ROW('PT2 (FILTRAR)'!$E$5)+1,NA()),ROWS($B$5:C256)),COLUMNS($B$5:C256)),"")</f>
        <v/>
      </c>
      <c r="D256" s="142" t="str">
        <f t="array" ref="D256">IFERROR(INDEX(BD[],_xlfn.AGGREGATE(15,6,IF(BD[CLASIFICACIÓN]=$B$2,ROW(BD[CLASIFICACIÓN])-ROW('PT2 (FILTRAR)'!$E$5)+1,NA()),ROWS($B$5:D256)),COLUMNS($B$5:D256)),"")</f>
        <v/>
      </c>
      <c r="E256" s="126" t="str">
        <f t="array" ref="E256">IFERROR(INDEX(BD[],_xlfn.AGGREGATE(15,6,IF(BD[CLASIFICACIÓN]=$B$2,ROW(BD[CLASIFICACIÓN])-ROW('PT2 (FILTRAR)'!$E$5)+1,NA()),ROWS($B$5:E256)),COLUMNS($B$5:E256)),"")</f>
        <v/>
      </c>
    </row>
    <row r="257" spans="2:5" x14ac:dyDescent="0.3">
      <c r="B257" s="126" t="str">
        <f t="array" ref="B257">IFERROR(INDEX(BD[],_xlfn.AGGREGATE(15,6,IF(BD[CLASIFICACIÓN]=$B$2,ROW(BD[CLASIFICACIÓN])-ROW('PT2 (FILTRAR)'!$E$5)+1,NA()),ROWS($B$5:B257)),COLUMNS($B$5:B257)),"")</f>
        <v/>
      </c>
      <c r="C257" s="127" t="str">
        <f t="array" ref="C257">IFERROR(INDEX(BD[],_xlfn.AGGREGATE(15,6,IF(BD[CLASIFICACIÓN]=$B$2,ROW(BD[CLASIFICACIÓN])-ROW('PT2 (FILTRAR)'!$E$5)+1,NA()),ROWS($B$5:C257)),COLUMNS($B$5:C257)),"")</f>
        <v/>
      </c>
      <c r="D257" s="142" t="str">
        <f t="array" ref="D257">IFERROR(INDEX(BD[],_xlfn.AGGREGATE(15,6,IF(BD[CLASIFICACIÓN]=$B$2,ROW(BD[CLASIFICACIÓN])-ROW('PT2 (FILTRAR)'!$E$5)+1,NA()),ROWS($B$5:D257)),COLUMNS($B$5:D257)),"")</f>
        <v/>
      </c>
      <c r="E257" s="126" t="str">
        <f t="array" ref="E257">IFERROR(INDEX(BD[],_xlfn.AGGREGATE(15,6,IF(BD[CLASIFICACIÓN]=$B$2,ROW(BD[CLASIFICACIÓN])-ROW('PT2 (FILTRAR)'!$E$5)+1,NA()),ROWS($B$5:E257)),COLUMNS($B$5:E257)),"")</f>
        <v/>
      </c>
    </row>
    <row r="258" spans="2:5" x14ac:dyDescent="0.3">
      <c r="B258" s="126" t="str">
        <f t="array" ref="B258">IFERROR(INDEX(BD[],_xlfn.AGGREGATE(15,6,IF(BD[CLASIFICACIÓN]=$B$2,ROW(BD[CLASIFICACIÓN])-ROW('PT2 (FILTRAR)'!$E$5)+1,NA()),ROWS($B$5:B258)),COLUMNS($B$5:B258)),"")</f>
        <v/>
      </c>
      <c r="C258" s="127" t="str">
        <f t="array" ref="C258">IFERROR(INDEX(BD[],_xlfn.AGGREGATE(15,6,IF(BD[CLASIFICACIÓN]=$B$2,ROW(BD[CLASIFICACIÓN])-ROW('PT2 (FILTRAR)'!$E$5)+1,NA()),ROWS($B$5:C258)),COLUMNS($B$5:C258)),"")</f>
        <v/>
      </c>
      <c r="D258" s="142" t="str">
        <f t="array" ref="D258">IFERROR(INDEX(BD[],_xlfn.AGGREGATE(15,6,IF(BD[CLASIFICACIÓN]=$B$2,ROW(BD[CLASIFICACIÓN])-ROW('PT2 (FILTRAR)'!$E$5)+1,NA()),ROWS($B$5:D258)),COLUMNS($B$5:D258)),"")</f>
        <v/>
      </c>
      <c r="E258" s="126" t="str">
        <f t="array" ref="E258">IFERROR(INDEX(BD[],_xlfn.AGGREGATE(15,6,IF(BD[CLASIFICACIÓN]=$B$2,ROW(BD[CLASIFICACIÓN])-ROW('PT2 (FILTRAR)'!$E$5)+1,NA()),ROWS($B$5:E258)),COLUMNS($B$5:E258)),"")</f>
        <v/>
      </c>
    </row>
    <row r="259" spans="2:5" x14ac:dyDescent="0.3">
      <c r="B259" s="126" t="str">
        <f t="array" ref="B259">IFERROR(INDEX(BD[],_xlfn.AGGREGATE(15,6,IF(BD[CLASIFICACIÓN]=$B$2,ROW(BD[CLASIFICACIÓN])-ROW('PT2 (FILTRAR)'!$E$5)+1,NA()),ROWS($B$5:B259)),COLUMNS($B$5:B259)),"")</f>
        <v/>
      </c>
      <c r="C259" s="127" t="str">
        <f t="array" ref="C259">IFERROR(INDEX(BD[],_xlfn.AGGREGATE(15,6,IF(BD[CLASIFICACIÓN]=$B$2,ROW(BD[CLASIFICACIÓN])-ROW('PT2 (FILTRAR)'!$E$5)+1,NA()),ROWS($B$5:C259)),COLUMNS($B$5:C259)),"")</f>
        <v/>
      </c>
      <c r="D259" s="142" t="str">
        <f t="array" ref="D259">IFERROR(INDEX(BD[],_xlfn.AGGREGATE(15,6,IF(BD[CLASIFICACIÓN]=$B$2,ROW(BD[CLASIFICACIÓN])-ROW('PT2 (FILTRAR)'!$E$5)+1,NA()),ROWS($B$5:D259)),COLUMNS($B$5:D259)),"")</f>
        <v/>
      </c>
      <c r="E259" s="126" t="str">
        <f t="array" ref="E259">IFERROR(INDEX(BD[],_xlfn.AGGREGATE(15,6,IF(BD[CLASIFICACIÓN]=$B$2,ROW(BD[CLASIFICACIÓN])-ROW('PT2 (FILTRAR)'!$E$5)+1,NA()),ROWS($B$5:E259)),COLUMNS($B$5:E259)),"")</f>
        <v/>
      </c>
    </row>
    <row r="260" spans="2:5" x14ac:dyDescent="0.3">
      <c r="B260" s="126" t="str">
        <f t="array" ref="B260">IFERROR(INDEX(BD[],_xlfn.AGGREGATE(15,6,IF(BD[CLASIFICACIÓN]=$B$2,ROW(BD[CLASIFICACIÓN])-ROW('PT2 (FILTRAR)'!$E$5)+1,NA()),ROWS($B$5:B260)),COLUMNS($B$5:B260)),"")</f>
        <v/>
      </c>
      <c r="C260" s="127" t="str">
        <f t="array" ref="C260">IFERROR(INDEX(BD[],_xlfn.AGGREGATE(15,6,IF(BD[CLASIFICACIÓN]=$B$2,ROW(BD[CLASIFICACIÓN])-ROW('PT2 (FILTRAR)'!$E$5)+1,NA()),ROWS($B$5:C260)),COLUMNS($B$5:C260)),"")</f>
        <v/>
      </c>
      <c r="D260" s="142" t="str">
        <f t="array" ref="D260">IFERROR(INDEX(BD[],_xlfn.AGGREGATE(15,6,IF(BD[CLASIFICACIÓN]=$B$2,ROW(BD[CLASIFICACIÓN])-ROW('PT2 (FILTRAR)'!$E$5)+1,NA()),ROWS($B$5:D260)),COLUMNS($B$5:D260)),"")</f>
        <v/>
      </c>
      <c r="E260" s="126" t="str">
        <f t="array" ref="E260">IFERROR(INDEX(BD[],_xlfn.AGGREGATE(15,6,IF(BD[CLASIFICACIÓN]=$B$2,ROW(BD[CLASIFICACIÓN])-ROW('PT2 (FILTRAR)'!$E$5)+1,NA()),ROWS($B$5:E260)),COLUMNS($B$5:E260)),"")</f>
        <v/>
      </c>
    </row>
    <row r="261" spans="2:5" x14ac:dyDescent="0.3">
      <c r="B261" s="126" t="str">
        <f t="array" ref="B261">IFERROR(INDEX(BD[],_xlfn.AGGREGATE(15,6,IF(BD[CLASIFICACIÓN]=$B$2,ROW(BD[CLASIFICACIÓN])-ROW('PT2 (FILTRAR)'!$E$5)+1,NA()),ROWS($B$5:B261)),COLUMNS($B$5:B261)),"")</f>
        <v/>
      </c>
      <c r="C261" s="127" t="str">
        <f t="array" ref="C261">IFERROR(INDEX(BD[],_xlfn.AGGREGATE(15,6,IF(BD[CLASIFICACIÓN]=$B$2,ROW(BD[CLASIFICACIÓN])-ROW('PT2 (FILTRAR)'!$E$5)+1,NA()),ROWS($B$5:C261)),COLUMNS($B$5:C261)),"")</f>
        <v/>
      </c>
      <c r="D261" s="142" t="str">
        <f t="array" ref="D261">IFERROR(INDEX(BD[],_xlfn.AGGREGATE(15,6,IF(BD[CLASIFICACIÓN]=$B$2,ROW(BD[CLASIFICACIÓN])-ROW('PT2 (FILTRAR)'!$E$5)+1,NA()),ROWS($B$5:D261)),COLUMNS($B$5:D261)),"")</f>
        <v/>
      </c>
      <c r="E261" s="126" t="str">
        <f t="array" ref="E261">IFERROR(INDEX(BD[],_xlfn.AGGREGATE(15,6,IF(BD[CLASIFICACIÓN]=$B$2,ROW(BD[CLASIFICACIÓN])-ROW('PT2 (FILTRAR)'!$E$5)+1,NA()),ROWS($B$5:E261)),COLUMNS($B$5:E261)),"")</f>
        <v/>
      </c>
    </row>
    <row r="262" spans="2:5" x14ac:dyDescent="0.3">
      <c r="B262" s="126" t="str">
        <f t="array" ref="B262">IFERROR(INDEX(BD[],_xlfn.AGGREGATE(15,6,IF(BD[CLASIFICACIÓN]=$B$2,ROW(BD[CLASIFICACIÓN])-ROW('PT2 (FILTRAR)'!$E$5)+1,NA()),ROWS($B$5:B262)),COLUMNS($B$5:B262)),"")</f>
        <v/>
      </c>
      <c r="C262" s="127" t="str">
        <f t="array" ref="C262">IFERROR(INDEX(BD[],_xlfn.AGGREGATE(15,6,IF(BD[CLASIFICACIÓN]=$B$2,ROW(BD[CLASIFICACIÓN])-ROW('PT2 (FILTRAR)'!$E$5)+1,NA()),ROWS($B$5:C262)),COLUMNS($B$5:C262)),"")</f>
        <v/>
      </c>
      <c r="D262" s="142" t="str">
        <f t="array" ref="D262">IFERROR(INDEX(BD[],_xlfn.AGGREGATE(15,6,IF(BD[CLASIFICACIÓN]=$B$2,ROW(BD[CLASIFICACIÓN])-ROW('PT2 (FILTRAR)'!$E$5)+1,NA()),ROWS($B$5:D262)),COLUMNS($B$5:D262)),"")</f>
        <v/>
      </c>
      <c r="E262" s="126" t="str">
        <f t="array" ref="E262">IFERROR(INDEX(BD[],_xlfn.AGGREGATE(15,6,IF(BD[CLASIFICACIÓN]=$B$2,ROW(BD[CLASIFICACIÓN])-ROW('PT2 (FILTRAR)'!$E$5)+1,NA()),ROWS($B$5:E262)),COLUMNS($B$5:E262)),"")</f>
        <v/>
      </c>
    </row>
    <row r="263" spans="2:5" x14ac:dyDescent="0.3">
      <c r="B263" s="126" t="str">
        <f t="array" ref="B263">IFERROR(INDEX(BD[],_xlfn.AGGREGATE(15,6,IF(BD[CLASIFICACIÓN]=$B$2,ROW(BD[CLASIFICACIÓN])-ROW('PT2 (FILTRAR)'!$E$5)+1,NA()),ROWS($B$5:B263)),COLUMNS($B$5:B263)),"")</f>
        <v/>
      </c>
      <c r="C263" s="127" t="str">
        <f t="array" ref="C263">IFERROR(INDEX(BD[],_xlfn.AGGREGATE(15,6,IF(BD[CLASIFICACIÓN]=$B$2,ROW(BD[CLASIFICACIÓN])-ROW('PT2 (FILTRAR)'!$E$5)+1,NA()),ROWS($B$5:C263)),COLUMNS($B$5:C263)),"")</f>
        <v/>
      </c>
      <c r="D263" s="142" t="str">
        <f t="array" ref="D263">IFERROR(INDEX(BD[],_xlfn.AGGREGATE(15,6,IF(BD[CLASIFICACIÓN]=$B$2,ROW(BD[CLASIFICACIÓN])-ROW('PT2 (FILTRAR)'!$E$5)+1,NA()),ROWS($B$5:D263)),COLUMNS($B$5:D263)),"")</f>
        <v/>
      </c>
      <c r="E263" s="126" t="str">
        <f t="array" ref="E263">IFERROR(INDEX(BD[],_xlfn.AGGREGATE(15,6,IF(BD[CLASIFICACIÓN]=$B$2,ROW(BD[CLASIFICACIÓN])-ROW('PT2 (FILTRAR)'!$E$5)+1,NA()),ROWS($B$5:E263)),COLUMNS($B$5:E263)),"")</f>
        <v/>
      </c>
    </row>
    <row r="264" spans="2:5" x14ac:dyDescent="0.3">
      <c r="B264" s="126" t="str">
        <f t="array" ref="B264">IFERROR(INDEX(BD[],_xlfn.AGGREGATE(15,6,IF(BD[CLASIFICACIÓN]=$B$2,ROW(BD[CLASIFICACIÓN])-ROW('PT2 (FILTRAR)'!$E$5)+1,NA()),ROWS($B$5:B264)),COLUMNS($B$5:B264)),"")</f>
        <v/>
      </c>
      <c r="C264" s="127" t="str">
        <f t="array" ref="C264">IFERROR(INDEX(BD[],_xlfn.AGGREGATE(15,6,IF(BD[CLASIFICACIÓN]=$B$2,ROW(BD[CLASIFICACIÓN])-ROW('PT2 (FILTRAR)'!$E$5)+1,NA()),ROWS($B$5:C264)),COLUMNS($B$5:C264)),"")</f>
        <v/>
      </c>
      <c r="D264" s="142" t="str">
        <f t="array" ref="D264">IFERROR(INDEX(BD[],_xlfn.AGGREGATE(15,6,IF(BD[CLASIFICACIÓN]=$B$2,ROW(BD[CLASIFICACIÓN])-ROW('PT2 (FILTRAR)'!$E$5)+1,NA()),ROWS($B$5:D264)),COLUMNS($B$5:D264)),"")</f>
        <v/>
      </c>
      <c r="E264" s="126" t="str">
        <f t="array" ref="E264">IFERROR(INDEX(BD[],_xlfn.AGGREGATE(15,6,IF(BD[CLASIFICACIÓN]=$B$2,ROW(BD[CLASIFICACIÓN])-ROW('PT2 (FILTRAR)'!$E$5)+1,NA()),ROWS($B$5:E264)),COLUMNS($B$5:E264)),"")</f>
        <v/>
      </c>
    </row>
    <row r="265" spans="2:5" x14ac:dyDescent="0.3">
      <c r="B265" s="126" t="str">
        <f t="array" ref="B265">IFERROR(INDEX(BD[],_xlfn.AGGREGATE(15,6,IF(BD[CLASIFICACIÓN]=$B$2,ROW(BD[CLASIFICACIÓN])-ROW('PT2 (FILTRAR)'!$E$5)+1,NA()),ROWS($B$5:B265)),COLUMNS($B$5:B265)),"")</f>
        <v/>
      </c>
      <c r="C265" s="127" t="str">
        <f t="array" ref="C265">IFERROR(INDEX(BD[],_xlfn.AGGREGATE(15,6,IF(BD[CLASIFICACIÓN]=$B$2,ROW(BD[CLASIFICACIÓN])-ROW('PT2 (FILTRAR)'!$E$5)+1,NA()),ROWS($B$5:C265)),COLUMNS($B$5:C265)),"")</f>
        <v/>
      </c>
      <c r="D265" s="142" t="str">
        <f t="array" ref="D265">IFERROR(INDEX(BD[],_xlfn.AGGREGATE(15,6,IF(BD[CLASIFICACIÓN]=$B$2,ROW(BD[CLASIFICACIÓN])-ROW('PT2 (FILTRAR)'!$E$5)+1,NA()),ROWS($B$5:D265)),COLUMNS($B$5:D265)),"")</f>
        <v/>
      </c>
      <c r="E265" s="126" t="str">
        <f t="array" ref="E265">IFERROR(INDEX(BD[],_xlfn.AGGREGATE(15,6,IF(BD[CLASIFICACIÓN]=$B$2,ROW(BD[CLASIFICACIÓN])-ROW('PT2 (FILTRAR)'!$E$5)+1,NA()),ROWS($B$5:E265)),COLUMNS($B$5:E265)),"")</f>
        <v/>
      </c>
    </row>
    <row r="266" spans="2:5" x14ac:dyDescent="0.3">
      <c r="B266" s="126" t="str">
        <f t="array" ref="B266">IFERROR(INDEX(BD[],_xlfn.AGGREGATE(15,6,IF(BD[CLASIFICACIÓN]=$B$2,ROW(BD[CLASIFICACIÓN])-ROW('PT2 (FILTRAR)'!$E$5)+1,NA()),ROWS($B$5:B266)),COLUMNS($B$5:B266)),"")</f>
        <v/>
      </c>
      <c r="C266" s="127" t="str">
        <f t="array" ref="C266">IFERROR(INDEX(BD[],_xlfn.AGGREGATE(15,6,IF(BD[CLASIFICACIÓN]=$B$2,ROW(BD[CLASIFICACIÓN])-ROW('PT2 (FILTRAR)'!$E$5)+1,NA()),ROWS($B$5:C266)),COLUMNS($B$5:C266)),"")</f>
        <v/>
      </c>
      <c r="D266" s="142" t="str">
        <f t="array" ref="D266">IFERROR(INDEX(BD[],_xlfn.AGGREGATE(15,6,IF(BD[CLASIFICACIÓN]=$B$2,ROW(BD[CLASIFICACIÓN])-ROW('PT2 (FILTRAR)'!$E$5)+1,NA()),ROWS($B$5:D266)),COLUMNS($B$5:D266)),"")</f>
        <v/>
      </c>
      <c r="E266" s="126" t="str">
        <f t="array" ref="E266">IFERROR(INDEX(BD[],_xlfn.AGGREGATE(15,6,IF(BD[CLASIFICACIÓN]=$B$2,ROW(BD[CLASIFICACIÓN])-ROW('PT2 (FILTRAR)'!$E$5)+1,NA()),ROWS($B$5:E266)),COLUMNS($B$5:E266)),"")</f>
        <v/>
      </c>
    </row>
    <row r="267" spans="2:5" x14ac:dyDescent="0.3">
      <c r="B267" s="126" t="str">
        <f t="array" ref="B267">IFERROR(INDEX(BD[],_xlfn.AGGREGATE(15,6,IF(BD[CLASIFICACIÓN]=$B$2,ROW(BD[CLASIFICACIÓN])-ROW('PT2 (FILTRAR)'!$E$5)+1,NA()),ROWS($B$5:B267)),COLUMNS($B$5:B267)),"")</f>
        <v/>
      </c>
      <c r="C267" s="127" t="str">
        <f t="array" ref="C267">IFERROR(INDEX(BD[],_xlfn.AGGREGATE(15,6,IF(BD[CLASIFICACIÓN]=$B$2,ROW(BD[CLASIFICACIÓN])-ROW('PT2 (FILTRAR)'!$E$5)+1,NA()),ROWS($B$5:C267)),COLUMNS($B$5:C267)),"")</f>
        <v/>
      </c>
      <c r="D267" s="142" t="str">
        <f t="array" ref="D267">IFERROR(INDEX(BD[],_xlfn.AGGREGATE(15,6,IF(BD[CLASIFICACIÓN]=$B$2,ROW(BD[CLASIFICACIÓN])-ROW('PT2 (FILTRAR)'!$E$5)+1,NA()),ROWS($B$5:D267)),COLUMNS($B$5:D267)),"")</f>
        <v/>
      </c>
      <c r="E267" s="126" t="str">
        <f t="array" ref="E267">IFERROR(INDEX(BD[],_xlfn.AGGREGATE(15,6,IF(BD[CLASIFICACIÓN]=$B$2,ROW(BD[CLASIFICACIÓN])-ROW('PT2 (FILTRAR)'!$E$5)+1,NA()),ROWS($B$5:E267)),COLUMNS($B$5:E267)),"")</f>
        <v/>
      </c>
    </row>
    <row r="268" spans="2:5" x14ac:dyDescent="0.3">
      <c r="B268" s="126" t="str">
        <f t="array" ref="B268">IFERROR(INDEX(BD[],_xlfn.AGGREGATE(15,6,IF(BD[CLASIFICACIÓN]=$B$2,ROW(BD[CLASIFICACIÓN])-ROW('PT2 (FILTRAR)'!$E$5)+1,NA()),ROWS($B$5:B268)),COLUMNS($B$5:B268)),"")</f>
        <v/>
      </c>
      <c r="C268" s="127" t="str">
        <f t="array" ref="C268">IFERROR(INDEX(BD[],_xlfn.AGGREGATE(15,6,IF(BD[CLASIFICACIÓN]=$B$2,ROW(BD[CLASIFICACIÓN])-ROW('PT2 (FILTRAR)'!$E$5)+1,NA()),ROWS($B$5:C268)),COLUMNS($B$5:C268)),"")</f>
        <v/>
      </c>
      <c r="D268" s="142" t="str">
        <f t="array" ref="D268">IFERROR(INDEX(BD[],_xlfn.AGGREGATE(15,6,IF(BD[CLASIFICACIÓN]=$B$2,ROW(BD[CLASIFICACIÓN])-ROW('PT2 (FILTRAR)'!$E$5)+1,NA()),ROWS($B$5:D268)),COLUMNS($B$5:D268)),"")</f>
        <v/>
      </c>
      <c r="E268" s="126" t="str">
        <f t="array" ref="E268">IFERROR(INDEX(BD[],_xlfn.AGGREGATE(15,6,IF(BD[CLASIFICACIÓN]=$B$2,ROW(BD[CLASIFICACIÓN])-ROW('PT2 (FILTRAR)'!$E$5)+1,NA()),ROWS($B$5:E268)),COLUMNS($B$5:E268)),"")</f>
        <v/>
      </c>
    </row>
    <row r="269" spans="2:5" x14ac:dyDescent="0.3">
      <c r="B269" s="126" t="str">
        <f t="array" ref="B269">IFERROR(INDEX(BD[],_xlfn.AGGREGATE(15,6,IF(BD[CLASIFICACIÓN]=$B$2,ROW(BD[CLASIFICACIÓN])-ROW('PT2 (FILTRAR)'!$E$5)+1,NA()),ROWS($B$5:B269)),COLUMNS($B$5:B269)),"")</f>
        <v/>
      </c>
      <c r="C269" s="127" t="str">
        <f t="array" ref="C269">IFERROR(INDEX(BD[],_xlfn.AGGREGATE(15,6,IF(BD[CLASIFICACIÓN]=$B$2,ROW(BD[CLASIFICACIÓN])-ROW('PT2 (FILTRAR)'!$E$5)+1,NA()),ROWS($B$5:C269)),COLUMNS($B$5:C269)),"")</f>
        <v/>
      </c>
      <c r="D269" s="142" t="str">
        <f t="array" ref="D269">IFERROR(INDEX(BD[],_xlfn.AGGREGATE(15,6,IF(BD[CLASIFICACIÓN]=$B$2,ROW(BD[CLASIFICACIÓN])-ROW('PT2 (FILTRAR)'!$E$5)+1,NA()),ROWS($B$5:D269)),COLUMNS($B$5:D269)),"")</f>
        <v/>
      </c>
      <c r="E269" s="126" t="str">
        <f t="array" ref="E269">IFERROR(INDEX(BD[],_xlfn.AGGREGATE(15,6,IF(BD[CLASIFICACIÓN]=$B$2,ROW(BD[CLASIFICACIÓN])-ROW('PT2 (FILTRAR)'!$E$5)+1,NA()),ROWS($B$5:E269)),COLUMNS($B$5:E269)),"")</f>
        <v/>
      </c>
    </row>
    <row r="270" spans="2:5" x14ac:dyDescent="0.3">
      <c r="B270" s="126" t="str">
        <f t="array" ref="B270">IFERROR(INDEX(BD[],_xlfn.AGGREGATE(15,6,IF(BD[CLASIFICACIÓN]=$B$2,ROW(BD[CLASIFICACIÓN])-ROW('PT2 (FILTRAR)'!$E$5)+1,NA()),ROWS($B$5:B270)),COLUMNS($B$5:B270)),"")</f>
        <v/>
      </c>
      <c r="C270" s="127" t="str">
        <f t="array" ref="C270">IFERROR(INDEX(BD[],_xlfn.AGGREGATE(15,6,IF(BD[CLASIFICACIÓN]=$B$2,ROW(BD[CLASIFICACIÓN])-ROW('PT2 (FILTRAR)'!$E$5)+1,NA()),ROWS($B$5:C270)),COLUMNS($B$5:C270)),"")</f>
        <v/>
      </c>
      <c r="D270" s="142" t="str">
        <f t="array" ref="D270">IFERROR(INDEX(BD[],_xlfn.AGGREGATE(15,6,IF(BD[CLASIFICACIÓN]=$B$2,ROW(BD[CLASIFICACIÓN])-ROW('PT2 (FILTRAR)'!$E$5)+1,NA()),ROWS($B$5:D270)),COLUMNS($B$5:D270)),"")</f>
        <v/>
      </c>
      <c r="E270" s="126" t="str">
        <f t="array" ref="E270">IFERROR(INDEX(BD[],_xlfn.AGGREGATE(15,6,IF(BD[CLASIFICACIÓN]=$B$2,ROW(BD[CLASIFICACIÓN])-ROW('PT2 (FILTRAR)'!$E$5)+1,NA()),ROWS($B$5:E270)),COLUMNS($B$5:E270)),"")</f>
        <v/>
      </c>
    </row>
    <row r="271" spans="2:5" x14ac:dyDescent="0.3">
      <c r="B271" s="126" t="str">
        <f t="array" ref="B271">IFERROR(INDEX(BD[],_xlfn.AGGREGATE(15,6,IF(BD[CLASIFICACIÓN]=$B$2,ROW(BD[CLASIFICACIÓN])-ROW('PT2 (FILTRAR)'!$E$5)+1,NA()),ROWS($B$5:B271)),COLUMNS($B$5:B271)),"")</f>
        <v/>
      </c>
      <c r="C271" s="127" t="str">
        <f t="array" ref="C271">IFERROR(INDEX(BD[],_xlfn.AGGREGATE(15,6,IF(BD[CLASIFICACIÓN]=$B$2,ROW(BD[CLASIFICACIÓN])-ROW('PT2 (FILTRAR)'!$E$5)+1,NA()),ROWS($B$5:C271)),COLUMNS($B$5:C271)),"")</f>
        <v/>
      </c>
      <c r="D271" s="142" t="str">
        <f t="array" ref="D271">IFERROR(INDEX(BD[],_xlfn.AGGREGATE(15,6,IF(BD[CLASIFICACIÓN]=$B$2,ROW(BD[CLASIFICACIÓN])-ROW('PT2 (FILTRAR)'!$E$5)+1,NA()),ROWS($B$5:D271)),COLUMNS($B$5:D271)),"")</f>
        <v/>
      </c>
      <c r="E271" s="126" t="str">
        <f t="array" ref="E271">IFERROR(INDEX(BD[],_xlfn.AGGREGATE(15,6,IF(BD[CLASIFICACIÓN]=$B$2,ROW(BD[CLASIFICACIÓN])-ROW('PT2 (FILTRAR)'!$E$5)+1,NA()),ROWS($B$5:E271)),COLUMNS($B$5:E271)),"")</f>
        <v/>
      </c>
    </row>
    <row r="272" spans="2:5" ht="18" x14ac:dyDescent="0.35">
      <c r="B272" s="144" t="s">
        <v>14</v>
      </c>
      <c r="C272" s="144" t="str">
        <f>+B2</f>
        <v>MOROSOS</v>
      </c>
      <c r="D272" s="125">
        <f>SUM(D5:D271)</f>
        <v>203314</v>
      </c>
    </row>
  </sheetData>
  <mergeCells count="1">
    <mergeCell ref="B2:E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2E537-8B60-430B-8FFD-6E5372A1C0B9}">
  <sheetPr codeName="Hoja5"/>
  <dimension ref="B1:E272"/>
  <sheetViews>
    <sheetView workbookViewId="0">
      <selection activeCell="E17" sqref="E17"/>
    </sheetView>
  </sheetViews>
  <sheetFormatPr baseColWidth="10" defaultColWidth="11.5546875" defaultRowHeight="14.4" x14ac:dyDescent="0.3"/>
  <cols>
    <col min="1" max="1" width="11.5546875" style="105"/>
    <col min="2" max="2" width="27.6640625" style="103" bestFit="1" customWidth="1"/>
    <col min="3" max="3" width="49.6640625" style="105" customWidth="1"/>
    <col min="4" max="4" width="19.6640625" style="105" customWidth="1"/>
    <col min="5" max="5" width="23.6640625" style="103" customWidth="1"/>
    <col min="6" max="16384" width="11.5546875" style="105"/>
  </cols>
  <sheetData>
    <row r="1" spans="2:5" x14ac:dyDescent="0.3">
      <c r="C1" s="139"/>
      <c r="D1" s="103"/>
    </row>
    <row r="2" spans="2:5" ht="22.95" customHeight="1" x14ac:dyDescent="0.45">
      <c r="B2" s="164" t="s">
        <v>12</v>
      </c>
      <c r="C2" s="164"/>
      <c r="D2" s="164"/>
      <c r="E2" s="164"/>
    </row>
    <row r="4" spans="2:5" s="116" customFormat="1" ht="28.95" customHeight="1" x14ac:dyDescent="0.3">
      <c r="B4" s="149" t="s">
        <v>1</v>
      </c>
      <c r="C4" s="149" t="s">
        <v>0</v>
      </c>
      <c r="D4" s="149" t="str">
        <f>[1]!'@PERIODO[A]'</f>
        <v>Abril/2026</v>
      </c>
      <c r="E4" s="149" t="s">
        <v>11</v>
      </c>
    </row>
    <row r="5" spans="2:5" x14ac:dyDescent="0.3">
      <c r="B5" s="126" t="str">
        <f t="array" ref="B5">IFERROR(INDEX(BD[],_xlfn.AGGREGATE(15,6,IF(BD[CLASIFICACIÓN]=$B$2,ROW(BD[CLASIFICACIÓN])-ROW('PT2 (FILTRAR)'!$E$5)+1,NA()),ROWS($B$5:B5)),COLUMNS($B$5:B5)),"")</f>
        <v>104-002-045</v>
      </c>
      <c r="C5" s="127" t="str">
        <f t="array" ref="C5">IFERROR(INDEX(BD[],_xlfn.AGGREGATE(15,6,IF(BD[CLASIFICACIÓN]=$B$2,ROW(BD[CLASIFICACIÓN])-ROW('PT2 (FILTRAR)'!$E$5)+1,NA()),ROWS($B$5:C5)),COLUMNS($B$5:C5)),"")</f>
        <v>O1-2303 ISAAC HOP</v>
      </c>
      <c r="D5" s="142">
        <f t="array" ref="D5">IFERROR(INDEX(BD[],_xlfn.AGGREGATE(15,6,IF(BD[CLASIFICACIÓN]=$B$2,ROW(BD[CLASIFICACIÓN])-ROW('PT2 (FILTRAR)'!$E$5)+1,NA()),ROWS($B$5:D5)),COLUMNS($B$5:D5)),"")</f>
        <v>13694</v>
      </c>
      <c r="E5" s="126" t="str">
        <f t="array" ref="E5">IFERROR(INDEX(BD[],_xlfn.AGGREGATE(15,6,IF(BD[CLASIFICACIÓN]=$B$2,ROW(BD[CLASIFICACIÓN])-ROW('PT2 (FILTRAR)'!$E$5)+1,NA()),ROWS($B$5:E5)),COLUMNS($B$5:E5)),"")</f>
        <v>DEUDA CORRIENTE</v>
      </c>
    </row>
    <row r="6" spans="2:5" x14ac:dyDescent="0.3">
      <c r="B6" s="126" t="str">
        <f t="array" ref="B6">IFERROR(INDEX(BD[],_xlfn.AGGREGATE(15,6,IF(BD[CLASIFICACIÓN]=$B$2,ROW(BD[CLASIFICACIÓN])-ROW('PT2 (FILTRAR)'!$E$5)+1,NA()),ROWS($B$5:B6)),COLUMNS($B$5:B6)),"")</f>
        <v>104-004-013</v>
      </c>
      <c r="C6" s="127" t="str">
        <f t="array" ref="C6">IFERROR(INDEX(BD[],_xlfn.AGGREGATE(15,6,IF(BD[CLASIFICACIÓN]=$B$2,ROW(BD[CLASIFICACIÓN])-ROW('PT2 (FILTRAR)'!$E$5)+1,NA()),ROWS($B$5:C6)),COLUMNS($B$5:C6)),"")</f>
        <v>C1-707 CLAUDIA CAMUS</v>
      </c>
      <c r="D6" s="142">
        <f t="array" ref="D6">IFERROR(INDEX(BD[],_xlfn.AGGREGATE(15,6,IF(BD[CLASIFICACIÓN]=$B$2,ROW(BD[CLASIFICACIÓN])-ROW('PT2 (FILTRAR)'!$E$5)+1,NA()),ROWS($B$5:D6)),COLUMNS($B$5:D6)),"")</f>
        <v>13694</v>
      </c>
      <c r="E6" s="126" t="str">
        <f t="array" ref="E6">IFERROR(INDEX(BD[],_xlfn.AGGREGATE(15,6,IF(BD[CLASIFICACIÓN]=$B$2,ROW(BD[CLASIFICACIÓN])-ROW('PT2 (FILTRAR)'!$E$5)+1,NA()),ROWS($B$5:E6)),COLUMNS($B$5:E6)),"")</f>
        <v>DEUDA CORRIENTE</v>
      </c>
    </row>
    <row r="7" spans="2:5" x14ac:dyDescent="0.3">
      <c r="B7" s="126" t="str">
        <f t="array" ref="B7">IFERROR(INDEX(BD[],_xlfn.AGGREGATE(15,6,IF(BD[CLASIFICACIÓN]=$B$2,ROW(BD[CLASIFICACIÓN])-ROW('PT2 (FILTRAR)'!$E$5)+1,NA()),ROWS($B$5:B7)),COLUMNS($B$5:B7)),"")</f>
        <v>104-003-051</v>
      </c>
      <c r="C7" s="127" t="str">
        <f t="array" ref="C7">IFERROR(INDEX(BD[],_xlfn.AGGREGATE(15,6,IF(BD[CLASIFICACIÓN]=$B$2,ROW(BD[CLASIFICACIÓN])-ROW('PT2 (FILTRAR)'!$E$5)+1,NA()),ROWS($B$5:C7)),COLUMNS($B$5:C7)),"")</f>
        <v>O2-PH05 ABRAHAM CHEREM C</v>
      </c>
      <c r="D7" s="142">
        <f t="array" ref="D7">IFERROR(INDEX(BD[],_xlfn.AGGREGATE(15,6,IF(BD[CLASIFICACIÓN]=$B$2,ROW(BD[CLASIFICACIÓN])-ROW('PT2 (FILTRAR)'!$E$5)+1,NA()),ROWS($B$5:D7)),COLUMNS($B$5:D7)),"")</f>
        <v>300</v>
      </c>
      <c r="E7" s="126" t="str">
        <f t="array" ref="E7">IFERROR(INDEX(BD[],_xlfn.AGGREGATE(15,6,IF(BD[CLASIFICACIÓN]=$B$2,ROW(BD[CLASIFICACIÓN])-ROW('PT2 (FILTRAR)'!$E$5)+1,NA()),ROWS($B$5:E7)),COLUMNS($B$5:E7)),"")</f>
        <v>DEUDA CORRIENTE</v>
      </c>
    </row>
    <row r="8" spans="2:5" x14ac:dyDescent="0.3">
      <c r="B8" s="126" t="str">
        <f t="array" ref="B8">IFERROR(INDEX(BD[],_xlfn.AGGREGATE(15,6,IF(BD[CLASIFICACIÓN]=$B$2,ROW(BD[CLASIFICACIÓN])-ROW('PT2 (FILTRAR)'!$E$5)+1,NA()),ROWS($B$5:B8)),COLUMNS($B$5:B8)),"")</f>
        <v>104-004-050</v>
      </c>
      <c r="C8" s="127" t="str">
        <f t="array" ref="C8">IFERROR(INDEX(BD[],_xlfn.AGGREGATE(15,6,IF(BD[CLASIFICACIÓN]=$B$2,ROW(BD[CLASIFICACIÓN])-ROW('PT2 (FILTRAR)'!$E$5)+1,NA()),ROWS($B$5:C8)),COLUMNS($B$5:C8)),"")</f>
        <v>C1-2508 SALOMON AMBE</v>
      </c>
      <c r="D8" s="142">
        <f t="array" ref="D8">IFERROR(INDEX(BD[],_xlfn.AGGREGATE(15,6,IF(BD[CLASIFICACIÓN]=$B$2,ROW(BD[CLASIFICACIÓN])-ROW('PT2 (FILTRAR)'!$E$5)+1,NA()),ROWS($B$5:D8)),COLUMNS($B$5:D8)),"")</f>
        <v>13694</v>
      </c>
      <c r="E8" s="126" t="str">
        <f t="array" ref="E8">IFERROR(INDEX(BD[],_xlfn.AGGREGATE(15,6,IF(BD[CLASIFICACIÓN]=$B$2,ROW(BD[CLASIFICACIÓN])-ROW('PT2 (FILTRAR)'!$E$5)+1,NA()),ROWS($B$5:E8)),COLUMNS($B$5:E8)),"")</f>
        <v>DEUDA CORRIENTE</v>
      </c>
    </row>
    <row r="9" spans="2:5" x14ac:dyDescent="0.3">
      <c r="B9" s="126" t="str">
        <f t="array" ref="B9">IFERROR(INDEX(BD[],_xlfn.AGGREGATE(15,6,IF(BD[CLASIFICACIÓN]=$B$2,ROW(BD[CLASIFICACIÓN])-ROW('PT2 (FILTRAR)'!$E$5)+1,NA()),ROWS($B$5:B9)),COLUMNS($B$5:B9)),"")</f>
        <v>104-003-043</v>
      </c>
      <c r="C9" s="127" t="str">
        <f t="array" ref="C9">IFERROR(INDEX(BD[],_xlfn.AGGREGATE(15,6,IF(BD[CLASIFICACIÓN]=$B$2,ROW(BD[CLASIFICACIÓN])-ROW('PT2 (FILTRAR)'!$E$5)+1,NA()),ROWS($B$5:C9)),COLUMNS($B$5:C9)),"")</f>
        <v>O2-2205 JORGE WATTY</v>
      </c>
      <c r="D9" s="142">
        <f t="array" ref="D9">IFERROR(INDEX(BD[],_xlfn.AGGREGATE(15,6,IF(BD[CLASIFICACIÓN]=$B$2,ROW(BD[CLASIFICACIÓN])-ROW('PT2 (FILTRAR)'!$E$5)+1,NA()),ROWS($B$5:D9)),COLUMNS($B$5:D9)),"")</f>
        <v>500.00000000001455</v>
      </c>
      <c r="E9" s="126" t="str">
        <f t="array" ref="E9">IFERROR(INDEX(BD[],_xlfn.AGGREGATE(15,6,IF(BD[CLASIFICACIÓN]=$B$2,ROW(BD[CLASIFICACIÓN])-ROW('PT2 (FILTRAR)'!$E$5)+1,NA()),ROWS($B$5:E9)),COLUMNS($B$5:E9)),"")</f>
        <v>DEUDA CORRIENTE</v>
      </c>
    </row>
    <row r="10" spans="2:5" x14ac:dyDescent="0.3">
      <c r="B10" s="126" t="str">
        <f t="array" ref="B10">IFERROR(INDEX(BD[],_xlfn.AGGREGATE(15,6,IF(BD[CLASIFICACIÓN]=$B$2,ROW(BD[CLASIFICACIÓN])-ROW('PT2 (FILTRAR)'!$E$5)+1,NA()),ROWS($B$5:B10)),COLUMNS($B$5:B10)),"")</f>
        <v>104-004-030</v>
      </c>
      <c r="C10" s="127" t="str">
        <f t="array" ref="C10">IFERROR(INDEX(BD[],_xlfn.AGGREGATE(15,6,IF(BD[CLASIFICACIÓN]=$B$2,ROW(BD[CLASIFICACIÓN])-ROW('PT2 (FILTRAR)'!$E$5)+1,NA()),ROWS($B$5:C10)),COLUMNS($B$5:C10)),"")</f>
        <v>C1-1508 ALBERTO NEHMAD</v>
      </c>
      <c r="D10" s="142">
        <f t="array" ref="D10">IFERROR(INDEX(BD[],_xlfn.AGGREGATE(15,6,IF(BD[CLASIFICACIÓN]=$B$2,ROW(BD[CLASIFICACIÓN])-ROW('PT2 (FILTRAR)'!$E$5)+1,NA()),ROWS($B$5:D10)),COLUMNS($B$5:D10)),"")</f>
        <v>13694.000000000007</v>
      </c>
      <c r="E10" s="126" t="str">
        <f t="array" ref="E10">IFERROR(INDEX(BD[],_xlfn.AGGREGATE(15,6,IF(BD[CLASIFICACIÓN]=$B$2,ROW(BD[CLASIFICACIÓN])-ROW('PT2 (FILTRAR)'!$E$5)+1,NA()),ROWS($B$5:E10)),COLUMNS($B$5:E10)),"")</f>
        <v>DEUDA CORRIENTE</v>
      </c>
    </row>
    <row r="11" spans="2:5" x14ac:dyDescent="0.3">
      <c r="B11" s="126" t="str">
        <f t="array" ref="B11">IFERROR(INDEX(BD[],_xlfn.AGGREGATE(15,6,IF(BD[CLASIFICACIÓN]=$B$2,ROW(BD[CLASIFICACIÓN])-ROW('PT2 (FILTRAR)'!$E$5)+1,NA()),ROWS($B$5:B11)),COLUMNS($B$5:B11)),"")</f>
        <v>104-006-010</v>
      </c>
      <c r="C11" s="127" t="str">
        <f t="array" ref="C11">IFERROR(INDEX(BD[],_xlfn.AGGREGATE(15,6,IF(BD[CLASIFICACIÓN]=$B$2,ROW(BD[CLASIFICACIÓN])-ROW('PT2 (FILTRAR)'!$E$5)+1,NA()),ROWS($B$5:C11)),COLUMNS($B$5:C11)),"")</f>
        <v>C3-512 ALEJANDRO RABINOVITZ</v>
      </c>
      <c r="D11" s="142">
        <f t="array" ref="D11">IFERROR(INDEX(BD[],_xlfn.AGGREGATE(15,6,IF(BD[CLASIFICACIÓN]=$B$2,ROW(BD[CLASIFICACIÓN])-ROW('PT2 (FILTRAR)'!$E$5)+1,NA()),ROWS($B$5:D11)),COLUMNS($B$5:D11)),"")</f>
        <v>300</v>
      </c>
      <c r="E11" s="126" t="str">
        <f t="array" ref="E11">IFERROR(INDEX(BD[],_xlfn.AGGREGATE(15,6,IF(BD[CLASIFICACIÓN]=$B$2,ROW(BD[CLASIFICACIÓN])-ROW('PT2 (FILTRAR)'!$E$5)+1,NA()),ROWS($B$5:E11)),COLUMNS($B$5:E11)),"")</f>
        <v>DEUDA CORRIENTE</v>
      </c>
    </row>
    <row r="12" spans="2:5" x14ac:dyDescent="0.3">
      <c r="B12" s="126" t="str">
        <f t="array" ref="B12">IFERROR(INDEX(BD[],_xlfn.AGGREGATE(15,6,IF(BD[CLASIFICACIÓN]=$B$2,ROW(BD[CLASIFICACIÓN])-ROW('PT2 (FILTRAR)'!$E$5)+1,NA()),ROWS($B$5:B12)),COLUMNS($B$5:B12)),"")</f>
        <v>104-005-043</v>
      </c>
      <c r="C12" s="127" t="str">
        <f t="array" ref="C12">IFERROR(INDEX(BD[],_xlfn.AGGREGATE(15,6,IF(BD[CLASIFICACIÓN]=$B$2,ROW(BD[CLASIFICACIÓN])-ROW('PT2 (FILTRAR)'!$E$5)+1,NA()),ROWS($B$5:C12)),COLUMNS($B$5:C12)),"")</f>
        <v>C2-2209 SOFIA DABBAH</v>
      </c>
      <c r="D12" s="142">
        <f t="array" ref="D12">IFERROR(INDEX(BD[],_xlfn.AGGREGATE(15,6,IF(BD[CLASIFICACIÓN]=$B$2,ROW(BD[CLASIFICACIÓN])-ROW('PT2 (FILTRAR)'!$E$5)+1,NA()),ROWS($B$5:D12)),COLUMNS($B$5:D12)),"")</f>
        <v>1.4551915228366852E-11</v>
      </c>
      <c r="E12" s="126" t="str">
        <f t="array" ref="E12">IFERROR(INDEX(BD[],_xlfn.AGGREGATE(15,6,IF(BD[CLASIFICACIÓN]=$B$2,ROW(BD[CLASIFICACIÓN])-ROW('PT2 (FILTRAR)'!$E$5)+1,NA()),ROWS($B$5:E12)),COLUMNS($B$5:E12)),"")</f>
        <v>DEUDA CORRIENTE</v>
      </c>
    </row>
    <row r="13" spans="2:5" x14ac:dyDescent="0.3">
      <c r="B13" s="126" t="str">
        <f t="array" ref="B13">IFERROR(INDEX(BD[],_xlfn.AGGREGATE(15,6,IF(BD[CLASIFICACIÓN]=$B$2,ROW(BD[CLASIFICACIÓN])-ROW('PT2 (FILTRAR)'!$E$5)+1,NA()),ROWS($B$5:B13)),COLUMNS($B$5:B13)),"")</f>
        <v>104-001-034</v>
      </c>
      <c r="C13" s="127" t="str">
        <f t="array" ref="C13">IFERROR(INDEX(BD[],_xlfn.AGGREGATE(15,6,IF(BD[CLASIFICACIÓN]=$B$2,ROW(BD[CLASIFICACIÓN])-ROW('PT2 (FILTRAR)'!$E$5)+1,NA()),ROWS($B$5:C13)),COLUMNS($B$5:C13)),"")</f>
        <v>A-1702 IGAL ROVERO</v>
      </c>
      <c r="D13" s="142">
        <f t="array" ref="D13">IFERROR(INDEX(BD[],_xlfn.AGGREGATE(15,6,IF(BD[CLASIFICACIÓN]=$B$2,ROW(BD[CLASIFICACIÓN])-ROW('PT2 (FILTRAR)'!$E$5)+1,NA()),ROWS($B$5:D13)),COLUMNS($B$5:D13)),"")</f>
        <v>500</v>
      </c>
      <c r="E13" s="126" t="str">
        <f t="array" ref="E13">IFERROR(INDEX(BD[],_xlfn.AGGREGATE(15,6,IF(BD[CLASIFICACIÓN]=$B$2,ROW(BD[CLASIFICACIÓN])-ROW('PT2 (FILTRAR)'!$E$5)+1,NA()),ROWS($B$5:E13)),COLUMNS($B$5:E13)),"")</f>
        <v>DEUDA CORRIENTE</v>
      </c>
    </row>
    <row r="14" spans="2:5" x14ac:dyDescent="0.3">
      <c r="B14" s="126" t="str">
        <f t="array" ref="B14">IFERROR(INDEX(BD[],_xlfn.AGGREGATE(15,6,IF(BD[CLASIFICACIÓN]=$B$2,ROW(BD[CLASIFICACIÓN])-ROW('PT2 (FILTRAR)'!$E$5)+1,NA()),ROWS($B$5:B14)),COLUMNS($B$5:B14)),"")</f>
        <v>104-002-009</v>
      </c>
      <c r="C14" s="127" t="str">
        <f t="array" ref="C14">IFERROR(INDEX(BD[],_xlfn.AGGREGATE(15,6,IF(BD[CLASIFICACIÓN]=$B$2,ROW(BD[CLASIFICACIÓN])-ROW('PT2 (FILTRAR)'!$E$5)+1,NA()),ROWS($B$5:C14)),COLUMNS($B$5:C14)),"")</f>
        <v>O1-503 DAVIDE TOMASSONI</v>
      </c>
      <c r="D14" s="142">
        <f t="array" ref="D14">IFERROR(INDEX(BD[],_xlfn.AGGREGATE(15,6,IF(BD[CLASIFICACIÓN]=$B$2,ROW(BD[CLASIFICACIÓN])-ROW('PT2 (FILTRAR)'!$E$5)+1,NA()),ROWS($B$5:D14)),COLUMNS($B$5:D14)),"")</f>
        <v>7.9580786405131221E-13</v>
      </c>
      <c r="E14" s="126" t="str">
        <f t="array" ref="E14">IFERROR(INDEX(BD[],_xlfn.AGGREGATE(15,6,IF(BD[CLASIFICACIÓN]=$B$2,ROW(BD[CLASIFICACIÓN])-ROW('PT2 (FILTRAR)'!$E$5)+1,NA()),ROWS($B$5:E14)),COLUMNS($B$5:E14)),"")</f>
        <v>DEUDA CORRIENTE</v>
      </c>
    </row>
    <row r="15" spans="2:5" x14ac:dyDescent="0.3">
      <c r="B15" s="126" t="str">
        <f t="array" ref="B15">IFERROR(INDEX(BD[],_xlfn.AGGREGATE(15,6,IF(BD[CLASIFICACIÓN]=$B$2,ROW(BD[CLASIFICACIÓN])-ROW('PT2 (FILTRAR)'!$E$5)+1,NA()),ROWS($B$5:B15)),COLUMNS($B$5:B15)),"")</f>
        <v>104-002-028</v>
      </c>
      <c r="C15" s="127" t="str">
        <f t="array" ref="C15">IFERROR(INDEX(BD[],_xlfn.AGGREGATE(15,6,IF(BD[CLASIFICACIÓN]=$B$2,ROW(BD[CLASIFICACIÓN])-ROW('PT2 (FILTRAR)'!$E$5)+1,NA()),ROWS($B$5:C15)),COLUMNS($B$5:C15)),"")</f>
        <v>O1-1404 ALBERTO SABA</v>
      </c>
      <c r="D15" s="142">
        <f t="array" ref="D15">IFERROR(INDEX(BD[],_xlfn.AGGREGATE(15,6,IF(BD[CLASIFICACIÓN]=$B$2,ROW(BD[CLASIFICACIÓN])-ROW('PT2 (FILTRAR)'!$E$5)+1,NA()),ROWS($B$5:D15)),COLUMNS($B$5:D15)),"")</f>
        <v>500</v>
      </c>
      <c r="E15" s="126" t="str">
        <f t="array" ref="E15">IFERROR(INDEX(BD[],_xlfn.AGGREGATE(15,6,IF(BD[CLASIFICACIÓN]=$B$2,ROW(BD[CLASIFICACIÓN])-ROW('PT2 (FILTRAR)'!$E$5)+1,NA()),ROWS($B$5:E15)),COLUMNS($B$5:E15)),"")</f>
        <v>DEUDA CORRIENTE</v>
      </c>
    </row>
    <row r="16" spans="2:5" x14ac:dyDescent="0.3">
      <c r="B16" s="126" t="str">
        <f t="array" ref="B16">IFERROR(INDEX(BD[],_xlfn.AGGREGATE(15,6,IF(BD[CLASIFICACIÓN]=$B$2,ROW(BD[CLASIFICACIÓN])-ROW('PT2 (FILTRAR)'!$E$5)+1,NA()),ROWS($B$5:B16)),COLUMNS($B$5:B16)),"")</f>
        <v>104-002-040</v>
      </c>
      <c r="C16" s="127" t="str">
        <f t="array" ref="C16">IFERROR(INDEX(BD[],_xlfn.AGGREGATE(15,6,IF(BD[CLASIFICACIÓN]=$B$2,ROW(BD[CLASIFICACIÓN])-ROW('PT2 (FILTRAR)'!$E$5)+1,NA()),ROWS($B$5:C16)),COLUMNS($B$5:C16)),"")</f>
        <v>O1-2004 ALEJANDRO BARRIOS</v>
      </c>
      <c r="D16" s="142">
        <f t="array" ref="D16">IFERROR(INDEX(BD[],_xlfn.AGGREGATE(15,6,IF(BD[CLASIFICACIÓN]=$B$2,ROW(BD[CLASIFICACIÓN])-ROW('PT2 (FILTRAR)'!$E$5)+1,NA()),ROWS($B$5:D16)),COLUMNS($B$5:D16)),"")</f>
        <v>300</v>
      </c>
      <c r="E16" s="126" t="str">
        <f t="array" ref="E16">IFERROR(INDEX(BD[],_xlfn.AGGREGATE(15,6,IF(BD[CLASIFICACIÓN]=$B$2,ROW(BD[CLASIFICACIÓN])-ROW('PT2 (FILTRAR)'!$E$5)+1,NA()),ROWS($B$5:E16)),COLUMNS($B$5:E16)),"")</f>
        <v>DEUDA CORRIENTE</v>
      </c>
    </row>
    <row r="17" spans="2:5" x14ac:dyDescent="0.3">
      <c r="B17" s="126" t="str">
        <f t="array" ref="B17">IFERROR(INDEX(BD[],_xlfn.AGGREGATE(15,6,IF(BD[CLASIFICACIÓN]=$B$2,ROW(BD[CLASIFICACIÓN])-ROW('PT2 (FILTRAR)'!$E$5)+1,NA()),ROWS($B$5:B17)),COLUMNS($B$5:B17)),"")</f>
        <v>104-003-004</v>
      </c>
      <c r="C17" s="127" t="str">
        <f t="array" ref="C17">IFERROR(INDEX(BD[],_xlfn.AGGREGATE(15,6,IF(BD[CLASIFICACIÓN]=$B$2,ROW(BD[CLASIFICACIÓN])-ROW('PT2 (FILTRAR)'!$E$5)+1,NA()),ROWS($B$5:C17)),COLUMNS($B$5:C17)),"")</f>
        <v>O2-206 JUAN GARCIA</v>
      </c>
      <c r="D17" s="142">
        <f t="array" ref="D17">IFERROR(INDEX(BD[],_xlfn.AGGREGATE(15,6,IF(BD[CLASIFICACIÓN]=$B$2,ROW(BD[CLASIFICACIÓN])-ROW('PT2 (FILTRAR)'!$E$5)+1,NA()),ROWS($B$5:D17)),COLUMNS($B$5:D17)),"")</f>
        <v>500</v>
      </c>
      <c r="E17" s="126" t="str">
        <f t="array" ref="E17">IFERROR(INDEX(BD[],_xlfn.AGGREGATE(15,6,IF(BD[CLASIFICACIÓN]=$B$2,ROW(BD[CLASIFICACIÓN])-ROW('PT2 (FILTRAR)'!$E$5)+1,NA()),ROWS($B$5:E17)),COLUMNS($B$5:E17)),"")</f>
        <v>DEUDA CORRIENTE</v>
      </c>
    </row>
    <row r="18" spans="2:5" x14ac:dyDescent="0.3">
      <c r="B18" s="126" t="str">
        <f t="array" ref="B18">IFERROR(INDEX(BD[],_xlfn.AGGREGATE(15,6,IF(BD[CLASIFICACIÓN]=$B$2,ROW(BD[CLASIFICACIÓN])-ROW('PT2 (FILTRAR)'!$E$5)+1,NA()),ROWS($B$5:B18)),COLUMNS($B$5:B18)),"")</f>
        <v>104-003-005</v>
      </c>
      <c r="C18" s="127" t="str">
        <f t="array" ref="C18">IFERROR(INDEX(BD[],_xlfn.AGGREGATE(15,6,IF(BD[CLASIFICACIÓN]=$B$2,ROW(BD[CLASIFICACIÓN])-ROW('PT2 (FILTRAR)'!$E$5)+1,NA()),ROWS($B$5:C18)),COLUMNS($B$5:C18)),"")</f>
        <v>O2-305 MOISES HOP</v>
      </c>
      <c r="D18" s="142">
        <f t="array" ref="D18">IFERROR(INDEX(BD[],_xlfn.AGGREGATE(15,6,IF(BD[CLASIFICACIÓN]=$B$2,ROW(BD[CLASIFICACIÓN])-ROW('PT2 (FILTRAR)'!$E$5)+1,NA()),ROWS($B$5:D18)),COLUMNS($B$5:D18)),"")</f>
        <v>300</v>
      </c>
      <c r="E18" s="126" t="str">
        <f t="array" ref="E18">IFERROR(INDEX(BD[],_xlfn.AGGREGATE(15,6,IF(BD[CLASIFICACIÓN]=$B$2,ROW(BD[CLASIFICACIÓN])-ROW('PT2 (FILTRAR)'!$E$5)+1,NA()),ROWS($B$5:E18)),COLUMNS($B$5:E18)),"")</f>
        <v>DEUDA CORRIENTE</v>
      </c>
    </row>
    <row r="19" spans="2:5" x14ac:dyDescent="0.3">
      <c r="B19" s="126" t="str">
        <f t="array" ref="B19">IFERROR(INDEX(BD[],_xlfn.AGGREGATE(15,6,IF(BD[CLASIFICACIÓN]=$B$2,ROW(BD[CLASIFICACIÓN])-ROW('PT2 (FILTRAR)'!$E$5)+1,NA()),ROWS($B$5:B19)),COLUMNS($B$5:B19)),"")</f>
        <v>104-003-024</v>
      </c>
      <c r="C19" s="127" t="str">
        <f t="array" ref="C19">IFERROR(INDEX(BD[],_xlfn.AGGREGATE(15,6,IF(BD[CLASIFICACIÓN]=$B$2,ROW(BD[CLASIFICACIÓN])-ROW('PT2 (FILTRAR)'!$E$5)+1,NA()),ROWS($B$5:C19)),COLUMNS($B$5:C19)),"")</f>
        <v>O2-1206 JONATHAN EZBAN</v>
      </c>
      <c r="D19" s="142">
        <f t="array" ref="D19">IFERROR(INDEX(BD[],_xlfn.AGGREGATE(15,6,IF(BD[CLASIFICACIÓN]=$B$2,ROW(BD[CLASIFICACIÓN])-ROW('PT2 (FILTRAR)'!$E$5)+1,NA()),ROWS($B$5:D19)),COLUMNS($B$5:D19)),"")</f>
        <v>7039</v>
      </c>
      <c r="E19" s="126" t="str">
        <f t="array" ref="E19">IFERROR(INDEX(BD[],_xlfn.AGGREGATE(15,6,IF(BD[CLASIFICACIÓN]=$B$2,ROW(BD[CLASIFICACIÓN])-ROW('PT2 (FILTRAR)'!$E$5)+1,NA()),ROWS($B$5:E19)),COLUMNS($B$5:E19)),"")</f>
        <v>DEUDA CORRIENTE</v>
      </c>
    </row>
    <row r="20" spans="2:5" x14ac:dyDescent="0.3">
      <c r="B20" s="126" t="str">
        <f t="array" ref="B20">IFERROR(INDEX(BD[],_xlfn.AGGREGATE(15,6,IF(BD[CLASIFICACIÓN]=$B$2,ROW(BD[CLASIFICACIÓN])-ROW('PT2 (FILTRAR)'!$E$5)+1,NA()),ROWS($B$5:B20)),COLUMNS($B$5:B20)),"")</f>
        <v>104-003-052</v>
      </c>
      <c r="C20" s="127" t="str">
        <f t="array" ref="C20">IFERROR(INDEX(BD[],_xlfn.AGGREGATE(15,6,IF(BD[CLASIFICACIÓN]=$B$2,ROW(BD[CLASIFICACIÓN])-ROW('PT2 (FILTRAR)'!$E$5)+1,NA()),ROWS($B$5:C20)),COLUMNS($B$5:C20)),"")</f>
        <v>O2-PH06 SUSETTE HALLAK</v>
      </c>
      <c r="D20" s="142">
        <f t="array" ref="D20">IFERROR(INDEX(BD[],_xlfn.AGGREGATE(15,6,IF(BD[CLASIFICACIÓN]=$B$2,ROW(BD[CLASIFICACIÓN])-ROW('PT2 (FILTRAR)'!$E$5)+1,NA()),ROWS($B$5:D20)),COLUMNS($B$5:D20)),"")</f>
        <v>7039</v>
      </c>
      <c r="E20" s="126" t="str">
        <f t="array" ref="E20">IFERROR(INDEX(BD[],_xlfn.AGGREGATE(15,6,IF(BD[CLASIFICACIÓN]=$B$2,ROW(BD[CLASIFICACIÓN])-ROW('PT2 (FILTRAR)'!$E$5)+1,NA()),ROWS($B$5:E20)),COLUMNS($B$5:E20)),"")</f>
        <v>DEUDA CORRIENTE</v>
      </c>
    </row>
    <row r="21" spans="2:5" x14ac:dyDescent="0.3">
      <c r="B21" s="126" t="str">
        <f t="array" ref="B21">IFERROR(INDEX(BD[],_xlfn.AGGREGATE(15,6,IF(BD[CLASIFICACIÓN]=$B$2,ROW(BD[CLASIFICACIÓN])-ROW('PT2 (FILTRAR)'!$E$5)+1,NA()),ROWS($B$5:B21)),COLUMNS($B$5:B21)),"")</f>
        <v>104-004-047</v>
      </c>
      <c r="C21" s="127" t="str">
        <f t="array" ref="C21">IFERROR(INDEX(BD[],_xlfn.AGGREGATE(15,6,IF(BD[CLASIFICACIÓN]=$B$2,ROW(BD[CLASIFICACIÓN])-ROW('PT2 (FILTRAR)'!$E$5)+1,NA()),ROWS($B$5:C21)),COLUMNS($B$5:C21)),"")</f>
        <v>C1-2407 SALOMON AMKIE</v>
      </c>
      <c r="D21" s="142">
        <f t="array" ref="D21">IFERROR(INDEX(BD[],_xlfn.AGGREGATE(15,6,IF(BD[CLASIFICACIÓN]=$B$2,ROW(BD[CLASIFICACIÓN])-ROW('PT2 (FILTRAR)'!$E$5)+1,NA()),ROWS($B$5:D21)),COLUMNS($B$5:D21)),"")</f>
        <v>1000</v>
      </c>
      <c r="E21" s="126" t="str">
        <f t="array" ref="E21">IFERROR(INDEX(BD[],_xlfn.AGGREGATE(15,6,IF(BD[CLASIFICACIÓN]=$B$2,ROW(BD[CLASIFICACIÓN])-ROW('PT2 (FILTRAR)'!$E$5)+1,NA()),ROWS($B$5:E21)),COLUMNS($B$5:E21)),"")</f>
        <v>DEUDA CORRIENTE</v>
      </c>
    </row>
    <row r="22" spans="2:5" x14ac:dyDescent="0.3">
      <c r="B22" s="126" t="str">
        <f t="array" ref="B22">IFERROR(INDEX(BD[],_xlfn.AGGREGATE(15,6,IF(BD[CLASIFICACIÓN]=$B$2,ROW(BD[CLASIFICACIÓN])-ROW('PT2 (FILTRAR)'!$E$5)+1,NA()),ROWS($B$5:B22)),COLUMNS($B$5:B22)),"")</f>
        <v>104-004-048</v>
      </c>
      <c r="C22" s="127" t="str">
        <f t="array" ref="C22">IFERROR(INDEX(BD[],_xlfn.AGGREGATE(15,6,IF(BD[CLASIFICACIÓN]=$B$2,ROW(BD[CLASIFICACIÓN])-ROW('PT2 (FILTRAR)'!$E$5)+1,NA()),ROWS($B$5:C22)),COLUMNS($B$5:C22)),"")</f>
        <v>C1-2408 LINDA LATI</v>
      </c>
      <c r="D22" s="142">
        <f t="array" ref="D22">IFERROR(INDEX(BD[],_xlfn.AGGREGATE(15,6,IF(BD[CLASIFICACIÓN]=$B$2,ROW(BD[CLASIFICACIÓN])-ROW('PT2 (FILTRAR)'!$E$5)+1,NA()),ROWS($B$5:D22)),COLUMNS($B$5:D22)),"")</f>
        <v>3519</v>
      </c>
      <c r="E22" s="126" t="str">
        <f t="array" ref="E22">IFERROR(INDEX(BD[],_xlfn.AGGREGATE(15,6,IF(BD[CLASIFICACIÓN]=$B$2,ROW(BD[CLASIFICACIÓN])-ROW('PT2 (FILTRAR)'!$E$5)+1,NA()),ROWS($B$5:E22)),COLUMNS($B$5:E22)),"")</f>
        <v>DEUDA CORRIENTE</v>
      </c>
    </row>
    <row r="23" spans="2:5" x14ac:dyDescent="0.3">
      <c r="B23" s="126" t="str">
        <f t="array" ref="B23">IFERROR(INDEX(BD[],_xlfn.AGGREGATE(15,6,IF(BD[CLASIFICACIÓN]=$B$2,ROW(BD[CLASIFICACIÓN])-ROW('PT2 (FILTRAR)'!$E$5)+1,NA()),ROWS($B$5:B23)),COLUMNS($B$5:B23)),"")</f>
        <v>104-005-015</v>
      </c>
      <c r="C23" s="127" t="str">
        <f t="array" ref="C23">IFERROR(INDEX(BD[],_xlfn.AGGREGATE(15,6,IF(BD[CLASIFICACIÓN]=$B$2,ROW(BD[CLASIFICACIÓN])-ROW('PT2 (FILTRAR)'!$E$5)+1,NA()),ROWS($B$5:C23)),COLUMNS($B$5:C23)),"")</f>
        <v>C2-809 ESTHER CALTUM</v>
      </c>
      <c r="D23" s="142">
        <f t="array" ref="D23">IFERROR(INDEX(BD[],_xlfn.AGGREGATE(15,6,IF(BD[CLASIFICACIÓN]=$B$2,ROW(BD[CLASIFICACIÓN])-ROW('PT2 (FILTRAR)'!$E$5)+1,NA()),ROWS($B$5:D23)),COLUMNS($B$5:D23)),"")</f>
        <v>300</v>
      </c>
      <c r="E23" s="126" t="str">
        <f t="array" ref="E23">IFERROR(INDEX(BD[],_xlfn.AGGREGATE(15,6,IF(BD[CLASIFICACIÓN]=$B$2,ROW(BD[CLASIFICACIÓN])-ROW('PT2 (FILTRAR)'!$E$5)+1,NA()),ROWS($B$5:E23)),COLUMNS($B$5:E23)),"")</f>
        <v>DEUDA CORRIENTE</v>
      </c>
    </row>
    <row r="24" spans="2:5" x14ac:dyDescent="0.3">
      <c r="B24" s="126" t="str">
        <f t="array" ref="B24">IFERROR(INDEX(BD[],_xlfn.AGGREGATE(15,6,IF(BD[CLASIFICACIÓN]=$B$2,ROW(BD[CLASIFICACIÓN])-ROW('PT2 (FILTRAR)'!$E$5)+1,NA()),ROWS($B$5:B24)),COLUMNS($B$5:B24)),"")</f>
        <v>104-005-022</v>
      </c>
      <c r="C24" s="127" t="str">
        <f t="array" ref="C24">IFERROR(INDEX(BD[],_xlfn.AGGREGATE(15,6,IF(BD[CLASIFICACIÓN]=$B$2,ROW(BD[CLASIFICACIÓN])-ROW('PT2 (FILTRAR)'!$E$5)+1,NA()),ROWS($B$5:C24)),COLUMNS($B$5:C24)),"")</f>
        <v>C2-1110 FEDERICO PENHAS</v>
      </c>
      <c r="D24" s="142">
        <f t="array" ref="D24">IFERROR(INDEX(BD[],_xlfn.AGGREGATE(15,6,IF(BD[CLASIFICACIÓN]=$B$2,ROW(BD[CLASIFICACIÓN])-ROW('PT2 (FILTRAR)'!$E$5)+1,NA()),ROWS($B$5:D24)),COLUMNS($B$5:D24)),"")</f>
        <v>500</v>
      </c>
      <c r="E24" s="126" t="str">
        <f t="array" ref="E24">IFERROR(INDEX(BD[],_xlfn.AGGREGATE(15,6,IF(BD[CLASIFICACIÓN]=$B$2,ROW(BD[CLASIFICACIÓN])-ROW('PT2 (FILTRAR)'!$E$5)+1,NA()),ROWS($B$5:E24)),COLUMNS($B$5:E24)),"")</f>
        <v>DEUDA CORRIENTE</v>
      </c>
    </row>
    <row r="25" spans="2:5" x14ac:dyDescent="0.3">
      <c r="B25" s="126" t="str">
        <f t="array" ref="B25">IFERROR(INDEX(BD[],_xlfn.AGGREGATE(15,6,IF(BD[CLASIFICACIÓN]=$B$2,ROW(BD[CLASIFICACIÓN])-ROW('PT2 (FILTRAR)'!$E$5)+1,NA()),ROWS($B$5:B25)),COLUMNS($B$5:B25)),"")</f>
        <v>104-005-040</v>
      </c>
      <c r="C25" s="127" t="str">
        <f t="array" ref="C25">IFERROR(INDEX(BD[],_xlfn.AGGREGATE(15,6,IF(BD[CLASIFICACIÓN]=$B$2,ROW(BD[CLASIFICACIÓN])-ROW('PT2 (FILTRAR)'!$E$5)+1,NA()),ROWS($B$5:C25)),COLUMNS($B$5:C25)),"")</f>
        <v>C2-2010 CUSPIDE INDUSTRIAL CONST</v>
      </c>
      <c r="D25" s="142">
        <f t="array" ref="D25">IFERROR(INDEX(BD[],_xlfn.AGGREGATE(15,6,IF(BD[CLASIFICACIÓN]=$B$2,ROW(BD[CLASIFICACIÓN])-ROW('PT2 (FILTRAR)'!$E$5)+1,NA()),ROWS($B$5:D25)),COLUMNS($B$5:D25)),"")</f>
        <v>600</v>
      </c>
      <c r="E25" s="126" t="str">
        <f t="array" ref="E25">IFERROR(INDEX(BD[],_xlfn.AGGREGATE(15,6,IF(BD[CLASIFICACIÓN]=$B$2,ROW(BD[CLASIFICACIÓN])-ROW('PT2 (FILTRAR)'!$E$5)+1,NA()),ROWS($B$5:E25)),COLUMNS($B$5:E25)),"")</f>
        <v>DEUDA CORRIENTE</v>
      </c>
    </row>
    <row r="26" spans="2:5" x14ac:dyDescent="0.3">
      <c r="B26" s="126" t="str">
        <f t="array" ref="B26">IFERROR(INDEX(BD[],_xlfn.AGGREGATE(15,6,IF(BD[CLASIFICACIÓN]=$B$2,ROW(BD[CLASIFICACIÓN])-ROW('PT2 (FILTRAR)'!$E$5)+1,NA()),ROWS($B$5:B26)),COLUMNS($B$5:B26)),"")</f>
        <v>104-006-001</v>
      </c>
      <c r="C26" s="127" t="str">
        <f t="array" ref="C26">IFERROR(INDEX(BD[],_xlfn.AGGREGATE(15,6,IF(BD[CLASIFICACIÓN]=$B$2,ROW(BD[CLASIFICACIÓN])-ROW('PT2 (FILTRAR)'!$E$5)+1,NA()),ROWS($B$5:C26)),COLUMNS($B$5:C26)),"")</f>
        <v>C3-111 EMILIA COHEN</v>
      </c>
      <c r="D26" s="142">
        <f t="array" ref="D26">IFERROR(INDEX(BD[],_xlfn.AGGREGATE(15,6,IF(BD[CLASIFICACIÓN]=$B$2,ROW(BD[CLASIFICACIÓN])-ROW('PT2 (FILTRAR)'!$E$5)+1,NA()),ROWS($B$5:D26)),COLUMNS($B$5:D26)),"")</f>
        <v>300</v>
      </c>
      <c r="E26" s="126" t="str">
        <f t="array" ref="E26">IFERROR(INDEX(BD[],_xlfn.AGGREGATE(15,6,IF(BD[CLASIFICACIÓN]=$B$2,ROW(BD[CLASIFICACIÓN])-ROW('PT2 (FILTRAR)'!$E$5)+1,NA()),ROWS($B$5:E26)),COLUMNS($B$5:E26)),"")</f>
        <v>DEUDA CORRIENTE</v>
      </c>
    </row>
    <row r="27" spans="2:5" x14ac:dyDescent="0.3">
      <c r="B27" s="126" t="str">
        <f t="array" ref="B27">IFERROR(INDEX(BD[],_xlfn.AGGREGATE(15,6,IF(BD[CLASIFICACIÓN]=$B$2,ROW(BD[CLASIFICACIÓN])-ROW('PT2 (FILTRAR)'!$E$5)+1,NA()),ROWS($B$5:B27)),COLUMNS($B$5:B27)),"")</f>
        <v>104-001-047</v>
      </c>
      <c r="C27" s="127" t="str">
        <f t="array" ref="C27">IFERROR(INDEX(BD[],_xlfn.AGGREGATE(15,6,IF(BD[CLASIFICACIÓN]=$B$2,ROW(BD[CLASIFICACIÓN])-ROW('PT2 (FILTRAR)'!$E$5)+1,NA()),ROWS($B$5:C27)),COLUMNS($B$5:C27)),"")</f>
        <v>A-2401 VICTORIA MUSTRI</v>
      </c>
      <c r="D27" s="142">
        <f t="array" ref="D27">IFERROR(INDEX(BD[],_xlfn.AGGREGATE(15,6,IF(BD[CLASIFICACIÓN]=$B$2,ROW(BD[CLASIFICACIÓN])-ROW('PT2 (FILTRAR)'!$E$5)+1,NA()),ROWS($B$5:D27)),COLUMNS($B$5:D27)),"")</f>
        <v>3.637978807091713E-12</v>
      </c>
      <c r="E27" s="126" t="str">
        <f t="array" ref="E27">IFERROR(INDEX(BD[],_xlfn.AGGREGATE(15,6,IF(BD[CLASIFICACIÓN]=$B$2,ROW(BD[CLASIFICACIÓN])-ROW('PT2 (FILTRAR)'!$E$5)+1,NA()),ROWS($B$5:E27)),COLUMNS($B$5:E27)),"")</f>
        <v>DEUDA CORRIENTE</v>
      </c>
    </row>
    <row r="28" spans="2:5" x14ac:dyDescent="0.3">
      <c r="B28" s="126" t="str">
        <f t="array" ref="B28">IFERROR(INDEX(BD[],_xlfn.AGGREGATE(15,6,IF(BD[CLASIFICACIÓN]=$B$2,ROW(BD[CLASIFICACIÓN])-ROW('PT2 (FILTRAR)'!$E$5)+1,NA()),ROWS($B$5:B28)),COLUMNS($B$5:B28)),"")</f>
        <v>104-003-010</v>
      </c>
      <c r="C28" s="127" t="str">
        <f t="array" ref="C28">IFERROR(INDEX(BD[],_xlfn.AGGREGATE(15,6,IF(BD[CLASIFICACIÓN]=$B$2,ROW(BD[CLASIFICACIÓN])-ROW('PT2 (FILTRAR)'!$E$5)+1,NA()),ROWS($B$5:C28)),COLUMNS($B$5:C28)),"")</f>
        <v>O2-506 NAIRO VARGAS</v>
      </c>
      <c r="D28" s="142">
        <f t="array" ref="D28">IFERROR(INDEX(BD[],_xlfn.AGGREGATE(15,6,IF(BD[CLASIFICACIÓN]=$B$2,ROW(BD[CLASIFICACIÓN])-ROW('PT2 (FILTRAR)'!$E$5)+1,NA()),ROWS($B$5:D28)),COLUMNS($B$5:D28)),"")</f>
        <v>15194</v>
      </c>
      <c r="E28" s="126" t="str">
        <f t="array" ref="E28">IFERROR(INDEX(BD[],_xlfn.AGGREGATE(15,6,IF(BD[CLASIFICACIÓN]=$B$2,ROW(BD[CLASIFICACIÓN])-ROW('PT2 (FILTRAR)'!$E$5)+1,NA()),ROWS($B$5:E28)),COLUMNS($B$5:E28)),"")</f>
        <v>DEUDA CORRIENTE</v>
      </c>
    </row>
    <row r="29" spans="2:5" x14ac:dyDescent="0.3">
      <c r="B29" s="126" t="str">
        <f t="array" ref="B29">IFERROR(INDEX(BD[],_xlfn.AGGREGATE(15,6,IF(BD[CLASIFICACIÓN]=$B$2,ROW(BD[CLASIFICACIÓN])-ROW('PT2 (FILTRAR)'!$E$5)+1,NA()),ROWS($B$5:B29)),COLUMNS($B$5:B29)),"")</f>
        <v>104-003-029</v>
      </c>
      <c r="C29" s="127" t="str">
        <f t="array" ref="C29">IFERROR(INDEX(BD[],_xlfn.AGGREGATE(15,6,IF(BD[CLASIFICACIÓN]=$B$2,ROW(BD[CLASIFICACIÓN])-ROW('PT2 (FILTRAR)'!$E$5)+1,NA()),ROWS($B$5:C29)),COLUMNS($B$5:C29)),"")</f>
        <v>O2-1505 ALON PIKOVSKY</v>
      </c>
      <c r="D29" s="142">
        <f t="array" ref="D29">IFERROR(INDEX(BD[],_xlfn.AGGREGATE(15,6,IF(BD[CLASIFICACIÓN]=$B$2,ROW(BD[CLASIFICACIÓN])-ROW('PT2 (FILTRAR)'!$E$5)+1,NA()),ROWS($B$5:D29)),COLUMNS($B$5:D29)),"")</f>
        <v>300</v>
      </c>
      <c r="E29" s="126" t="str">
        <f t="array" ref="E29">IFERROR(INDEX(BD[],_xlfn.AGGREGATE(15,6,IF(BD[CLASIFICACIÓN]=$B$2,ROW(BD[CLASIFICACIÓN])-ROW('PT2 (FILTRAR)'!$E$5)+1,NA()),ROWS($B$5:E29)),COLUMNS($B$5:E29)),"")</f>
        <v>DEUDA CORRIENTE</v>
      </c>
    </row>
    <row r="30" spans="2:5" x14ac:dyDescent="0.3">
      <c r="B30" s="126" t="str">
        <f t="array" ref="B30">IFERROR(INDEX(BD[],_xlfn.AGGREGATE(15,6,IF(BD[CLASIFICACIÓN]=$B$2,ROW(BD[CLASIFICACIÓN])-ROW('PT2 (FILTRAR)'!$E$5)+1,NA()),ROWS($B$5:B30)),COLUMNS($B$5:B30)),"")</f>
        <v>104-100-001</v>
      </c>
      <c r="C30" s="127" t="str">
        <f t="array" ref="C30">IFERROR(INDEX(BD[],_xlfn.AGGREGATE(15,6,IF(BD[CLASIFICACIÓN]=$B$2,ROW(BD[CLASIFICACIÓN])-ROW('PT2 (FILTRAR)'!$E$5)+1,NA()),ROWS($B$5:C30)),COLUMNS($B$5:C30)),"")</f>
        <v>NO IDENTIFICADOS</v>
      </c>
      <c r="D30" s="142">
        <f t="array" ref="D30">IFERROR(INDEX(BD[],_xlfn.AGGREGATE(15,6,IF(BD[CLASIFICACIÓN]=$B$2,ROW(BD[CLASIFICACIÓN])-ROW('PT2 (FILTRAR)'!$E$5)+1,NA()),ROWS($B$5:D30)),COLUMNS($B$5:D30)),"")</f>
        <v>3.637978807091713E-12</v>
      </c>
      <c r="E30" s="126" t="str">
        <f t="array" ref="E30">IFERROR(INDEX(BD[],_xlfn.AGGREGATE(15,6,IF(BD[CLASIFICACIÓN]=$B$2,ROW(BD[CLASIFICACIÓN])-ROW('PT2 (FILTRAR)'!$E$5)+1,NA()),ROWS($B$5:E30)),COLUMNS($B$5:E30)),"")</f>
        <v>DEUDA CORRIENTE</v>
      </c>
    </row>
    <row r="31" spans="2:5" x14ac:dyDescent="0.3">
      <c r="B31" s="126" t="str">
        <f t="array" ref="B31">IFERROR(INDEX(BD[],_xlfn.AGGREGATE(15,6,IF(BD[CLASIFICACIÓN]=$B$2,ROW(BD[CLASIFICACIÓN])-ROW('PT2 (FILTRAR)'!$E$5)+1,NA()),ROWS($B$5:B31)),COLUMNS($B$5:B31)),"")</f>
        <v/>
      </c>
      <c r="C31" s="127" t="str">
        <f t="array" ref="C31">IFERROR(INDEX(BD[],_xlfn.AGGREGATE(15,6,IF(BD[CLASIFICACIÓN]=$B$2,ROW(BD[CLASIFICACIÓN])-ROW('PT2 (FILTRAR)'!$E$5)+1,NA()),ROWS($B$5:C31)),COLUMNS($B$5:C31)),"")</f>
        <v/>
      </c>
      <c r="D31" s="142" t="str">
        <f t="array" ref="D31">IFERROR(INDEX(BD[],_xlfn.AGGREGATE(15,6,IF(BD[CLASIFICACIÓN]=$B$2,ROW(BD[CLASIFICACIÓN])-ROW('PT2 (FILTRAR)'!$E$5)+1,NA()),ROWS($B$5:D31)),COLUMNS($B$5:D31)),"")</f>
        <v/>
      </c>
      <c r="E31" s="126" t="str">
        <f t="array" ref="E31">IFERROR(INDEX(BD[],_xlfn.AGGREGATE(15,6,IF(BD[CLASIFICACIÓN]=$B$2,ROW(BD[CLASIFICACIÓN])-ROW('PT2 (FILTRAR)'!$E$5)+1,NA()),ROWS($B$5:E31)),COLUMNS($B$5:E31)),"")</f>
        <v/>
      </c>
    </row>
    <row r="32" spans="2:5" x14ac:dyDescent="0.3">
      <c r="B32" s="126" t="str">
        <f t="array" ref="B32">IFERROR(INDEX(BD[],_xlfn.AGGREGATE(15,6,IF(BD[CLASIFICACIÓN]=$B$2,ROW(BD[CLASIFICACIÓN])-ROW('PT2 (FILTRAR)'!$E$5)+1,NA()),ROWS($B$5:B32)),COLUMNS($B$5:B32)),"")</f>
        <v/>
      </c>
      <c r="C32" s="127" t="str">
        <f t="array" ref="C32">IFERROR(INDEX(BD[],_xlfn.AGGREGATE(15,6,IF(BD[CLASIFICACIÓN]=$B$2,ROW(BD[CLASIFICACIÓN])-ROW('PT2 (FILTRAR)'!$E$5)+1,NA()),ROWS($B$5:C32)),COLUMNS($B$5:C32)),"")</f>
        <v/>
      </c>
      <c r="D32" s="142" t="str">
        <f t="array" ref="D32">IFERROR(INDEX(BD[],_xlfn.AGGREGATE(15,6,IF(BD[CLASIFICACIÓN]=$B$2,ROW(BD[CLASIFICACIÓN])-ROW('PT2 (FILTRAR)'!$E$5)+1,NA()),ROWS($B$5:D32)),COLUMNS($B$5:D32)),"")</f>
        <v/>
      </c>
      <c r="E32" s="126" t="str">
        <f t="array" ref="E32">IFERROR(INDEX(BD[],_xlfn.AGGREGATE(15,6,IF(BD[CLASIFICACIÓN]=$B$2,ROW(BD[CLASIFICACIÓN])-ROW('PT2 (FILTRAR)'!$E$5)+1,NA()),ROWS($B$5:E32)),COLUMNS($B$5:E32)),"")</f>
        <v/>
      </c>
    </row>
    <row r="33" spans="2:5" x14ac:dyDescent="0.3">
      <c r="B33" s="126" t="str">
        <f t="array" ref="B33">IFERROR(INDEX(BD[],_xlfn.AGGREGATE(15,6,IF(BD[CLASIFICACIÓN]=$B$2,ROW(BD[CLASIFICACIÓN])-ROW('PT2 (FILTRAR)'!$E$5)+1,NA()),ROWS($B$5:B33)),COLUMNS($B$5:B33)),"")</f>
        <v/>
      </c>
      <c r="C33" s="127" t="str">
        <f t="array" ref="C33">IFERROR(INDEX(BD[],_xlfn.AGGREGATE(15,6,IF(BD[CLASIFICACIÓN]=$B$2,ROW(BD[CLASIFICACIÓN])-ROW('PT2 (FILTRAR)'!$E$5)+1,NA()),ROWS($B$5:C33)),COLUMNS($B$5:C33)),"")</f>
        <v/>
      </c>
      <c r="D33" s="142" t="str">
        <f t="array" ref="D33">IFERROR(INDEX(BD[],_xlfn.AGGREGATE(15,6,IF(BD[CLASIFICACIÓN]=$B$2,ROW(BD[CLASIFICACIÓN])-ROW('PT2 (FILTRAR)'!$E$5)+1,NA()),ROWS($B$5:D33)),COLUMNS($B$5:D33)),"")</f>
        <v/>
      </c>
      <c r="E33" s="126" t="str">
        <f t="array" ref="E33">IFERROR(INDEX(BD[],_xlfn.AGGREGATE(15,6,IF(BD[CLASIFICACIÓN]=$B$2,ROW(BD[CLASIFICACIÓN])-ROW('PT2 (FILTRAR)'!$E$5)+1,NA()),ROWS($B$5:E33)),COLUMNS($B$5:E33)),"")</f>
        <v/>
      </c>
    </row>
    <row r="34" spans="2:5" x14ac:dyDescent="0.3">
      <c r="B34" s="126" t="str">
        <f t="array" ref="B34">IFERROR(INDEX(BD[],_xlfn.AGGREGATE(15,6,IF(BD[CLASIFICACIÓN]=$B$2,ROW(BD[CLASIFICACIÓN])-ROW('PT2 (FILTRAR)'!$E$5)+1,NA()),ROWS($B$5:B34)),COLUMNS($B$5:B34)),"")</f>
        <v/>
      </c>
      <c r="C34" s="127" t="str">
        <f t="array" ref="C34">IFERROR(INDEX(BD[],_xlfn.AGGREGATE(15,6,IF(BD[CLASIFICACIÓN]=$B$2,ROW(BD[CLASIFICACIÓN])-ROW('PT2 (FILTRAR)'!$E$5)+1,NA()),ROWS($B$5:C34)),COLUMNS($B$5:C34)),"")</f>
        <v/>
      </c>
      <c r="D34" s="142" t="str">
        <f t="array" ref="D34">IFERROR(INDEX(BD[],_xlfn.AGGREGATE(15,6,IF(BD[CLASIFICACIÓN]=$B$2,ROW(BD[CLASIFICACIÓN])-ROW('PT2 (FILTRAR)'!$E$5)+1,NA()),ROWS($B$5:D34)),COLUMNS($B$5:D34)),"")</f>
        <v/>
      </c>
      <c r="E34" s="126" t="str">
        <f t="array" ref="E34">IFERROR(INDEX(BD[],_xlfn.AGGREGATE(15,6,IF(BD[CLASIFICACIÓN]=$B$2,ROW(BD[CLASIFICACIÓN])-ROW('PT2 (FILTRAR)'!$E$5)+1,NA()),ROWS($B$5:E34)),COLUMNS($B$5:E34)),"")</f>
        <v/>
      </c>
    </row>
    <row r="35" spans="2:5" x14ac:dyDescent="0.3">
      <c r="B35" s="126" t="str">
        <f t="array" ref="B35">IFERROR(INDEX(BD[],_xlfn.AGGREGATE(15,6,IF(BD[CLASIFICACIÓN]=$B$2,ROW(BD[CLASIFICACIÓN])-ROW('PT2 (FILTRAR)'!$E$5)+1,NA()),ROWS($B$5:B35)),COLUMNS($B$5:B35)),"")</f>
        <v/>
      </c>
      <c r="C35" s="127" t="str">
        <f t="array" ref="C35">IFERROR(INDEX(BD[],_xlfn.AGGREGATE(15,6,IF(BD[CLASIFICACIÓN]=$B$2,ROW(BD[CLASIFICACIÓN])-ROW('PT2 (FILTRAR)'!$E$5)+1,NA()),ROWS($B$5:C35)),COLUMNS($B$5:C35)),"")</f>
        <v/>
      </c>
      <c r="D35" s="142" t="str">
        <f t="array" ref="D35">IFERROR(INDEX(BD[],_xlfn.AGGREGATE(15,6,IF(BD[CLASIFICACIÓN]=$B$2,ROW(BD[CLASIFICACIÓN])-ROW('PT2 (FILTRAR)'!$E$5)+1,NA()),ROWS($B$5:D35)),COLUMNS($B$5:D35)),"")</f>
        <v/>
      </c>
      <c r="E35" s="126" t="str">
        <f t="array" ref="E35">IFERROR(INDEX(BD[],_xlfn.AGGREGATE(15,6,IF(BD[CLASIFICACIÓN]=$B$2,ROW(BD[CLASIFICACIÓN])-ROW('PT2 (FILTRAR)'!$E$5)+1,NA()),ROWS($B$5:E35)),COLUMNS($B$5:E35)),"")</f>
        <v/>
      </c>
    </row>
    <row r="36" spans="2:5" x14ac:dyDescent="0.3">
      <c r="B36" s="126" t="str">
        <f t="array" ref="B36">IFERROR(INDEX(BD[],_xlfn.AGGREGATE(15,6,IF(BD[CLASIFICACIÓN]=$B$2,ROW(BD[CLASIFICACIÓN])-ROW('PT2 (FILTRAR)'!$E$5)+1,NA()),ROWS($B$5:B36)),COLUMNS($B$5:B36)),"")</f>
        <v/>
      </c>
      <c r="C36" s="127" t="str">
        <f t="array" ref="C36">IFERROR(INDEX(BD[],_xlfn.AGGREGATE(15,6,IF(BD[CLASIFICACIÓN]=$B$2,ROW(BD[CLASIFICACIÓN])-ROW('PT2 (FILTRAR)'!$E$5)+1,NA()),ROWS($B$5:C36)),COLUMNS($B$5:C36)),"")</f>
        <v/>
      </c>
      <c r="D36" s="142" t="str">
        <f t="array" ref="D36">IFERROR(INDEX(BD[],_xlfn.AGGREGATE(15,6,IF(BD[CLASIFICACIÓN]=$B$2,ROW(BD[CLASIFICACIÓN])-ROW('PT2 (FILTRAR)'!$E$5)+1,NA()),ROWS($B$5:D36)),COLUMNS($B$5:D36)),"")</f>
        <v/>
      </c>
      <c r="E36" s="126" t="str">
        <f t="array" ref="E36">IFERROR(INDEX(BD[],_xlfn.AGGREGATE(15,6,IF(BD[CLASIFICACIÓN]=$B$2,ROW(BD[CLASIFICACIÓN])-ROW('PT2 (FILTRAR)'!$E$5)+1,NA()),ROWS($B$5:E36)),COLUMNS($B$5:E36)),"")</f>
        <v/>
      </c>
    </row>
    <row r="37" spans="2:5" x14ac:dyDescent="0.3">
      <c r="B37" s="126" t="str">
        <f t="array" ref="B37">IFERROR(INDEX(BD[],_xlfn.AGGREGATE(15,6,IF(BD[CLASIFICACIÓN]=$B$2,ROW(BD[CLASIFICACIÓN])-ROW('PT2 (FILTRAR)'!$E$5)+1,NA()),ROWS($B$5:B37)),COLUMNS($B$5:B37)),"")</f>
        <v/>
      </c>
      <c r="C37" s="127" t="str">
        <f t="array" ref="C37">IFERROR(INDEX(BD[],_xlfn.AGGREGATE(15,6,IF(BD[CLASIFICACIÓN]=$B$2,ROW(BD[CLASIFICACIÓN])-ROW('PT2 (FILTRAR)'!$E$5)+1,NA()),ROWS($B$5:C37)),COLUMNS($B$5:C37)),"")</f>
        <v/>
      </c>
      <c r="D37" s="142" t="str">
        <f t="array" ref="D37">IFERROR(INDEX(BD[],_xlfn.AGGREGATE(15,6,IF(BD[CLASIFICACIÓN]=$B$2,ROW(BD[CLASIFICACIÓN])-ROW('PT2 (FILTRAR)'!$E$5)+1,NA()),ROWS($B$5:D37)),COLUMNS($B$5:D37)),"")</f>
        <v/>
      </c>
      <c r="E37" s="126" t="str">
        <f t="array" ref="E37">IFERROR(INDEX(BD[],_xlfn.AGGREGATE(15,6,IF(BD[CLASIFICACIÓN]=$B$2,ROW(BD[CLASIFICACIÓN])-ROW('PT2 (FILTRAR)'!$E$5)+1,NA()),ROWS($B$5:E37)),COLUMNS($B$5:E37)),"")</f>
        <v/>
      </c>
    </row>
    <row r="38" spans="2:5" x14ac:dyDescent="0.3">
      <c r="B38" s="126" t="str">
        <f t="array" ref="B38">IFERROR(INDEX(BD[],_xlfn.AGGREGATE(15,6,IF(BD[CLASIFICACIÓN]=$B$2,ROW(BD[CLASIFICACIÓN])-ROW('PT2 (FILTRAR)'!$E$5)+1,NA()),ROWS($B$5:B38)),COLUMNS($B$5:B38)),"")</f>
        <v/>
      </c>
      <c r="C38" s="127" t="str">
        <f t="array" ref="C38">IFERROR(INDEX(BD[],_xlfn.AGGREGATE(15,6,IF(BD[CLASIFICACIÓN]=$B$2,ROW(BD[CLASIFICACIÓN])-ROW('PT2 (FILTRAR)'!$E$5)+1,NA()),ROWS($B$5:C38)),COLUMNS($B$5:C38)),"")</f>
        <v/>
      </c>
      <c r="D38" s="142" t="str">
        <f t="array" ref="D38">IFERROR(INDEX(BD[],_xlfn.AGGREGATE(15,6,IF(BD[CLASIFICACIÓN]=$B$2,ROW(BD[CLASIFICACIÓN])-ROW('PT2 (FILTRAR)'!$E$5)+1,NA()),ROWS($B$5:D38)),COLUMNS($B$5:D38)),"")</f>
        <v/>
      </c>
      <c r="E38" s="126" t="str">
        <f t="array" ref="E38">IFERROR(INDEX(BD[],_xlfn.AGGREGATE(15,6,IF(BD[CLASIFICACIÓN]=$B$2,ROW(BD[CLASIFICACIÓN])-ROW('PT2 (FILTRAR)'!$E$5)+1,NA()),ROWS($B$5:E38)),COLUMNS($B$5:E38)),"")</f>
        <v/>
      </c>
    </row>
    <row r="39" spans="2:5" x14ac:dyDescent="0.3">
      <c r="B39" s="126" t="str">
        <f t="array" ref="B39">IFERROR(INDEX(BD[],_xlfn.AGGREGATE(15,6,IF(BD[CLASIFICACIÓN]=$B$2,ROW(BD[CLASIFICACIÓN])-ROW('PT2 (FILTRAR)'!$E$5)+1,NA()),ROWS($B$5:B39)),COLUMNS($B$5:B39)),"")</f>
        <v/>
      </c>
      <c r="C39" s="127" t="str">
        <f t="array" ref="C39">IFERROR(INDEX(BD[],_xlfn.AGGREGATE(15,6,IF(BD[CLASIFICACIÓN]=$B$2,ROW(BD[CLASIFICACIÓN])-ROW('PT2 (FILTRAR)'!$E$5)+1,NA()),ROWS($B$5:C39)),COLUMNS($B$5:C39)),"")</f>
        <v/>
      </c>
      <c r="D39" s="142" t="str">
        <f t="array" ref="D39">IFERROR(INDEX(BD[],_xlfn.AGGREGATE(15,6,IF(BD[CLASIFICACIÓN]=$B$2,ROW(BD[CLASIFICACIÓN])-ROW('PT2 (FILTRAR)'!$E$5)+1,NA()),ROWS($B$5:D39)),COLUMNS($B$5:D39)),"")</f>
        <v/>
      </c>
      <c r="E39" s="126" t="str">
        <f t="array" ref="E39">IFERROR(INDEX(BD[],_xlfn.AGGREGATE(15,6,IF(BD[CLASIFICACIÓN]=$B$2,ROW(BD[CLASIFICACIÓN])-ROW('PT2 (FILTRAR)'!$E$5)+1,NA()),ROWS($B$5:E39)),COLUMNS($B$5:E39)),"")</f>
        <v/>
      </c>
    </row>
    <row r="40" spans="2:5" x14ac:dyDescent="0.3">
      <c r="B40" s="126" t="str">
        <f t="array" ref="B40">IFERROR(INDEX(BD[],_xlfn.AGGREGATE(15,6,IF(BD[CLASIFICACIÓN]=$B$2,ROW(BD[CLASIFICACIÓN])-ROW('PT2 (FILTRAR)'!$E$5)+1,NA()),ROWS($B$5:B40)),COLUMNS($B$5:B40)),"")</f>
        <v/>
      </c>
      <c r="C40" s="127" t="str">
        <f t="array" ref="C40">IFERROR(INDEX(BD[],_xlfn.AGGREGATE(15,6,IF(BD[CLASIFICACIÓN]=$B$2,ROW(BD[CLASIFICACIÓN])-ROW('PT2 (FILTRAR)'!$E$5)+1,NA()),ROWS($B$5:C40)),COLUMNS($B$5:C40)),"")</f>
        <v/>
      </c>
      <c r="D40" s="142" t="str">
        <f t="array" ref="D40">IFERROR(INDEX(BD[],_xlfn.AGGREGATE(15,6,IF(BD[CLASIFICACIÓN]=$B$2,ROW(BD[CLASIFICACIÓN])-ROW('PT2 (FILTRAR)'!$E$5)+1,NA()),ROWS($B$5:D40)),COLUMNS($B$5:D40)),"")</f>
        <v/>
      </c>
      <c r="E40" s="126" t="str">
        <f t="array" ref="E40">IFERROR(INDEX(BD[],_xlfn.AGGREGATE(15,6,IF(BD[CLASIFICACIÓN]=$B$2,ROW(BD[CLASIFICACIÓN])-ROW('PT2 (FILTRAR)'!$E$5)+1,NA()),ROWS($B$5:E40)),COLUMNS($B$5:E40)),"")</f>
        <v/>
      </c>
    </row>
    <row r="41" spans="2:5" x14ac:dyDescent="0.3">
      <c r="B41" s="126" t="str">
        <f t="array" ref="B41">IFERROR(INDEX(BD[],_xlfn.AGGREGATE(15,6,IF(BD[CLASIFICACIÓN]=$B$2,ROW(BD[CLASIFICACIÓN])-ROW('PT2 (FILTRAR)'!$E$5)+1,NA()),ROWS($B$5:B41)),COLUMNS($B$5:B41)),"")</f>
        <v/>
      </c>
      <c r="C41" s="127" t="str">
        <f t="array" ref="C41">IFERROR(INDEX(BD[],_xlfn.AGGREGATE(15,6,IF(BD[CLASIFICACIÓN]=$B$2,ROW(BD[CLASIFICACIÓN])-ROW('PT2 (FILTRAR)'!$E$5)+1,NA()),ROWS($B$5:C41)),COLUMNS($B$5:C41)),"")</f>
        <v/>
      </c>
      <c r="D41" s="142" t="str">
        <f t="array" ref="D41">IFERROR(INDEX(BD[],_xlfn.AGGREGATE(15,6,IF(BD[CLASIFICACIÓN]=$B$2,ROW(BD[CLASIFICACIÓN])-ROW('PT2 (FILTRAR)'!$E$5)+1,NA()),ROWS($B$5:D41)),COLUMNS($B$5:D41)),"")</f>
        <v/>
      </c>
      <c r="E41" s="126" t="str">
        <f t="array" ref="E41">IFERROR(INDEX(BD[],_xlfn.AGGREGATE(15,6,IF(BD[CLASIFICACIÓN]=$B$2,ROW(BD[CLASIFICACIÓN])-ROW('PT2 (FILTRAR)'!$E$5)+1,NA()),ROWS($B$5:E41)),COLUMNS($B$5:E41)),"")</f>
        <v/>
      </c>
    </row>
    <row r="42" spans="2:5" x14ac:dyDescent="0.3">
      <c r="B42" s="126" t="str">
        <f t="array" ref="B42">IFERROR(INDEX(BD[],_xlfn.AGGREGATE(15,6,IF(BD[CLASIFICACIÓN]=$B$2,ROW(BD[CLASIFICACIÓN])-ROW('PT2 (FILTRAR)'!$E$5)+1,NA()),ROWS($B$5:B42)),COLUMNS($B$5:B42)),"")</f>
        <v/>
      </c>
      <c r="C42" s="127" t="str">
        <f t="array" ref="C42">IFERROR(INDEX(BD[],_xlfn.AGGREGATE(15,6,IF(BD[CLASIFICACIÓN]=$B$2,ROW(BD[CLASIFICACIÓN])-ROW('PT2 (FILTRAR)'!$E$5)+1,NA()),ROWS($B$5:C42)),COLUMNS($B$5:C42)),"")</f>
        <v/>
      </c>
      <c r="D42" s="142" t="str">
        <f t="array" ref="D42">IFERROR(INDEX(BD[],_xlfn.AGGREGATE(15,6,IF(BD[CLASIFICACIÓN]=$B$2,ROW(BD[CLASIFICACIÓN])-ROW('PT2 (FILTRAR)'!$E$5)+1,NA()),ROWS($B$5:D42)),COLUMNS($B$5:D42)),"")</f>
        <v/>
      </c>
      <c r="E42" s="126" t="str">
        <f t="array" ref="E42">IFERROR(INDEX(BD[],_xlfn.AGGREGATE(15,6,IF(BD[CLASIFICACIÓN]=$B$2,ROW(BD[CLASIFICACIÓN])-ROW('PT2 (FILTRAR)'!$E$5)+1,NA()),ROWS($B$5:E42)),COLUMNS($B$5:E42)),"")</f>
        <v/>
      </c>
    </row>
    <row r="43" spans="2:5" x14ac:dyDescent="0.3">
      <c r="B43" s="126" t="str">
        <f t="array" ref="B43">IFERROR(INDEX(BD[],_xlfn.AGGREGATE(15,6,IF(BD[CLASIFICACIÓN]=$B$2,ROW(BD[CLASIFICACIÓN])-ROW('PT2 (FILTRAR)'!$E$5)+1,NA()),ROWS($B$5:B43)),COLUMNS($B$5:B43)),"")</f>
        <v/>
      </c>
      <c r="C43" s="127" t="str">
        <f t="array" ref="C43">IFERROR(INDEX(BD[],_xlfn.AGGREGATE(15,6,IF(BD[CLASIFICACIÓN]=$B$2,ROW(BD[CLASIFICACIÓN])-ROW('PT2 (FILTRAR)'!$E$5)+1,NA()),ROWS($B$5:C43)),COLUMNS($B$5:C43)),"")</f>
        <v/>
      </c>
      <c r="D43" s="142" t="str">
        <f t="array" ref="D43">IFERROR(INDEX(BD[],_xlfn.AGGREGATE(15,6,IF(BD[CLASIFICACIÓN]=$B$2,ROW(BD[CLASIFICACIÓN])-ROW('PT2 (FILTRAR)'!$E$5)+1,NA()),ROWS($B$5:D43)),COLUMNS($B$5:D43)),"")</f>
        <v/>
      </c>
      <c r="E43" s="126" t="str">
        <f t="array" ref="E43">IFERROR(INDEX(BD[],_xlfn.AGGREGATE(15,6,IF(BD[CLASIFICACIÓN]=$B$2,ROW(BD[CLASIFICACIÓN])-ROW('PT2 (FILTRAR)'!$E$5)+1,NA()),ROWS($B$5:E43)),COLUMNS($B$5:E43)),"")</f>
        <v/>
      </c>
    </row>
    <row r="44" spans="2:5" x14ac:dyDescent="0.3">
      <c r="B44" s="126" t="str">
        <f t="array" ref="B44">IFERROR(INDEX(BD[],_xlfn.AGGREGATE(15,6,IF(BD[CLASIFICACIÓN]=$B$2,ROW(BD[CLASIFICACIÓN])-ROW('PT2 (FILTRAR)'!$E$5)+1,NA()),ROWS($B$5:B44)),COLUMNS($B$5:B44)),"")</f>
        <v/>
      </c>
      <c r="C44" s="127" t="str">
        <f t="array" ref="C44">IFERROR(INDEX(BD[],_xlfn.AGGREGATE(15,6,IF(BD[CLASIFICACIÓN]=$B$2,ROW(BD[CLASIFICACIÓN])-ROW('PT2 (FILTRAR)'!$E$5)+1,NA()),ROWS($B$5:C44)),COLUMNS($B$5:C44)),"")</f>
        <v/>
      </c>
      <c r="D44" s="142" t="str">
        <f t="array" ref="D44">IFERROR(INDEX(BD[],_xlfn.AGGREGATE(15,6,IF(BD[CLASIFICACIÓN]=$B$2,ROW(BD[CLASIFICACIÓN])-ROW('PT2 (FILTRAR)'!$E$5)+1,NA()),ROWS($B$5:D44)),COLUMNS($B$5:D44)),"")</f>
        <v/>
      </c>
      <c r="E44" s="126" t="str">
        <f t="array" ref="E44">IFERROR(INDEX(BD[],_xlfn.AGGREGATE(15,6,IF(BD[CLASIFICACIÓN]=$B$2,ROW(BD[CLASIFICACIÓN])-ROW('PT2 (FILTRAR)'!$E$5)+1,NA()),ROWS($B$5:E44)),COLUMNS($B$5:E44)),"")</f>
        <v/>
      </c>
    </row>
    <row r="45" spans="2:5" x14ac:dyDescent="0.3">
      <c r="B45" s="126" t="str">
        <f t="array" ref="B45">IFERROR(INDEX(BD[],_xlfn.AGGREGATE(15,6,IF(BD[CLASIFICACIÓN]=$B$2,ROW(BD[CLASIFICACIÓN])-ROW('PT2 (FILTRAR)'!$E$5)+1,NA()),ROWS($B$5:B45)),COLUMNS($B$5:B45)),"")</f>
        <v/>
      </c>
      <c r="C45" s="127" t="str">
        <f t="array" ref="C45">IFERROR(INDEX(BD[],_xlfn.AGGREGATE(15,6,IF(BD[CLASIFICACIÓN]=$B$2,ROW(BD[CLASIFICACIÓN])-ROW('PT2 (FILTRAR)'!$E$5)+1,NA()),ROWS($B$5:C45)),COLUMNS($B$5:C45)),"")</f>
        <v/>
      </c>
      <c r="D45" s="142" t="str">
        <f t="array" ref="D45">IFERROR(INDEX(BD[],_xlfn.AGGREGATE(15,6,IF(BD[CLASIFICACIÓN]=$B$2,ROW(BD[CLASIFICACIÓN])-ROW('PT2 (FILTRAR)'!$E$5)+1,NA()),ROWS($B$5:D45)),COLUMNS($B$5:D45)),"")</f>
        <v/>
      </c>
      <c r="E45" s="126" t="str">
        <f t="array" ref="E45">IFERROR(INDEX(BD[],_xlfn.AGGREGATE(15,6,IF(BD[CLASIFICACIÓN]=$B$2,ROW(BD[CLASIFICACIÓN])-ROW('PT2 (FILTRAR)'!$E$5)+1,NA()),ROWS($B$5:E45)),COLUMNS($B$5:E45)),"")</f>
        <v/>
      </c>
    </row>
    <row r="46" spans="2:5" x14ac:dyDescent="0.3">
      <c r="B46" s="126" t="str">
        <f t="array" ref="B46">IFERROR(INDEX(BD[],_xlfn.AGGREGATE(15,6,IF(BD[CLASIFICACIÓN]=$B$2,ROW(BD[CLASIFICACIÓN])-ROW('PT2 (FILTRAR)'!$E$5)+1,NA()),ROWS($B$5:B46)),COLUMNS($B$5:B46)),"")</f>
        <v/>
      </c>
      <c r="C46" s="127" t="str">
        <f t="array" ref="C46">IFERROR(INDEX(BD[],_xlfn.AGGREGATE(15,6,IF(BD[CLASIFICACIÓN]=$B$2,ROW(BD[CLASIFICACIÓN])-ROW('PT2 (FILTRAR)'!$E$5)+1,NA()),ROWS($B$5:C46)),COLUMNS($B$5:C46)),"")</f>
        <v/>
      </c>
      <c r="D46" s="142" t="str">
        <f t="array" ref="D46">IFERROR(INDEX(BD[],_xlfn.AGGREGATE(15,6,IF(BD[CLASIFICACIÓN]=$B$2,ROW(BD[CLASIFICACIÓN])-ROW('PT2 (FILTRAR)'!$E$5)+1,NA()),ROWS($B$5:D46)),COLUMNS($B$5:D46)),"")</f>
        <v/>
      </c>
      <c r="E46" s="126" t="str">
        <f t="array" ref="E46">IFERROR(INDEX(BD[],_xlfn.AGGREGATE(15,6,IF(BD[CLASIFICACIÓN]=$B$2,ROW(BD[CLASIFICACIÓN])-ROW('PT2 (FILTRAR)'!$E$5)+1,NA()),ROWS($B$5:E46)),COLUMNS($B$5:E46)),"")</f>
        <v/>
      </c>
    </row>
    <row r="47" spans="2:5" x14ac:dyDescent="0.3">
      <c r="B47" s="126" t="str">
        <f t="array" ref="B47">IFERROR(INDEX(BD[],_xlfn.AGGREGATE(15,6,IF(BD[CLASIFICACIÓN]=$B$2,ROW(BD[CLASIFICACIÓN])-ROW('PT2 (FILTRAR)'!$E$5)+1,NA()),ROWS($B$5:B47)),COLUMNS($B$5:B47)),"")</f>
        <v/>
      </c>
      <c r="C47" s="127" t="str">
        <f t="array" ref="C47">IFERROR(INDEX(BD[],_xlfn.AGGREGATE(15,6,IF(BD[CLASIFICACIÓN]=$B$2,ROW(BD[CLASIFICACIÓN])-ROW('PT2 (FILTRAR)'!$E$5)+1,NA()),ROWS($B$5:C47)),COLUMNS($B$5:C47)),"")</f>
        <v/>
      </c>
      <c r="D47" s="142" t="str">
        <f t="array" ref="D47">IFERROR(INDEX(BD[],_xlfn.AGGREGATE(15,6,IF(BD[CLASIFICACIÓN]=$B$2,ROW(BD[CLASIFICACIÓN])-ROW('PT2 (FILTRAR)'!$E$5)+1,NA()),ROWS($B$5:D47)),COLUMNS($B$5:D47)),"")</f>
        <v/>
      </c>
      <c r="E47" s="126" t="str">
        <f t="array" ref="E47">IFERROR(INDEX(BD[],_xlfn.AGGREGATE(15,6,IF(BD[CLASIFICACIÓN]=$B$2,ROW(BD[CLASIFICACIÓN])-ROW('PT2 (FILTRAR)'!$E$5)+1,NA()),ROWS($B$5:E47)),COLUMNS($B$5:E47)),"")</f>
        <v/>
      </c>
    </row>
    <row r="48" spans="2:5" x14ac:dyDescent="0.3">
      <c r="B48" s="126" t="str">
        <f t="array" ref="B48">IFERROR(INDEX(BD[],_xlfn.AGGREGATE(15,6,IF(BD[CLASIFICACIÓN]=$B$2,ROW(BD[CLASIFICACIÓN])-ROW('PT2 (FILTRAR)'!$E$5)+1,NA()),ROWS($B$5:B48)),COLUMNS($B$5:B48)),"")</f>
        <v/>
      </c>
      <c r="C48" s="127" t="str">
        <f t="array" ref="C48">IFERROR(INDEX(BD[],_xlfn.AGGREGATE(15,6,IF(BD[CLASIFICACIÓN]=$B$2,ROW(BD[CLASIFICACIÓN])-ROW('PT2 (FILTRAR)'!$E$5)+1,NA()),ROWS($B$5:C48)),COLUMNS($B$5:C48)),"")</f>
        <v/>
      </c>
      <c r="D48" s="142" t="str">
        <f t="array" ref="D48">IFERROR(INDEX(BD[],_xlfn.AGGREGATE(15,6,IF(BD[CLASIFICACIÓN]=$B$2,ROW(BD[CLASIFICACIÓN])-ROW('PT2 (FILTRAR)'!$E$5)+1,NA()),ROWS($B$5:D48)),COLUMNS($B$5:D48)),"")</f>
        <v/>
      </c>
      <c r="E48" s="126" t="str">
        <f t="array" ref="E48">IFERROR(INDEX(BD[],_xlfn.AGGREGATE(15,6,IF(BD[CLASIFICACIÓN]=$B$2,ROW(BD[CLASIFICACIÓN])-ROW('PT2 (FILTRAR)'!$E$5)+1,NA()),ROWS($B$5:E48)),COLUMNS($B$5:E48)),"")</f>
        <v/>
      </c>
    </row>
    <row r="49" spans="2:5" x14ac:dyDescent="0.3">
      <c r="B49" s="126" t="str">
        <f t="array" ref="B49">IFERROR(INDEX(BD[],_xlfn.AGGREGATE(15,6,IF(BD[CLASIFICACIÓN]=$B$2,ROW(BD[CLASIFICACIÓN])-ROW('PT2 (FILTRAR)'!$E$5)+1,NA()),ROWS($B$5:B49)),COLUMNS($B$5:B49)),"")</f>
        <v/>
      </c>
      <c r="C49" s="127" t="str">
        <f t="array" ref="C49">IFERROR(INDEX(BD[],_xlfn.AGGREGATE(15,6,IF(BD[CLASIFICACIÓN]=$B$2,ROW(BD[CLASIFICACIÓN])-ROW('PT2 (FILTRAR)'!$E$5)+1,NA()),ROWS($B$5:C49)),COLUMNS($B$5:C49)),"")</f>
        <v/>
      </c>
      <c r="D49" s="142" t="str">
        <f t="array" ref="D49">IFERROR(INDEX(BD[],_xlfn.AGGREGATE(15,6,IF(BD[CLASIFICACIÓN]=$B$2,ROW(BD[CLASIFICACIÓN])-ROW('PT2 (FILTRAR)'!$E$5)+1,NA()),ROWS($B$5:D49)),COLUMNS($B$5:D49)),"")</f>
        <v/>
      </c>
      <c r="E49" s="126" t="str">
        <f t="array" ref="E49">IFERROR(INDEX(BD[],_xlfn.AGGREGATE(15,6,IF(BD[CLASIFICACIÓN]=$B$2,ROW(BD[CLASIFICACIÓN])-ROW('PT2 (FILTRAR)'!$E$5)+1,NA()),ROWS($B$5:E49)),COLUMNS($B$5:E49)),"")</f>
        <v/>
      </c>
    </row>
    <row r="50" spans="2:5" x14ac:dyDescent="0.3">
      <c r="B50" s="126" t="str">
        <f t="array" ref="B50">IFERROR(INDEX(BD[],_xlfn.AGGREGATE(15,6,IF(BD[CLASIFICACIÓN]=$B$2,ROW(BD[CLASIFICACIÓN])-ROW('PT2 (FILTRAR)'!$E$5)+1,NA()),ROWS($B$5:B50)),COLUMNS($B$5:B50)),"")</f>
        <v/>
      </c>
      <c r="C50" s="127" t="str">
        <f t="array" ref="C50">IFERROR(INDEX(BD[],_xlfn.AGGREGATE(15,6,IF(BD[CLASIFICACIÓN]=$B$2,ROW(BD[CLASIFICACIÓN])-ROW('PT2 (FILTRAR)'!$E$5)+1,NA()),ROWS($B$5:C50)),COLUMNS($B$5:C50)),"")</f>
        <v/>
      </c>
      <c r="D50" s="142" t="str">
        <f t="array" ref="D50">IFERROR(INDEX(BD[],_xlfn.AGGREGATE(15,6,IF(BD[CLASIFICACIÓN]=$B$2,ROW(BD[CLASIFICACIÓN])-ROW('PT2 (FILTRAR)'!$E$5)+1,NA()),ROWS($B$5:D50)),COLUMNS($B$5:D50)),"")</f>
        <v/>
      </c>
      <c r="E50" s="126" t="str">
        <f t="array" ref="E50">IFERROR(INDEX(BD[],_xlfn.AGGREGATE(15,6,IF(BD[CLASIFICACIÓN]=$B$2,ROW(BD[CLASIFICACIÓN])-ROW('PT2 (FILTRAR)'!$E$5)+1,NA()),ROWS($B$5:E50)),COLUMNS($B$5:E50)),"")</f>
        <v/>
      </c>
    </row>
    <row r="51" spans="2:5" x14ac:dyDescent="0.3">
      <c r="B51" s="126" t="str">
        <f t="array" ref="B51">IFERROR(INDEX(BD[],_xlfn.AGGREGATE(15,6,IF(BD[CLASIFICACIÓN]=$B$2,ROW(BD[CLASIFICACIÓN])-ROW('PT2 (FILTRAR)'!$E$5)+1,NA()),ROWS($B$5:B51)),COLUMNS($B$5:B51)),"")</f>
        <v/>
      </c>
      <c r="C51" s="127" t="str">
        <f t="array" ref="C51">IFERROR(INDEX(BD[],_xlfn.AGGREGATE(15,6,IF(BD[CLASIFICACIÓN]=$B$2,ROW(BD[CLASIFICACIÓN])-ROW('PT2 (FILTRAR)'!$E$5)+1,NA()),ROWS($B$5:C51)),COLUMNS($B$5:C51)),"")</f>
        <v/>
      </c>
      <c r="D51" s="142" t="str">
        <f t="array" ref="D51">IFERROR(INDEX(BD[],_xlfn.AGGREGATE(15,6,IF(BD[CLASIFICACIÓN]=$B$2,ROW(BD[CLASIFICACIÓN])-ROW('PT2 (FILTRAR)'!$E$5)+1,NA()),ROWS($B$5:D51)),COLUMNS($B$5:D51)),"")</f>
        <v/>
      </c>
      <c r="E51" s="126" t="str">
        <f t="array" ref="E51">IFERROR(INDEX(BD[],_xlfn.AGGREGATE(15,6,IF(BD[CLASIFICACIÓN]=$B$2,ROW(BD[CLASIFICACIÓN])-ROW('PT2 (FILTRAR)'!$E$5)+1,NA()),ROWS($B$5:E51)),COLUMNS($B$5:E51)),"")</f>
        <v/>
      </c>
    </row>
    <row r="52" spans="2:5" x14ac:dyDescent="0.3">
      <c r="B52" s="126" t="str">
        <f t="array" ref="B52">IFERROR(INDEX(BD[],_xlfn.AGGREGATE(15,6,IF(BD[CLASIFICACIÓN]=$B$2,ROW(BD[CLASIFICACIÓN])-ROW('PT2 (FILTRAR)'!$E$5)+1,NA()),ROWS($B$5:B52)),COLUMNS($B$5:B52)),"")</f>
        <v/>
      </c>
      <c r="C52" s="127" t="str">
        <f t="array" ref="C52">IFERROR(INDEX(BD[],_xlfn.AGGREGATE(15,6,IF(BD[CLASIFICACIÓN]=$B$2,ROW(BD[CLASIFICACIÓN])-ROW('PT2 (FILTRAR)'!$E$5)+1,NA()),ROWS($B$5:C52)),COLUMNS($B$5:C52)),"")</f>
        <v/>
      </c>
      <c r="D52" s="142" t="str">
        <f t="array" ref="D52">IFERROR(INDEX(BD[],_xlfn.AGGREGATE(15,6,IF(BD[CLASIFICACIÓN]=$B$2,ROW(BD[CLASIFICACIÓN])-ROW('PT2 (FILTRAR)'!$E$5)+1,NA()),ROWS($B$5:D52)),COLUMNS($B$5:D52)),"")</f>
        <v/>
      </c>
      <c r="E52" s="126" t="str">
        <f t="array" ref="E52">IFERROR(INDEX(BD[],_xlfn.AGGREGATE(15,6,IF(BD[CLASIFICACIÓN]=$B$2,ROW(BD[CLASIFICACIÓN])-ROW('PT2 (FILTRAR)'!$E$5)+1,NA()),ROWS($B$5:E52)),COLUMNS($B$5:E52)),"")</f>
        <v/>
      </c>
    </row>
    <row r="53" spans="2:5" x14ac:dyDescent="0.3">
      <c r="B53" s="126" t="str">
        <f t="array" ref="B53">IFERROR(INDEX(BD[],_xlfn.AGGREGATE(15,6,IF(BD[CLASIFICACIÓN]=$B$2,ROW(BD[CLASIFICACIÓN])-ROW('PT2 (FILTRAR)'!$E$5)+1,NA()),ROWS($B$5:B53)),COLUMNS($B$5:B53)),"")</f>
        <v/>
      </c>
      <c r="C53" s="127" t="str">
        <f t="array" ref="C53">IFERROR(INDEX(BD[],_xlfn.AGGREGATE(15,6,IF(BD[CLASIFICACIÓN]=$B$2,ROW(BD[CLASIFICACIÓN])-ROW('PT2 (FILTRAR)'!$E$5)+1,NA()),ROWS($B$5:C53)),COLUMNS($B$5:C53)),"")</f>
        <v/>
      </c>
      <c r="D53" s="142" t="str">
        <f t="array" ref="D53">IFERROR(INDEX(BD[],_xlfn.AGGREGATE(15,6,IF(BD[CLASIFICACIÓN]=$B$2,ROW(BD[CLASIFICACIÓN])-ROW('PT2 (FILTRAR)'!$E$5)+1,NA()),ROWS($B$5:D53)),COLUMNS($B$5:D53)),"")</f>
        <v/>
      </c>
      <c r="E53" s="126" t="str">
        <f t="array" ref="E53">IFERROR(INDEX(BD[],_xlfn.AGGREGATE(15,6,IF(BD[CLASIFICACIÓN]=$B$2,ROW(BD[CLASIFICACIÓN])-ROW('PT2 (FILTRAR)'!$E$5)+1,NA()),ROWS($B$5:E53)),COLUMNS($B$5:E53)),"")</f>
        <v/>
      </c>
    </row>
    <row r="54" spans="2:5" x14ac:dyDescent="0.3">
      <c r="B54" s="126" t="str">
        <f t="array" ref="B54">IFERROR(INDEX(BD[],_xlfn.AGGREGATE(15,6,IF(BD[CLASIFICACIÓN]=$B$2,ROW(BD[CLASIFICACIÓN])-ROW('PT2 (FILTRAR)'!$E$5)+1,NA()),ROWS($B$5:B54)),COLUMNS($B$5:B54)),"")</f>
        <v/>
      </c>
      <c r="C54" s="127" t="str">
        <f t="array" ref="C54">IFERROR(INDEX(BD[],_xlfn.AGGREGATE(15,6,IF(BD[CLASIFICACIÓN]=$B$2,ROW(BD[CLASIFICACIÓN])-ROW('PT2 (FILTRAR)'!$E$5)+1,NA()),ROWS($B$5:C54)),COLUMNS($B$5:C54)),"")</f>
        <v/>
      </c>
      <c r="D54" s="142" t="str">
        <f t="array" ref="D54">IFERROR(INDEX(BD[],_xlfn.AGGREGATE(15,6,IF(BD[CLASIFICACIÓN]=$B$2,ROW(BD[CLASIFICACIÓN])-ROW('PT2 (FILTRAR)'!$E$5)+1,NA()),ROWS($B$5:D54)),COLUMNS($B$5:D54)),"")</f>
        <v/>
      </c>
      <c r="E54" s="126" t="str">
        <f t="array" ref="E54">IFERROR(INDEX(BD[],_xlfn.AGGREGATE(15,6,IF(BD[CLASIFICACIÓN]=$B$2,ROW(BD[CLASIFICACIÓN])-ROW('PT2 (FILTRAR)'!$E$5)+1,NA()),ROWS($B$5:E54)),COLUMNS($B$5:E54)),"")</f>
        <v/>
      </c>
    </row>
    <row r="55" spans="2:5" x14ac:dyDescent="0.3">
      <c r="B55" s="126" t="str">
        <f t="array" ref="B55">IFERROR(INDEX(BD[],_xlfn.AGGREGATE(15,6,IF(BD[CLASIFICACIÓN]=$B$2,ROW(BD[CLASIFICACIÓN])-ROW('PT2 (FILTRAR)'!$E$5)+1,NA()),ROWS($B$5:B55)),COLUMNS($B$5:B55)),"")</f>
        <v/>
      </c>
      <c r="C55" s="127" t="str">
        <f t="array" ref="C55">IFERROR(INDEX(BD[],_xlfn.AGGREGATE(15,6,IF(BD[CLASIFICACIÓN]=$B$2,ROW(BD[CLASIFICACIÓN])-ROW('PT2 (FILTRAR)'!$E$5)+1,NA()),ROWS($B$5:C55)),COLUMNS($B$5:C55)),"")</f>
        <v/>
      </c>
      <c r="D55" s="142" t="str">
        <f t="array" ref="D55">IFERROR(INDEX(BD[],_xlfn.AGGREGATE(15,6,IF(BD[CLASIFICACIÓN]=$B$2,ROW(BD[CLASIFICACIÓN])-ROW('PT2 (FILTRAR)'!$E$5)+1,NA()),ROWS($B$5:D55)),COLUMNS($B$5:D55)),"")</f>
        <v/>
      </c>
      <c r="E55" s="126" t="str">
        <f t="array" ref="E55">IFERROR(INDEX(BD[],_xlfn.AGGREGATE(15,6,IF(BD[CLASIFICACIÓN]=$B$2,ROW(BD[CLASIFICACIÓN])-ROW('PT2 (FILTRAR)'!$E$5)+1,NA()),ROWS($B$5:E55)),COLUMNS($B$5:E55)),"")</f>
        <v/>
      </c>
    </row>
    <row r="56" spans="2:5" x14ac:dyDescent="0.3">
      <c r="B56" s="126" t="str">
        <f t="array" ref="B56">IFERROR(INDEX(BD[],_xlfn.AGGREGATE(15,6,IF(BD[CLASIFICACIÓN]=$B$2,ROW(BD[CLASIFICACIÓN])-ROW('PT2 (FILTRAR)'!$E$5)+1,NA()),ROWS($B$5:B56)),COLUMNS($B$5:B56)),"")</f>
        <v/>
      </c>
      <c r="C56" s="127" t="str">
        <f t="array" ref="C56">IFERROR(INDEX(BD[],_xlfn.AGGREGATE(15,6,IF(BD[CLASIFICACIÓN]=$B$2,ROW(BD[CLASIFICACIÓN])-ROW('PT2 (FILTRAR)'!$E$5)+1,NA()),ROWS($B$5:C56)),COLUMNS($B$5:C56)),"")</f>
        <v/>
      </c>
      <c r="D56" s="142" t="str">
        <f t="array" ref="D56">IFERROR(INDEX(BD[],_xlfn.AGGREGATE(15,6,IF(BD[CLASIFICACIÓN]=$B$2,ROW(BD[CLASIFICACIÓN])-ROW('PT2 (FILTRAR)'!$E$5)+1,NA()),ROWS($B$5:D56)),COLUMNS($B$5:D56)),"")</f>
        <v/>
      </c>
      <c r="E56" s="126" t="str">
        <f t="array" ref="E56">IFERROR(INDEX(BD[],_xlfn.AGGREGATE(15,6,IF(BD[CLASIFICACIÓN]=$B$2,ROW(BD[CLASIFICACIÓN])-ROW('PT2 (FILTRAR)'!$E$5)+1,NA()),ROWS($B$5:E56)),COLUMNS($B$5:E56)),"")</f>
        <v/>
      </c>
    </row>
    <row r="57" spans="2:5" x14ac:dyDescent="0.3">
      <c r="B57" s="126" t="str">
        <f t="array" ref="B57">IFERROR(INDEX(BD[],_xlfn.AGGREGATE(15,6,IF(BD[CLASIFICACIÓN]=$B$2,ROW(BD[CLASIFICACIÓN])-ROW('PT2 (FILTRAR)'!$E$5)+1,NA()),ROWS($B$5:B57)),COLUMNS($B$5:B57)),"")</f>
        <v/>
      </c>
      <c r="C57" s="127" t="str">
        <f t="array" ref="C57">IFERROR(INDEX(BD[],_xlfn.AGGREGATE(15,6,IF(BD[CLASIFICACIÓN]=$B$2,ROW(BD[CLASIFICACIÓN])-ROW('PT2 (FILTRAR)'!$E$5)+1,NA()),ROWS($B$5:C57)),COLUMNS($B$5:C57)),"")</f>
        <v/>
      </c>
      <c r="D57" s="142" t="str">
        <f t="array" ref="D57">IFERROR(INDEX(BD[],_xlfn.AGGREGATE(15,6,IF(BD[CLASIFICACIÓN]=$B$2,ROW(BD[CLASIFICACIÓN])-ROW('PT2 (FILTRAR)'!$E$5)+1,NA()),ROWS($B$5:D57)),COLUMNS($B$5:D57)),"")</f>
        <v/>
      </c>
      <c r="E57" s="126" t="str">
        <f t="array" ref="E57">IFERROR(INDEX(BD[],_xlfn.AGGREGATE(15,6,IF(BD[CLASIFICACIÓN]=$B$2,ROW(BD[CLASIFICACIÓN])-ROW('PT2 (FILTRAR)'!$E$5)+1,NA()),ROWS($B$5:E57)),COLUMNS($B$5:E57)),"")</f>
        <v/>
      </c>
    </row>
    <row r="58" spans="2:5" x14ac:dyDescent="0.3">
      <c r="B58" s="126" t="str">
        <f t="array" ref="B58">IFERROR(INDEX(BD[],_xlfn.AGGREGATE(15,6,IF(BD[CLASIFICACIÓN]=$B$2,ROW(BD[CLASIFICACIÓN])-ROW('PT2 (FILTRAR)'!$E$5)+1,NA()),ROWS($B$5:B58)),COLUMNS($B$5:B58)),"")</f>
        <v/>
      </c>
      <c r="C58" s="127" t="str">
        <f t="array" ref="C58">IFERROR(INDEX(BD[],_xlfn.AGGREGATE(15,6,IF(BD[CLASIFICACIÓN]=$B$2,ROW(BD[CLASIFICACIÓN])-ROW('PT2 (FILTRAR)'!$E$5)+1,NA()),ROWS($B$5:C58)),COLUMNS($B$5:C58)),"")</f>
        <v/>
      </c>
      <c r="D58" s="142" t="str">
        <f t="array" ref="D58">IFERROR(INDEX(BD[],_xlfn.AGGREGATE(15,6,IF(BD[CLASIFICACIÓN]=$B$2,ROW(BD[CLASIFICACIÓN])-ROW('PT2 (FILTRAR)'!$E$5)+1,NA()),ROWS($B$5:D58)),COLUMNS($B$5:D58)),"")</f>
        <v/>
      </c>
      <c r="E58" s="126" t="str">
        <f t="array" ref="E58">IFERROR(INDEX(BD[],_xlfn.AGGREGATE(15,6,IF(BD[CLASIFICACIÓN]=$B$2,ROW(BD[CLASIFICACIÓN])-ROW('PT2 (FILTRAR)'!$E$5)+1,NA()),ROWS($B$5:E58)),COLUMNS($B$5:E58)),"")</f>
        <v/>
      </c>
    </row>
    <row r="59" spans="2:5" x14ac:dyDescent="0.3">
      <c r="B59" s="126" t="str">
        <f t="array" ref="B59">IFERROR(INDEX(BD[],_xlfn.AGGREGATE(15,6,IF(BD[CLASIFICACIÓN]=$B$2,ROW(BD[CLASIFICACIÓN])-ROW('PT2 (FILTRAR)'!$E$5)+1,NA()),ROWS($B$5:B59)),COLUMNS($B$5:B59)),"")</f>
        <v/>
      </c>
      <c r="C59" s="127" t="str">
        <f t="array" ref="C59">IFERROR(INDEX(BD[],_xlfn.AGGREGATE(15,6,IF(BD[CLASIFICACIÓN]=$B$2,ROW(BD[CLASIFICACIÓN])-ROW('PT2 (FILTRAR)'!$E$5)+1,NA()),ROWS($B$5:C59)),COLUMNS($B$5:C59)),"")</f>
        <v/>
      </c>
      <c r="D59" s="142" t="str">
        <f t="array" ref="D59">IFERROR(INDEX(BD[],_xlfn.AGGREGATE(15,6,IF(BD[CLASIFICACIÓN]=$B$2,ROW(BD[CLASIFICACIÓN])-ROW('PT2 (FILTRAR)'!$E$5)+1,NA()),ROWS($B$5:D59)),COLUMNS($B$5:D59)),"")</f>
        <v/>
      </c>
      <c r="E59" s="126" t="str">
        <f t="array" ref="E59">IFERROR(INDEX(BD[],_xlfn.AGGREGATE(15,6,IF(BD[CLASIFICACIÓN]=$B$2,ROW(BD[CLASIFICACIÓN])-ROW('PT2 (FILTRAR)'!$E$5)+1,NA()),ROWS($B$5:E59)),COLUMNS($B$5:E59)),"")</f>
        <v/>
      </c>
    </row>
    <row r="60" spans="2:5" x14ac:dyDescent="0.3">
      <c r="B60" s="126" t="str">
        <f t="array" ref="B60">IFERROR(INDEX(BD[],_xlfn.AGGREGATE(15,6,IF(BD[CLASIFICACIÓN]=$B$2,ROW(BD[CLASIFICACIÓN])-ROW('PT2 (FILTRAR)'!$E$5)+1,NA()),ROWS($B$5:B60)),COLUMNS($B$5:B60)),"")</f>
        <v/>
      </c>
      <c r="C60" s="127" t="str">
        <f t="array" ref="C60">IFERROR(INDEX(BD[],_xlfn.AGGREGATE(15,6,IF(BD[CLASIFICACIÓN]=$B$2,ROW(BD[CLASIFICACIÓN])-ROW('PT2 (FILTRAR)'!$E$5)+1,NA()),ROWS($B$5:C60)),COLUMNS($B$5:C60)),"")</f>
        <v/>
      </c>
      <c r="D60" s="142" t="str">
        <f t="array" ref="D60">IFERROR(INDEX(BD[],_xlfn.AGGREGATE(15,6,IF(BD[CLASIFICACIÓN]=$B$2,ROW(BD[CLASIFICACIÓN])-ROW('PT2 (FILTRAR)'!$E$5)+1,NA()),ROWS($B$5:D60)),COLUMNS($B$5:D60)),"")</f>
        <v/>
      </c>
      <c r="E60" s="126" t="str">
        <f t="array" ref="E60">IFERROR(INDEX(BD[],_xlfn.AGGREGATE(15,6,IF(BD[CLASIFICACIÓN]=$B$2,ROW(BD[CLASIFICACIÓN])-ROW('PT2 (FILTRAR)'!$E$5)+1,NA()),ROWS($B$5:E60)),COLUMNS($B$5:E60)),"")</f>
        <v/>
      </c>
    </row>
    <row r="61" spans="2:5" x14ac:dyDescent="0.3">
      <c r="B61" s="126" t="str">
        <f t="array" ref="B61">IFERROR(INDEX(BD[],_xlfn.AGGREGATE(15,6,IF(BD[CLASIFICACIÓN]=$B$2,ROW(BD[CLASIFICACIÓN])-ROW('PT2 (FILTRAR)'!$E$5)+1,NA()),ROWS($B$5:B61)),COLUMNS($B$5:B61)),"")</f>
        <v/>
      </c>
      <c r="C61" s="127" t="str">
        <f t="array" ref="C61">IFERROR(INDEX(BD[],_xlfn.AGGREGATE(15,6,IF(BD[CLASIFICACIÓN]=$B$2,ROW(BD[CLASIFICACIÓN])-ROW('PT2 (FILTRAR)'!$E$5)+1,NA()),ROWS($B$5:C61)),COLUMNS($B$5:C61)),"")</f>
        <v/>
      </c>
      <c r="D61" s="142" t="str">
        <f t="array" ref="D61">IFERROR(INDEX(BD[],_xlfn.AGGREGATE(15,6,IF(BD[CLASIFICACIÓN]=$B$2,ROW(BD[CLASIFICACIÓN])-ROW('PT2 (FILTRAR)'!$E$5)+1,NA()),ROWS($B$5:D61)),COLUMNS($B$5:D61)),"")</f>
        <v/>
      </c>
      <c r="E61" s="126" t="str">
        <f t="array" ref="E61">IFERROR(INDEX(BD[],_xlfn.AGGREGATE(15,6,IF(BD[CLASIFICACIÓN]=$B$2,ROW(BD[CLASIFICACIÓN])-ROW('PT2 (FILTRAR)'!$E$5)+1,NA()),ROWS($B$5:E61)),COLUMNS($B$5:E61)),"")</f>
        <v/>
      </c>
    </row>
    <row r="62" spans="2:5" x14ac:dyDescent="0.3">
      <c r="B62" s="126" t="str">
        <f t="array" ref="B62">IFERROR(INDEX(BD[],_xlfn.AGGREGATE(15,6,IF(BD[CLASIFICACIÓN]=$B$2,ROW(BD[CLASIFICACIÓN])-ROW('PT2 (FILTRAR)'!$E$5)+1,NA()),ROWS($B$5:B62)),COLUMNS($B$5:B62)),"")</f>
        <v/>
      </c>
      <c r="C62" s="127" t="str">
        <f t="array" ref="C62">IFERROR(INDEX(BD[],_xlfn.AGGREGATE(15,6,IF(BD[CLASIFICACIÓN]=$B$2,ROW(BD[CLASIFICACIÓN])-ROW('PT2 (FILTRAR)'!$E$5)+1,NA()),ROWS($B$5:C62)),COLUMNS($B$5:C62)),"")</f>
        <v/>
      </c>
      <c r="D62" s="142" t="str">
        <f t="array" ref="D62">IFERROR(INDEX(BD[],_xlfn.AGGREGATE(15,6,IF(BD[CLASIFICACIÓN]=$B$2,ROW(BD[CLASIFICACIÓN])-ROW('PT2 (FILTRAR)'!$E$5)+1,NA()),ROWS($B$5:D62)),COLUMNS($B$5:D62)),"")</f>
        <v/>
      </c>
      <c r="E62" s="126" t="str">
        <f t="array" ref="E62">IFERROR(INDEX(BD[],_xlfn.AGGREGATE(15,6,IF(BD[CLASIFICACIÓN]=$B$2,ROW(BD[CLASIFICACIÓN])-ROW('PT2 (FILTRAR)'!$E$5)+1,NA()),ROWS($B$5:E62)),COLUMNS($B$5:E62)),"")</f>
        <v/>
      </c>
    </row>
    <row r="63" spans="2:5" x14ac:dyDescent="0.3">
      <c r="B63" s="126" t="str">
        <f t="array" ref="B63">IFERROR(INDEX(BD[],_xlfn.AGGREGATE(15,6,IF(BD[CLASIFICACIÓN]=$B$2,ROW(BD[CLASIFICACIÓN])-ROW('PT2 (FILTRAR)'!$E$5)+1,NA()),ROWS($B$5:B63)),COLUMNS($B$5:B63)),"")</f>
        <v/>
      </c>
      <c r="C63" s="127" t="str">
        <f t="array" ref="C63">IFERROR(INDEX(BD[],_xlfn.AGGREGATE(15,6,IF(BD[CLASIFICACIÓN]=$B$2,ROW(BD[CLASIFICACIÓN])-ROW('PT2 (FILTRAR)'!$E$5)+1,NA()),ROWS($B$5:C63)),COLUMNS($B$5:C63)),"")</f>
        <v/>
      </c>
      <c r="D63" s="142" t="str">
        <f t="array" ref="D63">IFERROR(INDEX(BD[],_xlfn.AGGREGATE(15,6,IF(BD[CLASIFICACIÓN]=$B$2,ROW(BD[CLASIFICACIÓN])-ROW('PT2 (FILTRAR)'!$E$5)+1,NA()),ROWS($B$5:D63)),COLUMNS($B$5:D63)),"")</f>
        <v/>
      </c>
      <c r="E63" s="126" t="str">
        <f t="array" ref="E63">IFERROR(INDEX(BD[],_xlfn.AGGREGATE(15,6,IF(BD[CLASIFICACIÓN]=$B$2,ROW(BD[CLASIFICACIÓN])-ROW('PT2 (FILTRAR)'!$E$5)+1,NA()),ROWS($B$5:E63)),COLUMNS($B$5:E63)),"")</f>
        <v/>
      </c>
    </row>
    <row r="64" spans="2:5" x14ac:dyDescent="0.3">
      <c r="B64" s="126" t="str">
        <f t="array" ref="B64">IFERROR(INDEX(BD[],_xlfn.AGGREGATE(15,6,IF(BD[CLASIFICACIÓN]=$B$2,ROW(BD[CLASIFICACIÓN])-ROW('PT2 (FILTRAR)'!$E$5)+1,NA()),ROWS($B$5:B64)),COLUMNS($B$5:B64)),"")</f>
        <v/>
      </c>
      <c r="C64" s="127" t="str">
        <f t="array" ref="C64">IFERROR(INDEX(BD[],_xlfn.AGGREGATE(15,6,IF(BD[CLASIFICACIÓN]=$B$2,ROW(BD[CLASIFICACIÓN])-ROW('PT2 (FILTRAR)'!$E$5)+1,NA()),ROWS($B$5:C64)),COLUMNS($B$5:C64)),"")</f>
        <v/>
      </c>
      <c r="D64" s="142" t="str">
        <f t="array" ref="D64">IFERROR(INDEX(BD[],_xlfn.AGGREGATE(15,6,IF(BD[CLASIFICACIÓN]=$B$2,ROW(BD[CLASIFICACIÓN])-ROW('PT2 (FILTRAR)'!$E$5)+1,NA()),ROWS($B$5:D64)),COLUMNS($B$5:D64)),"")</f>
        <v/>
      </c>
      <c r="E64" s="126" t="str">
        <f t="array" ref="E64">IFERROR(INDEX(BD[],_xlfn.AGGREGATE(15,6,IF(BD[CLASIFICACIÓN]=$B$2,ROW(BD[CLASIFICACIÓN])-ROW('PT2 (FILTRAR)'!$E$5)+1,NA()),ROWS($B$5:E64)),COLUMNS($B$5:E64)),"")</f>
        <v/>
      </c>
    </row>
    <row r="65" spans="2:5" x14ac:dyDescent="0.3">
      <c r="B65" s="126" t="str">
        <f t="array" ref="B65">IFERROR(INDEX(BD[],_xlfn.AGGREGATE(15,6,IF(BD[CLASIFICACIÓN]=$B$2,ROW(BD[CLASIFICACIÓN])-ROW('PT2 (FILTRAR)'!$E$5)+1,NA()),ROWS($B$5:B65)),COLUMNS($B$5:B65)),"")</f>
        <v/>
      </c>
      <c r="C65" s="127" t="str">
        <f t="array" ref="C65">IFERROR(INDEX(BD[],_xlfn.AGGREGATE(15,6,IF(BD[CLASIFICACIÓN]=$B$2,ROW(BD[CLASIFICACIÓN])-ROW('PT2 (FILTRAR)'!$E$5)+1,NA()),ROWS($B$5:C65)),COLUMNS($B$5:C65)),"")</f>
        <v/>
      </c>
      <c r="D65" s="142" t="str">
        <f t="array" ref="D65">IFERROR(INDEX(BD[],_xlfn.AGGREGATE(15,6,IF(BD[CLASIFICACIÓN]=$B$2,ROW(BD[CLASIFICACIÓN])-ROW('PT2 (FILTRAR)'!$E$5)+1,NA()),ROWS($B$5:D65)),COLUMNS($B$5:D65)),"")</f>
        <v/>
      </c>
      <c r="E65" s="126" t="str">
        <f t="array" ref="E65">IFERROR(INDEX(BD[],_xlfn.AGGREGATE(15,6,IF(BD[CLASIFICACIÓN]=$B$2,ROW(BD[CLASIFICACIÓN])-ROW('PT2 (FILTRAR)'!$E$5)+1,NA()),ROWS($B$5:E65)),COLUMNS($B$5:E65)),"")</f>
        <v/>
      </c>
    </row>
    <row r="66" spans="2:5" x14ac:dyDescent="0.3">
      <c r="B66" s="126" t="str">
        <f t="array" ref="B66">IFERROR(INDEX(BD[],_xlfn.AGGREGATE(15,6,IF(BD[CLASIFICACIÓN]=$B$2,ROW(BD[CLASIFICACIÓN])-ROW('PT2 (FILTRAR)'!$E$5)+1,NA()),ROWS($B$5:B66)),COLUMNS($B$5:B66)),"")</f>
        <v/>
      </c>
      <c r="C66" s="127" t="str">
        <f t="array" ref="C66">IFERROR(INDEX(BD[],_xlfn.AGGREGATE(15,6,IF(BD[CLASIFICACIÓN]=$B$2,ROW(BD[CLASIFICACIÓN])-ROW('PT2 (FILTRAR)'!$E$5)+1,NA()),ROWS($B$5:C66)),COLUMNS($B$5:C66)),"")</f>
        <v/>
      </c>
      <c r="D66" s="142" t="str">
        <f t="array" ref="D66">IFERROR(INDEX(BD[],_xlfn.AGGREGATE(15,6,IF(BD[CLASIFICACIÓN]=$B$2,ROW(BD[CLASIFICACIÓN])-ROW('PT2 (FILTRAR)'!$E$5)+1,NA()),ROWS($B$5:D66)),COLUMNS($B$5:D66)),"")</f>
        <v/>
      </c>
      <c r="E66" s="126" t="str">
        <f t="array" ref="E66">IFERROR(INDEX(BD[],_xlfn.AGGREGATE(15,6,IF(BD[CLASIFICACIÓN]=$B$2,ROW(BD[CLASIFICACIÓN])-ROW('PT2 (FILTRAR)'!$E$5)+1,NA()),ROWS($B$5:E66)),COLUMNS($B$5:E66)),"")</f>
        <v/>
      </c>
    </row>
    <row r="67" spans="2:5" x14ac:dyDescent="0.3">
      <c r="B67" s="126" t="str">
        <f t="array" ref="B67">IFERROR(INDEX(BD[],_xlfn.AGGREGATE(15,6,IF(BD[CLASIFICACIÓN]=$B$2,ROW(BD[CLASIFICACIÓN])-ROW('PT2 (FILTRAR)'!$E$5)+1,NA()),ROWS($B$5:B67)),COLUMNS($B$5:B67)),"")</f>
        <v/>
      </c>
      <c r="C67" s="127" t="str">
        <f t="array" ref="C67">IFERROR(INDEX(BD[],_xlfn.AGGREGATE(15,6,IF(BD[CLASIFICACIÓN]=$B$2,ROW(BD[CLASIFICACIÓN])-ROW('PT2 (FILTRAR)'!$E$5)+1,NA()),ROWS($B$5:C67)),COLUMNS($B$5:C67)),"")</f>
        <v/>
      </c>
      <c r="D67" s="142" t="str">
        <f t="array" ref="D67">IFERROR(INDEX(BD[],_xlfn.AGGREGATE(15,6,IF(BD[CLASIFICACIÓN]=$B$2,ROW(BD[CLASIFICACIÓN])-ROW('PT2 (FILTRAR)'!$E$5)+1,NA()),ROWS($B$5:D67)),COLUMNS($B$5:D67)),"")</f>
        <v/>
      </c>
      <c r="E67" s="126" t="str">
        <f t="array" ref="E67">IFERROR(INDEX(BD[],_xlfn.AGGREGATE(15,6,IF(BD[CLASIFICACIÓN]=$B$2,ROW(BD[CLASIFICACIÓN])-ROW('PT2 (FILTRAR)'!$E$5)+1,NA()),ROWS($B$5:E67)),COLUMNS($B$5:E67)),"")</f>
        <v/>
      </c>
    </row>
    <row r="68" spans="2:5" x14ac:dyDescent="0.3">
      <c r="B68" s="126" t="str">
        <f t="array" ref="B68">IFERROR(INDEX(BD[],_xlfn.AGGREGATE(15,6,IF(BD[CLASIFICACIÓN]=$B$2,ROW(BD[CLASIFICACIÓN])-ROW('PT2 (FILTRAR)'!$E$5)+1,NA()),ROWS($B$5:B68)),COLUMNS($B$5:B68)),"")</f>
        <v/>
      </c>
      <c r="C68" s="127" t="str">
        <f t="array" ref="C68">IFERROR(INDEX(BD[],_xlfn.AGGREGATE(15,6,IF(BD[CLASIFICACIÓN]=$B$2,ROW(BD[CLASIFICACIÓN])-ROW('PT2 (FILTRAR)'!$E$5)+1,NA()),ROWS($B$5:C68)),COLUMNS($B$5:C68)),"")</f>
        <v/>
      </c>
      <c r="D68" s="142" t="str">
        <f t="array" ref="D68">IFERROR(INDEX(BD[],_xlfn.AGGREGATE(15,6,IF(BD[CLASIFICACIÓN]=$B$2,ROW(BD[CLASIFICACIÓN])-ROW('PT2 (FILTRAR)'!$E$5)+1,NA()),ROWS($B$5:D68)),COLUMNS($B$5:D68)),"")</f>
        <v/>
      </c>
      <c r="E68" s="126" t="str">
        <f t="array" ref="E68">IFERROR(INDEX(BD[],_xlfn.AGGREGATE(15,6,IF(BD[CLASIFICACIÓN]=$B$2,ROW(BD[CLASIFICACIÓN])-ROW('PT2 (FILTRAR)'!$E$5)+1,NA()),ROWS($B$5:E68)),COLUMNS($B$5:E68)),"")</f>
        <v/>
      </c>
    </row>
    <row r="69" spans="2:5" x14ac:dyDescent="0.3">
      <c r="B69" s="126" t="str">
        <f t="array" ref="B69">IFERROR(INDEX(BD[],_xlfn.AGGREGATE(15,6,IF(BD[CLASIFICACIÓN]=$B$2,ROW(BD[CLASIFICACIÓN])-ROW('PT2 (FILTRAR)'!$E$5)+1,NA()),ROWS($B$5:B69)),COLUMNS($B$5:B69)),"")</f>
        <v/>
      </c>
      <c r="C69" s="127" t="str">
        <f t="array" ref="C69">IFERROR(INDEX(BD[],_xlfn.AGGREGATE(15,6,IF(BD[CLASIFICACIÓN]=$B$2,ROW(BD[CLASIFICACIÓN])-ROW('PT2 (FILTRAR)'!$E$5)+1,NA()),ROWS($B$5:C69)),COLUMNS($B$5:C69)),"")</f>
        <v/>
      </c>
      <c r="D69" s="142" t="str">
        <f t="array" ref="D69">IFERROR(INDEX(BD[],_xlfn.AGGREGATE(15,6,IF(BD[CLASIFICACIÓN]=$B$2,ROW(BD[CLASIFICACIÓN])-ROW('PT2 (FILTRAR)'!$E$5)+1,NA()),ROWS($B$5:D69)),COLUMNS($B$5:D69)),"")</f>
        <v/>
      </c>
      <c r="E69" s="126" t="str">
        <f t="array" ref="E69">IFERROR(INDEX(BD[],_xlfn.AGGREGATE(15,6,IF(BD[CLASIFICACIÓN]=$B$2,ROW(BD[CLASIFICACIÓN])-ROW('PT2 (FILTRAR)'!$E$5)+1,NA()),ROWS($B$5:E69)),COLUMNS($B$5:E69)),"")</f>
        <v/>
      </c>
    </row>
    <row r="70" spans="2:5" x14ac:dyDescent="0.3">
      <c r="B70" s="126" t="str">
        <f t="array" ref="B70">IFERROR(INDEX(BD[],_xlfn.AGGREGATE(15,6,IF(BD[CLASIFICACIÓN]=$B$2,ROW(BD[CLASIFICACIÓN])-ROW('PT2 (FILTRAR)'!$E$5)+1,NA()),ROWS($B$5:B70)),COLUMNS($B$5:B70)),"")</f>
        <v/>
      </c>
      <c r="C70" s="127" t="str">
        <f t="array" ref="C70">IFERROR(INDEX(BD[],_xlfn.AGGREGATE(15,6,IF(BD[CLASIFICACIÓN]=$B$2,ROW(BD[CLASIFICACIÓN])-ROW('PT2 (FILTRAR)'!$E$5)+1,NA()),ROWS($B$5:C70)),COLUMNS($B$5:C70)),"")</f>
        <v/>
      </c>
      <c r="D70" s="142" t="str">
        <f t="array" ref="D70">IFERROR(INDEX(BD[],_xlfn.AGGREGATE(15,6,IF(BD[CLASIFICACIÓN]=$B$2,ROW(BD[CLASIFICACIÓN])-ROW('PT2 (FILTRAR)'!$E$5)+1,NA()),ROWS($B$5:D70)),COLUMNS($B$5:D70)),"")</f>
        <v/>
      </c>
      <c r="E70" s="126" t="str">
        <f t="array" ref="E70">IFERROR(INDEX(BD[],_xlfn.AGGREGATE(15,6,IF(BD[CLASIFICACIÓN]=$B$2,ROW(BD[CLASIFICACIÓN])-ROW('PT2 (FILTRAR)'!$E$5)+1,NA()),ROWS($B$5:E70)),COLUMNS($B$5:E70)),"")</f>
        <v/>
      </c>
    </row>
    <row r="71" spans="2:5" x14ac:dyDescent="0.3">
      <c r="B71" s="126" t="str">
        <f t="array" ref="B71">IFERROR(INDEX(BD[],_xlfn.AGGREGATE(15,6,IF(BD[CLASIFICACIÓN]=$B$2,ROW(BD[CLASIFICACIÓN])-ROW('PT2 (FILTRAR)'!$E$5)+1,NA()),ROWS($B$5:B71)),COLUMNS($B$5:B71)),"")</f>
        <v/>
      </c>
      <c r="C71" s="127" t="str">
        <f t="array" ref="C71">IFERROR(INDEX(BD[],_xlfn.AGGREGATE(15,6,IF(BD[CLASIFICACIÓN]=$B$2,ROW(BD[CLASIFICACIÓN])-ROW('PT2 (FILTRAR)'!$E$5)+1,NA()),ROWS($B$5:C71)),COLUMNS($B$5:C71)),"")</f>
        <v/>
      </c>
      <c r="D71" s="142" t="str">
        <f t="array" ref="D71">IFERROR(INDEX(BD[],_xlfn.AGGREGATE(15,6,IF(BD[CLASIFICACIÓN]=$B$2,ROW(BD[CLASIFICACIÓN])-ROW('PT2 (FILTRAR)'!$E$5)+1,NA()),ROWS($B$5:D71)),COLUMNS($B$5:D71)),"")</f>
        <v/>
      </c>
      <c r="E71" s="126" t="str">
        <f t="array" ref="E71">IFERROR(INDEX(BD[],_xlfn.AGGREGATE(15,6,IF(BD[CLASIFICACIÓN]=$B$2,ROW(BD[CLASIFICACIÓN])-ROW('PT2 (FILTRAR)'!$E$5)+1,NA()),ROWS($B$5:E71)),COLUMNS($B$5:E71)),"")</f>
        <v/>
      </c>
    </row>
    <row r="72" spans="2:5" x14ac:dyDescent="0.3">
      <c r="B72" s="126" t="str">
        <f t="array" ref="B72">IFERROR(INDEX(BD[],_xlfn.AGGREGATE(15,6,IF(BD[CLASIFICACIÓN]=$B$2,ROW(BD[CLASIFICACIÓN])-ROW('PT2 (FILTRAR)'!$E$5)+1,NA()),ROWS($B$5:B72)),COLUMNS($B$5:B72)),"")</f>
        <v/>
      </c>
      <c r="C72" s="127" t="str">
        <f t="array" ref="C72">IFERROR(INDEX(BD[],_xlfn.AGGREGATE(15,6,IF(BD[CLASIFICACIÓN]=$B$2,ROW(BD[CLASIFICACIÓN])-ROW('PT2 (FILTRAR)'!$E$5)+1,NA()),ROWS($B$5:C72)),COLUMNS($B$5:C72)),"")</f>
        <v/>
      </c>
      <c r="D72" s="142" t="str">
        <f t="array" ref="D72">IFERROR(INDEX(BD[],_xlfn.AGGREGATE(15,6,IF(BD[CLASIFICACIÓN]=$B$2,ROW(BD[CLASIFICACIÓN])-ROW('PT2 (FILTRAR)'!$E$5)+1,NA()),ROWS($B$5:D72)),COLUMNS($B$5:D72)),"")</f>
        <v/>
      </c>
      <c r="E72" s="126" t="str">
        <f t="array" ref="E72">IFERROR(INDEX(BD[],_xlfn.AGGREGATE(15,6,IF(BD[CLASIFICACIÓN]=$B$2,ROW(BD[CLASIFICACIÓN])-ROW('PT2 (FILTRAR)'!$E$5)+1,NA()),ROWS($B$5:E72)),COLUMNS($B$5:E72)),"")</f>
        <v/>
      </c>
    </row>
    <row r="73" spans="2:5" x14ac:dyDescent="0.3">
      <c r="B73" s="126" t="str">
        <f t="array" ref="B73">IFERROR(INDEX(BD[],_xlfn.AGGREGATE(15,6,IF(BD[CLASIFICACIÓN]=$B$2,ROW(BD[CLASIFICACIÓN])-ROW('PT2 (FILTRAR)'!$E$5)+1,NA()),ROWS($B$5:B73)),COLUMNS($B$5:B73)),"")</f>
        <v/>
      </c>
      <c r="C73" s="127" t="str">
        <f t="array" ref="C73">IFERROR(INDEX(BD[],_xlfn.AGGREGATE(15,6,IF(BD[CLASIFICACIÓN]=$B$2,ROW(BD[CLASIFICACIÓN])-ROW('PT2 (FILTRAR)'!$E$5)+1,NA()),ROWS($B$5:C73)),COLUMNS($B$5:C73)),"")</f>
        <v/>
      </c>
      <c r="D73" s="142" t="str">
        <f t="array" ref="D73">IFERROR(INDEX(BD[],_xlfn.AGGREGATE(15,6,IF(BD[CLASIFICACIÓN]=$B$2,ROW(BD[CLASIFICACIÓN])-ROW('PT2 (FILTRAR)'!$E$5)+1,NA()),ROWS($B$5:D73)),COLUMNS($B$5:D73)),"")</f>
        <v/>
      </c>
      <c r="E73" s="126" t="str">
        <f t="array" ref="E73">IFERROR(INDEX(BD[],_xlfn.AGGREGATE(15,6,IF(BD[CLASIFICACIÓN]=$B$2,ROW(BD[CLASIFICACIÓN])-ROW('PT2 (FILTRAR)'!$E$5)+1,NA()),ROWS($B$5:E73)),COLUMNS($B$5:E73)),"")</f>
        <v/>
      </c>
    </row>
    <row r="74" spans="2:5" x14ac:dyDescent="0.3">
      <c r="B74" s="126" t="str">
        <f t="array" ref="B74">IFERROR(INDEX(BD[],_xlfn.AGGREGATE(15,6,IF(BD[CLASIFICACIÓN]=$B$2,ROW(BD[CLASIFICACIÓN])-ROW('PT2 (FILTRAR)'!$E$5)+1,NA()),ROWS($B$5:B74)),COLUMNS($B$5:B74)),"")</f>
        <v/>
      </c>
      <c r="C74" s="127" t="str">
        <f t="array" ref="C74">IFERROR(INDEX(BD[],_xlfn.AGGREGATE(15,6,IF(BD[CLASIFICACIÓN]=$B$2,ROW(BD[CLASIFICACIÓN])-ROW('PT2 (FILTRAR)'!$E$5)+1,NA()),ROWS($B$5:C74)),COLUMNS($B$5:C74)),"")</f>
        <v/>
      </c>
      <c r="D74" s="142" t="str">
        <f t="array" ref="D74">IFERROR(INDEX(BD[],_xlfn.AGGREGATE(15,6,IF(BD[CLASIFICACIÓN]=$B$2,ROW(BD[CLASIFICACIÓN])-ROW('PT2 (FILTRAR)'!$E$5)+1,NA()),ROWS($B$5:D74)),COLUMNS($B$5:D74)),"")</f>
        <v/>
      </c>
      <c r="E74" s="126" t="str">
        <f t="array" ref="E74">IFERROR(INDEX(BD[],_xlfn.AGGREGATE(15,6,IF(BD[CLASIFICACIÓN]=$B$2,ROW(BD[CLASIFICACIÓN])-ROW('PT2 (FILTRAR)'!$E$5)+1,NA()),ROWS($B$5:E74)),COLUMNS($B$5:E74)),"")</f>
        <v/>
      </c>
    </row>
    <row r="75" spans="2:5" x14ac:dyDescent="0.3">
      <c r="B75" s="126" t="str">
        <f t="array" ref="B75">IFERROR(INDEX(BD[],_xlfn.AGGREGATE(15,6,IF(BD[CLASIFICACIÓN]=$B$2,ROW(BD[CLASIFICACIÓN])-ROW('PT2 (FILTRAR)'!$E$5)+1,NA()),ROWS($B$5:B75)),COLUMNS($B$5:B75)),"")</f>
        <v/>
      </c>
      <c r="C75" s="127" t="str">
        <f t="array" ref="C75">IFERROR(INDEX(BD[],_xlfn.AGGREGATE(15,6,IF(BD[CLASIFICACIÓN]=$B$2,ROW(BD[CLASIFICACIÓN])-ROW('PT2 (FILTRAR)'!$E$5)+1,NA()),ROWS($B$5:C75)),COLUMNS($B$5:C75)),"")</f>
        <v/>
      </c>
      <c r="D75" s="142" t="str">
        <f t="array" ref="D75">IFERROR(INDEX(BD[],_xlfn.AGGREGATE(15,6,IF(BD[CLASIFICACIÓN]=$B$2,ROW(BD[CLASIFICACIÓN])-ROW('PT2 (FILTRAR)'!$E$5)+1,NA()),ROWS($B$5:D75)),COLUMNS($B$5:D75)),"")</f>
        <v/>
      </c>
      <c r="E75" s="126" t="str">
        <f t="array" ref="E75">IFERROR(INDEX(BD[],_xlfn.AGGREGATE(15,6,IF(BD[CLASIFICACIÓN]=$B$2,ROW(BD[CLASIFICACIÓN])-ROW('PT2 (FILTRAR)'!$E$5)+1,NA()),ROWS($B$5:E75)),COLUMNS($B$5:E75)),"")</f>
        <v/>
      </c>
    </row>
    <row r="76" spans="2:5" x14ac:dyDescent="0.3">
      <c r="B76" s="126" t="str">
        <f t="array" ref="B76">IFERROR(INDEX(BD[],_xlfn.AGGREGATE(15,6,IF(BD[CLASIFICACIÓN]=$B$2,ROW(BD[CLASIFICACIÓN])-ROW('PT2 (FILTRAR)'!$E$5)+1,NA()),ROWS($B$5:B76)),COLUMNS($B$5:B76)),"")</f>
        <v/>
      </c>
      <c r="C76" s="127" t="str">
        <f t="array" ref="C76">IFERROR(INDEX(BD[],_xlfn.AGGREGATE(15,6,IF(BD[CLASIFICACIÓN]=$B$2,ROW(BD[CLASIFICACIÓN])-ROW('PT2 (FILTRAR)'!$E$5)+1,NA()),ROWS($B$5:C76)),COLUMNS($B$5:C76)),"")</f>
        <v/>
      </c>
      <c r="D76" s="142" t="str">
        <f t="array" ref="D76">IFERROR(INDEX(BD[],_xlfn.AGGREGATE(15,6,IF(BD[CLASIFICACIÓN]=$B$2,ROW(BD[CLASIFICACIÓN])-ROW('PT2 (FILTRAR)'!$E$5)+1,NA()),ROWS($B$5:D76)),COLUMNS($B$5:D76)),"")</f>
        <v/>
      </c>
      <c r="E76" s="126" t="str">
        <f t="array" ref="E76">IFERROR(INDEX(BD[],_xlfn.AGGREGATE(15,6,IF(BD[CLASIFICACIÓN]=$B$2,ROW(BD[CLASIFICACIÓN])-ROW('PT2 (FILTRAR)'!$E$5)+1,NA()),ROWS($B$5:E76)),COLUMNS($B$5:E76)),"")</f>
        <v/>
      </c>
    </row>
    <row r="77" spans="2:5" x14ac:dyDescent="0.3">
      <c r="B77" s="126" t="str">
        <f t="array" ref="B77">IFERROR(INDEX(BD[],_xlfn.AGGREGATE(15,6,IF(BD[CLASIFICACIÓN]=$B$2,ROW(BD[CLASIFICACIÓN])-ROW('PT2 (FILTRAR)'!$E$5)+1,NA()),ROWS($B$5:B77)),COLUMNS($B$5:B77)),"")</f>
        <v/>
      </c>
      <c r="C77" s="127" t="str">
        <f t="array" ref="C77">IFERROR(INDEX(BD[],_xlfn.AGGREGATE(15,6,IF(BD[CLASIFICACIÓN]=$B$2,ROW(BD[CLASIFICACIÓN])-ROW('PT2 (FILTRAR)'!$E$5)+1,NA()),ROWS($B$5:C77)),COLUMNS($B$5:C77)),"")</f>
        <v/>
      </c>
      <c r="D77" s="142" t="str">
        <f t="array" ref="D77">IFERROR(INDEX(BD[],_xlfn.AGGREGATE(15,6,IF(BD[CLASIFICACIÓN]=$B$2,ROW(BD[CLASIFICACIÓN])-ROW('PT2 (FILTRAR)'!$E$5)+1,NA()),ROWS($B$5:D77)),COLUMNS($B$5:D77)),"")</f>
        <v/>
      </c>
      <c r="E77" s="126" t="str">
        <f t="array" ref="E77">IFERROR(INDEX(BD[],_xlfn.AGGREGATE(15,6,IF(BD[CLASIFICACIÓN]=$B$2,ROW(BD[CLASIFICACIÓN])-ROW('PT2 (FILTRAR)'!$E$5)+1,NA()),ROWS($B$5:E77)),COLUMNS($B$5:E77)),"")</f>
        <v/>
      </c>
    </row>
    <row r="78" spans="2:5" x14ac:dyDescent="0.3">
      <c r="B78" s="126" t="str">
        <f t="array" ref="B78">IFERROR(INDEX(BD[],_xlfn.AGGREGATE(15,6,IF(BD[CLASIFICACIÓN]=$B$2,ROW(BD[CLASIFICACIÓN])-ROW('PT2 (FILTRAR)'!$E$5)+1,NA()),ROWS($B$5:B78)),COLUMNS($B$5:B78)),"")</f>
        <v/>
      </c>
      <c r="C78" s="127" t="str">
        <f t="array" ref="C78">IFERROR(INDEX(BD[],_xlfn.AGGREGATE(15,6,IF(BD[CLASIFICACIÓN]=$B$2,ROW(BD[CLASIFICACIÓN])-ROW('PT2 (FILTRAR)'!$E$5)+1,NA()),ROWS($B$5:C78)),COLUMNS($B$5:C78)),"")</f>
        <v/>
      </c>
      <c r="D78" s="142" t="str">
        <f t="array" ref="D78">IFERROR(INDEX(BD[],_xlfn.AGGREGATE(15,6,IF(BD[CLASIFICACIÓN]=$B$2,ROW(BD[CLASIFICACIÓN])-ROW('PT2 (FILTRAR)'!$E$5)+1,NA()),ROWS($B$5:D78)),COLUMNS($B$5:D78)),"")</f>
        <v/>
      </c>
      <c r="E78" s="126" t="str">
        <f t="array" ref="E78">IFERROR(INDEX(BD[],_xlfn.AGGREGATE(15,6,IF(BD[CLASIFICACIÓN]=$B$2,ROW(BD[CLASIFICACIÓN])-ROW('PT2 (FILTRAR)'!$E$5)+1,NA()),ROWS($B$5:E78)),COLUMNS($B$5:E78)),"")</f>
        <v/>
      </c>
    </row>
    <row r="79" spans="2:5" x14ac:dyDescent="0.3">
      <c r="B79" s="126" t="str">
        <f t="array" ref="B79">IFERROR(INDEX(BD[],_xlfn.AGGREGATE(15,6,IF(BD[CLASIFICACIÓN]=$B$2,ROW(BD[CLASIFICACIÓN])-ROW('PT2 (FILTRAR)'!$E$5)+1,NA()),ROWS($B$5:B79)),COLUMNS($B$5:B79)),"")</f>
        <v/>
      </c>
      <c r="C79" s="127" t="str">
        <f t="array" ref="C79">IFERROR(INDEX(BD[],_xlfn.AGGREGATE(15,6,IF(BD[CLASIFICACIÓN]=$B$2,ROW(BD[CLASIFICACIÓN])-ROW('PT2 (FILTRAR)'!$E$5)+1,NA()),ROWS($B$5:C79)),COLUMNS($B$5:C79)),"")</f>
        <v/>
      </c>
      <c r="D79" s="142" t="str">
        <f t="array" ref="D79">IFERROR(INDEX(BD[],_xlfn.AGGREGATE(15,6,IF(BD[CLASIFICACIÓN]=$B$2,ROW(BD[CLASIFICACIÓN])-ROW('PT2 (FILTRAR)'!$E$5)+1,NA()),ROWS($B$5:D79)),COLUMNS($B$5:D79)),"")</f>
        <v/>
      </c>
      <c r="E79" s="126" t="str">
        <f t="array" ref="E79">IFERROR(INDEX(BD[],_xlfn.AGGREGATE(15,6,IF(BD[CLASIFICACIÓN]=$B$2,ROW(BD[CLASIFICACIÓN])-ROW('PT2 (FILTRAR)'!$E$5)+1,NA()),ROWS($B$5:E79)),COLUMNS($B$5:E79)),"")</f>
        <v/>
      </c>
    </row>
    <row r="80" spans="2:5" x14ac:dyDescent="0.3">
      <c r="B80" s="126" t="str">
        <f t="array" ref="B80">IFERROR(INDEX(BD[],_xlfn.AGGREGATE(15,6,IF(BD[CLASIFICACIÓN]=$B$2,ROW(BD[CLASIFICACIÓN])-ROW('PT2 (FILTRAR)'!$E$5)+1,NA()),ROWS($B$5:B80)),COLUMNS($B$5:B80)),"")</f>
        <v/>
      </c>
      <c r="C80" s="127" t="str">
        <f t="array" ref="C80">IFERROR(INDEX(BD[],_xlfn.AGGREGATE(15,6,IF(BD[CLASIFICACIÓN]=$B$2,ROW(BD[CLASIFICACIÓN])-ROW('PT2 (FILTRAR)'!$E$5)+1,NA()),ROWS($B$5:C80)),COLUMNS($B$5:C80)),"")</f>
        <v/>
      </c>
      <c r="D80" s="142" t="str">
        <f t="array" ref="D80">IFERROR(INDEX(BD[],_xlfn.AGGREGATE(15,6,IF(BD[CLASIFICACIÓN]=$B$2,ROW(BD[CLASIFICACIÓN])-ROW('PT2 (FILTRAR)'!$E$5)+1,NA()),ROWS($B$5:D80)),COLUMNS($B$5:D80)),"")</f>
        <v/>
      </c>
      <c r="E80" s="126" t="str">
        <f t="array" ref="E80">IFERROR(INDEX(BD[],_xlfn.AGGREGATE(15,6,IF(BD[CLASIFICACIÓN]=$B$2,ROW(BD[CLASIFICACIÓN])-ROW('PT2 (FILTRAR)'!$E$5)+1,NA()),ROWS($B$5:E80)),COLUMNS($B$5:E80)),"")</f>
        <v/>
      </c>
    </row>
    <row r="81" spans="2:5" x14ac:dyDescent="0.3">
      <c r="B81" s="126" t="str">
        <f t="array" ref="B81">IFERROR(INDEX(BD[],_xlfn.AGGREGATE(15,6,IF(BD[CLASIFICACIÓN]=$B$2,ROW(BD[CLASIFICACIÓN])-ROW('PT2 (FILTRAR)'!$E$5)+1,NA()),ROWS($B$5:B81)),COLUMNS($B$5:B81)),"")</f>
        <v/>
      </c>
      <c r="C81" s="127" t="str">
        <f t="array" ref="C81">IFERROR(INDEX(BD[],_xlfn.AGGREGATE(15,6,IF(BD[CLASIFICACIÓN]=$B$2,ROW(BD[CLASIFICACIÓN])-ROW('PT2 (FILTRAR)'!$E$5)+1,NA()),ROWS($B$5:C81)),COLUMNS($B$5:C81)),"")</f>
        <v/>
      </c>
      <c r="D81" s="142" t="str">
        <f t="array" ref="D81">IFERROR(INDEX(BD[],_xlfn.AGGREGATE(15,6,IF(BD[CLASIFICACIÓN]=$B$2,ROW(BD[CLASIFICACIÓN])-ROW('PT2 (FILTRAR)'!$E$5)+1,NA()),ROWS($B$5:D81)),COLUMNS($B$5:D81)),"")</f>
        <v/>
      </c>
      <c r="E81" s="126" t="str">
        <f t="array" ref="E81">IFERROR(INDEX(BD[],_xlfn.AGGREGATE(15,6,IF(BD[CLASIFICACIÓN]=$B$2,ROW(BD[CLASIFICACIÓN])-ROW('PT2 (FILTRAR)'!$E$5)+1,NA()),ROWS($B$5:E81)),COLUMNS($B$5:E81)),"")</f>
        <v/>
      </c>
    </row>
    <row r="82" spans="2:5" x14ac:dyDescent="0.3">
      <c r="B82" s="126" t="str">
        <f t="array" ref="B82">IFERROR(INDEX(BD[],_xlfn.AGGREGATE(15,6,IF(BD[CLASIFICACIÓN]=$B$2,ROW(BD[CLASIFICACIÓN])-ROW('PT2 (FILTRAR)'!$E$5)+1,NA()),ROWS($B$5:B82)),COLUMNS($B$5:B82)),"")</f>
        <v/>
      </c>
      <c r="C82" s="127" t="str">
        <f t="array" ref="C82">IFERROR(INDEX(BD[],_xlfn.AGGREGATE(15,6,IF(BD[CLASIFICACIÓN]=$B$2,ROW(BD[CLASIFICACIÓN])-ROW('PT2 (FILTRAR)'!$E$5)+1,NA()),ROWS($B$5:C82)),COLUMNS($B$5:C82)),"")</f>
        <v/>
      </c>
      <c r="D82" s="142" t="str">
        <f t="array" ref="D82">IFERROR(INDEX(BD[],_xlfn.AGGREGATE(15,6,IF(BD[CLASIFICACIÓN]=$B$2,ROW(BD[CLASIFICACIÓN])-ROW('PT2 (FILTRAR)'!$E$5)+1,NA()),ROWS($B$5:D82)),COLUMNS($B$5:D82)),"")</f>
        <v/>
      </c>
      <c r="E82" s="126" t="str">
        <f t="array" ref="E82">IFERROR(INDEX(BD[],_xlfn.AGGREGATE(15,6,IF(BD[CLASIFICACIÓN]=$B$2,ROW(BD[CLASIFICACIÓN])-ROW('PT2 (FILTRAR)'!$E$5)+1,NA()),ROWS($B$5:E82)),COLUMNS($B$5:E82)),"")</f>
        <v/>
      </c>
    </row>
    <row r="83" spans="2:5" x14ac:dyDescent="0.3">
      <c r="B83" s="126" t="str">
        <f t="array" ref="B83">IFERROR(INDEX(BD[],_xlfn.AGGREGATE(15,6,IF(BD[CLASIFICACIÓN]=$B$2,ROW(BD[CLASIFICACIÓN])-ROW('PT2 (FILTRAR)'!$E$5)+1,NA()),ROWS($B$5:B83)),COLUMNS($B$5:B83)),"")</f>
        <v/>
      </c>
      <c r="C83" s="127" t="str">
        <f t="array" ref="C83">IFERROR(INDEX(BD[],_xlfn.AGGREGATE(15,6,IF(BD[CLASIFICACIÓN]=$B$2,ROW(BD[CLASIFICACIÓN])-ROW('PT2 (FILTRAR)'!$E$5)+1,NA()),ROWS($B$5:C83)),COLUMNS($B$5:C83)),"")</f>
        <v/>
      </c>
      <c r="D83" s="142" t="str">
        <f t="array" ref="D83">IFERROR(INDEX(BD[],_xlfn.AGGREGATE(15,6,IF(BD[CLASIFICACIÓN]=$B$2,ROW(BD[CLASIFICACIÓN])-ROW('PT2 (FILTRAR)'!$E$5)+1,NA()),ROWS($B$5:D83)),COLUMNS($B$5:D83)),"")</f>
        <v/>
      </c>
      <c r="E83" s="126" t="str">
        <f t="array" ref="E83">IFERROR(INDEX(BD[],_xlfn.AGGREGATE(15,6,IF(BD[CLASIFICACIÓN]=$B$2,ROW(BD[CLASIFICACIÓN])-ROW('PT2 (FILTRAR)'!$E$5)+1,NA()),ROWS($B$5:E83)),COLUMNS($B$5:E83)),"")</f>
        <v/>
      </c>
    </row>
    <row r="84" spans="2:5" x14ac:dyDescent="0.3">
      <c r="B84" s="126" t="str">
        <f t="array" ref="B84">IFERROR(INDEX(BD[],_xlfn.AGGREGATE(15,6,IF(BD[CLASIFICACIÓN]=$B$2,ROW(BD[CLASIFICACIÓN])-ROW('PT2 (FILTRAR)'!$E$5)+1,NA()),ROWS($B$5:B84)),COLUMNS($B$5:B84)),"")</f>
        <v/>
      </c>
      <c r="C84" s="127" t="str">
        <f t="array" ref="C84">IFERROR(INDEX(BD[],_xlfn.AGGREGATE(15,6,IF(BD[CLASIFICACIÓN]=$B$2,ROW(BD[CLASIFICACIÓN])-ROW('PT2 (FILTRAR)'!$E$5)+1,NA()),ROWS($B$5:C84)),COLUMNS($B$5:C84)),"")</f>
        <v/>
      </c>
      <c r="D84" s="142" t="str">
        <f t="array" ref="D84">IFERROR(INDEX(BD[],_xlfn.AGGREGATE(15,6,IF(BD[CLASIFICACIÓN]=$B$2,ROW(BD[CLASIFICACIÓN])-ROW('PT2 (FILTRAR)'!$E$5)+1,NA()),ROWS($B$5:D84)),COLUMNS($B$5:D84)),"")</f>
        <v/>
      </c>
      <c r="E84" s="126" t="str">
        <f t="array" ref="E84">IFERROR(INDEX(BD[],_xlfn.AGGREGATE(15,6,IF(BD[CLASIFICACIÓN]=$B$2,ROW(BD[CLASIFICACIÓN])-ROW('PT2 (FILTRAR)'!$E$5)+1,NA()),ROWS($B$5:E84)),COLUMNS($B$5:E84)),"")</f>
        <v/>
      </c>
    </row>
    <row r="85" spans="2:5" x14ac:dyDescent="0.3">
      <c r="B85" s="126" t="str">
        <f t="array" ref="B85">IFERROR(INDEX(BD[],_xlfn.AGGREGATE(15,6,IF(BD[CLASIFICACIÓN]=$B$2,ROW(BD[CLASIFICACIÓN])-ROW('PT2 (FILTRAR)'!$E$5)+1,NA()),ROWS($B$5:B85)),COLUMNS($B$5:B85)),"")</f>
        <v/>
      </c>
      <c r="C85" s="127" t="str">
        <f t="array" ref="C85">IFERROR(INDEX(BD[],_xlfn.AGGREGATE(15,6,IF(BD[CLASIFICACIÓN]=$B$2,ROW(BD[CLASIFICACIÓN])-ROW('PT2 (FILTRAR)'!$E$5)+1,NA()),ROWS($B$5:C85)),COLUMNS($B$5:C85)),"")</f>
        <v/>
      </c>
      <c r="D85" s="142" t="str">
        <f t="array" ref="D85">IFERROR(INDEX(BD[],_xlfn.AGGREGATE(15,6,IF(BD[CLASIFICACIÓN]=$B$2,ROW(BD[CLASIFICACIÓN])-ROW('PT2 (FILTRAR)'!$E$5)+1,NA()),ROWS($B$5:D85)),COLUMNS($B$5:D85)),"")</f>
        <v/>
      </c>
      <c r="E85" s="126" t="str">
        <f t="array" ref="E85">IFERROR(INDEX(BD[],_xlfn.AGGREGATE(15,6,IF(BD[CLASIFICACIÓN]=$B$2,ROW(BD[CLASIFICACIÓN])-ROW('PT2 (FILTRAR)'!$E$5)+1,NA()),ROWS($B$5:E85)),COLUMNS($B$5:E85)),"")</f>
        <v/>
      </c>
    </row>
    <row r="86" spans="2:5" x14ac:dyDescent="0.3">
      <c r="B86" s="126" t="str">
        <f t="array" ref="B86">IFERROR(INDEX(BD[],_xlfn.AGGREGATE(15,6,IF(BD[CLASIFICACIÓN]=$B$2,ROW(BD[CLASIFICACIÓN])-ROW('PT2 (FILTRAR)'!$E$5)+1,NA()),ROWS($B$5:B86)),COLUMNS($B$5:B86)),"")</f>
        <v/>
      </c>
      <c r="C86" s="127" t="str">
        <f t="array" ref="C86">IFERROR(INDEX(BD[],_xlfn.AGGREGATE(15,6,IF(BD[CLASIFICACIÓN]=$B$2,ROW(BD[CLASIFICACIÓN])-ROW('PT2 (FILTRAR)'!$E$5)+1,NA()),ROWS($B$5:C86)),COLUMNS($B$5:C86)),"")</f>
        <v/>
      </c>
      <c r="D86" s="142" t="str">
        <f t="array" ref="D86">IFERROR(INDEX(BD[],_xlfn.AGGREGATE(15,6,IF(BD[CLASIFICACIÓN]=$B$2,ROW(BD[CLASIFICACIÓN])-ROW('PT2 (FILTRAR)'!$E$5)+1,NA()),ROWS($B$5:D86)),COLUMNS($B$5:D86)),"")</f>
        <v/>
      </c>
      <c r="E86" s="126" t="str">
        <f t="array" ref="E86">IFERROR(INDEX(BD[],_xlfn.AGGREGATE(15,6,IF(BD[CLASIFICACIÓN]=$B$2,ROW(BD[CLASIFICACIÓN])-ROW('PT2 (FILTRAR)'!$E$5)+1,NA()),ROWS($B$5:E86)),COLUMNS($B$5:E86)),"")</f>
        <v/>
      </c>
    </row>
    <row r="87" spans="2:5" x14ac:dyDescent="0.3">
      <c r="B87" s="126" t="str">
        <f t="array" ref="B87">IFERROR(INDEX(BD[],_xlfn.AGGREGATE(15,6,IF(BD[CLASIFICACIÓN]=$B$2,ROW(BD[CLASIFICACIÓN])-ROW('PT2 (FILTRAR)'!$E$5)+1,NA()),ROWS($B$5:B87)),COLUMNS($B$5:B87)),"")</f>
        <v/>
      </c>
      <c r="C87" s="127" t="str">
        <f t="array" ref="C87">IFERROR(INDEX(BD[],_xlfn.AGGREGATE(15,6,IF(BD[CLASIFICACIÓN]=$B$2,ROW(BD[CLASIFICACIÓN])-ROW('PT2 (FILTRAR)'!$E$5)+1,NA()),ROWS($B$5:C87)),COLUMNS($B$5:C87)),"")</f>
        <v/>
      </c>
      <c r="D87" s="142" t="str">
        <f t="array" ref="D87">IFERROR(INDEX(BD[],_xlfn.AGGREGATE(15,6,IF(BD[CLASIFICACIÓN]=$B$2,ROW(BD[CLASIFICACIÓN])-ROW('PT2 (FILTRAR)'!$E$5)+1,NA()),ROWS($B$5:D87)),COLUMNS($B$5:D87)),"")</f>
        <v/>
      </c>
      <c r="E87" s="126" t="str">
        <f t="array" ref="E87">IFERROR(INDEX(BD[],_xlfn.AGGREGATE(15,6,IF(BD[CLASIFICACIÓN]=$B$2,ROW(BD[CLASIFICACIÓN])-ROW('PT2 (FILTRAR)'!$E$5)+1,NA()),ROWS($B$5:E87)),COLUMNS($B$5:E87)),"")</f>
        <v/>
      </c>
    </row>
    <row r="88" spans="2:5" x14ac:dyDescent="0.3">
      <c r="B88" s="126" t="str">
        <f t="array" ref="B88">IFERROR(INDEX(BD[],_xlfn.AGGREGATE(15,6,IF(BD[CLASIFICACIÓN]=$B$2,ROW(BD[CLASIFICACIÓN])-ROW('PT2 (FILTRAR)'!$E$5)+1,NA()),ROWS($B$5:B88)),COLUMNS($B$5:B88)),"")</f>
        <v/>
      </c>
      <c r="C88" s="127" t="str">
        <f t="array" ref="C88">IFERROR(INDEX(BD[],_xlfn.AGGREGATE(15,6,IF(BD[CLASIFICACIÓN]=$B$2,ROW(BD[CLASIFICACIÓN])-ROW('PT2 (FILTRAR)'!$E$5)+1,NA()),ROWS($B$5:C88)),COLUMNS($B$5:C88)),"")</f>
        <v/>
      </c>
      <c r="D88" s="142" t="str">
        <f t="array" ref="D88">IFERROR(INDEX(BD[],_xlfn.AGGREGATE(15,6,IF(BD[CLASIFICACIÓN]=$B$2,ROW(BD[CLASIFICACIÓN])-ROW('PT2 (FILTRAR)'!$E$5)+1,NA()),ROWS($B$5:D88)),COLUMNS($B$5:D88)),"")</f>
        <v/>
      </c>
      <c r="E88" s="126" t="str">
        <f t="array" ref="E88">IFERROR(INDEX(BD[],_xlfn.AGGREGATE(15,6,IF(BD[CLASIFICACIÓN]=$B$2,ROW(BD[CLASIFICACIÓN])-ROW('PT2 (FILTRAR)'!$E$5)+1,NA()),ROWS($B$5:E88)),COLUMNS($B$5:E88)),"")</f>
        <v/>
      </c>
    </row>
    <row r="89" spans="2:5" x14ac:dyDescent="0.3">
      <c r="B89" s="126" t="str">
        <f t="array" ref="B89">IFERROR(INDEX(BD[],_xlfn.AGGREGATE(15,6,IF(BD[CLASIFICACIÓN]=$B$2,ROW(BD[CLASIFICACIÓN])-ROW('PT2 (FILTRAR)'!$E$5)+1,NA()),ROWS($B$5:B89)),COLUMNS($B$5:B89)),"")</f>
        <v/>
      </c>
      <c r="C89" s="127" t="str">
        <f t="array" ref="C89">IFERROR(INDEX(BD[],_xlfn.AGGREGATE(15,6,IF(BD[CLASIFICACIÓN]=$B$2,ROW(BD[CLASIFICACIÓN])-ROW('PT2 (FILTRAR)'!$E$5)+1,NA()),ROWS($B$5:C89)),COLUMNS($B$5:C89)),"")</f>
        <v/>
      </c>
      <c r="D89" s="142" t="str">
        <f t="array" ref="D89">IFERROR(INDEX(BD[],_xlfn.AGGREGATE(15,6,IF(BD[CLASIFICACIÓN]=$B$2,ROW(BD[CLASIFICACIÓN])-ROW('PT2 (FILTRAR)'!$E$5)+1,NA()),ROWS($B$5:D89)),COLUMNS($B$5:D89)),"")</f>
        <v/>
      </c>
      <c r="E89" s="126" t="str">
        <f t="array" ref="E89">IFERROR(INDEX(BD[],_xlfn.AGGREGATE(15,6,IF(BD[CLASIFICACIÓN]=$B$2,ROW(BD[CLASIFICACIÓN])-ROW('PT2 (FILTRAR)'!$E$5)+1,NA()),ROWS($B$5:E89)),COLUMNS($B$5:E89)),"")</f>
        <v/>
      </c>
    </row>
    <row r="90" spans="2:5" x14ac:dyDescent="0.3">
      <c r="B90" s="126" t="str">
        <f t="array" ref="B90">IFERROR(INDEX(BD[],_xlfn.AGGREGATE(15,6,IF(BD[CLASIFICACIÓN]=$B$2,ROW(BD[CLASIFICACIÓN])-ROW('PT2 (FILTRAR)'!$E$5)+1,NA()),ROWS($B$5:B90)),COLUMNS($B$5:B90)),"")</f>
        <v/>
      </c>
      <c r="C90" s="127" t="str">
        <f t="array" ref="C90">IFERROR(INDEX(BD[],_xlfn.AGGREGATE(15,6,IF(BD[CLASIFICACIÓN]=$B$2,ROW(BD[CLASIFICACIÓN])-ROW('PT2 (FILTRAR)'!$E$5)+1,NA()),ROWS($B$5:C90)),COLUMNS($B$5:C90)),"")</f>
        <v/>
      </c>
      <c r="D90" s="142" t="str">
        <f t="array" ref="D90">IFERROR(INDEX(BD[],_xlfn.AGGREGATE(15,6,IF(BD[CLASIFICACIÓN]=$B$2,ROW(BD[CLASIFICACIÓN])-ROW('PT2 (FILTRAR)'!$E$5)+1,NA()),ROWS($B$5:D90)),COLUMNS($B$5:D90)),"")</f>
        <v/>
      </c>
      <c r="E90" s="126" t="str">
        <f t="array" ref="E90">IFERROR(INDEX(BD[],_xlfn.AGGREGATE(15,6,IF(BD[CLASIFICACIÓN]=$B$2,ROW(BD[CLASIFICACIÓN])-ROW('PT2 (FILTRAR)'!$E$5)+1,NA()),ROWS($B$5:E90)),COLUMNS($B$5:E90)),"")</f>
        <v/>
      </c>
    </row>
    <row r="91" spans="2:5" x14ac:dyDescent="0.3">
      <c r="B91" s="126" t="str">
        <f t="array" ref="B91">IFERROR(INDEX(BD[],_xlfn.AGGREGATE(15,6,IF(BD[CLASIFICACIÓN]=$B$2,ROW(BD[CLASIFICACIÓN])-ROW('PT2 (FILTRAR)'!$E$5)+1,NA()),ROWS($B$5:B91)),COLUMNS($B$5:B91)),"")</f>
        <v/>
      </c>
      <c r="C91" s="127" t="str">
        <f t="array" ref="C91">IFERROR(INDEX(BD[],_xlfn.AGGREGATE(15,6,IF(BD[CLASIFICACIÓN]=$B$2,ROW(BD[CLASIFICACIÓN])-ROW('PT2 (FILTRAR)'!$E$5)+1,NA()),ROWS($B$5:C91)),COLUMNS($B$5:C91)),"")</f>
        <v/>
      </c>
      <c r="D91" s="142" t="str">
        <f t="array" ref="D91">IFERROR(INDEX(BD[],_xlfn.AGGREGATE(15,6,IF(BD[CLASIFICACIÓN]=$B$2,ROW(BD[CLASIFICACIÓN])-ROW('PT2 (FILTRAR)'!$E$5)+1,NA()),ROWS($B$5:D91)),COLUMNS($B$5:D91)),"")</f>
        <v/>
      </c>
      <c r="E91" s="126" t="str">
        <f t="array" ref="E91">IFERROR(INDEX(BD[],_xlfn.AGGREGATE(15,6,IF(BD[CLASIFICACIÓN]=$B$2,ROW(BD[CLASIFICACIÓN])-ROW('PT2 (FILTRAR)'!$E$5)+1,NA()),ROWS($B$5:E91)),COLUMNS($B$5:E91)),"")</f>
        <v/>
      </c>
    </row>
    <row r="92" spans="2:5" x14ac:dyDescent="0.3">
      <c r="B92" s="126" t="str">
        <f t="array" ref="B92">IFERROR(INDEX(BD[],_xlfn.AGGREGATE(15,6,IF(BD[CLASIFICACIÓN]=$B$2,ROW(BD[CLASIFICACIÓN])-ROW('PT2 (FILTRAR)'!$E$5)+1,NA()),ROWS($B$5:B92)),COLUMNS($B$5:B92)),"")</f>
        <v/>
      </c>
      <c r="C92" s="127" t="str">
        <f t="array" ref="C92">IFERROR(INDEX(BD[],_xlfn.AGGREGATE(15,6,IF(BD[CLASIFICACIÓN]=$B$2,ROW(BD[CLASIFICACIÓN])-ROW('PT2 (FILTRAR)'!$E$5)+1,NA()),ROWS($B$5:C92)),COLUMNS($B$5:C92)),"")</f>
        <v/>
      </c>
      <c r="D92" s="142" t="str">
        <f t="array" ref="D92">IFERROR(INDEX(BD[],_xlfn.AGGREGATE(15,6,IF(BD[CLASIFICACIÓN]=$B$2,ROW(BD[CLASIFICACIÓN])-ROW('PT2 (FILTRAR)'!$E$5)+1,NA()),ROWS($B$5:D92)),COLUMNS($B$5:D92)),"")</f>
        <v/>
      </c>
      <c r="E92" s="126" t="str">
        <f t="array" ref="E92">IFERROR(INDEX(BD[],_xlfn.AGGREGATE(15,6,IF(BD[CLASIFICACIÓN]=$B$2,ROW(BD[CLASIFICACIÓN])-ROW('PT2 (FILTRAR)'!$E$5)+1,NA()),ROWS($B$5:E92)),COLUMNS($B$5:E92)),"")</f>
        <v/>
      </c>
    </row>
    <row r="93" spans="2:5" x14ac:dyDescent="0.3">
      <c r="B93" s="126" t="str">
        <f t="array" ref="B93">IFERROR(INDEX(BD[],_xlfn.AGGREGATE(15,6,IF(BD[CLASIFICACIÓN]=$B$2,ROW(BD[CLASIFICACIÓN])-ROW('PT2 (FILTRAR)'!$E$5)+1,NA()),ROWS($B$5:B93)),COLUMNS($B$5:B93)),"")</f>
        <v/>
      </c>
      <c r="C93" s="127" t="str">
        <f t="array" ref="C93">IFERROR(INDEX(BD[],_xlfn.AGGREGATE(15,6,IF(BD[CLASIFICACIÓN]=$B$2,ROW(BD[CLASIFICACIÓN])-ROW('PT2 (FILTRAR)'!$E$5)+1,NA()),ROWS($B$5:C93)),COLUMNS($B$5:C93)),"")</f>
        <v/>
      </c>
      <c r="D93" s="142" t="str">
        <f t="array" ref="D93">IFERROR(INDEX(BD[],_xlfn.AGGREGATE(15,6,IF(BD[CLASIFICACIÓN]=$B$2,ROW(BD[CLASIFICACIÓN])-ROW('PT2 (FILTRAR)'!$E$5)+1,NA()),ROWS($B$5:D93)),COLUMNS($B$5:D93)),"")</f>
        <v/>
      </c>
      <c r="E93" s="126" t="str">
        <f t="array" ref="E93">IFERROR(INDEX(BD[],_xlfn.AGGREGATE(15,6,IF(BD[CLASIFICACIÓN]=$B$2,ROW(BD[CLASIFICACIÓN])-ROW('PT2 (FILTRAR)'!$E$5)+1,NA()),ROWS($B$5:E93)),COLUMNS($B$5:E93)),"")</f>
        <v/>
      </c>
    </row>
    <row r="94" spans="2:5" x14ac:dyDescent="0.3">
      <c r="B94" s="126" t="str">
        <f t="array" ref="B94">IFERROR(INDEX(BD[],_xlfn.AGGREGATE(15,6,IF(BD[CLASIFICACIÓN]=$B$2,ROW(BD[CLASIFICACIÓN])-ROW('PT2 (FILTRAR)'!$E$5)+1,NA()),ROWS($B$5:B94)),COLUMNS($B$5:B94)),"")</f>
        <v/>
      </c>
      <c r="C94" s="127" t="str">
        <f t="array" ref="C94">IFERROR(INDEX(BD[],_xlfn.AGGREGATE(15,6,IF(BD[CLASIFICACIÓN]=$B$2,ROW(BD[CLASIFICACIÓN])-ROW('PT2 (FILTRAR)'!$E$5)+1,NA()),ROWS($B$5:C94)),COLUMNS($B$5:C94)),"")</f>
        <v/>
      </c>
      <c r="D94" s="142" t="str">
        <f t="array" ref="D94">IFERROR(INDEX(BD[],_xlfn.AGGREGATE(15,6,IF(BD[CLASIFICACIÓN]=$B$2,ROW(BD[CLASIFICACIÓN])-ROW('PT2 (FILTRAR)'!$E$5)+1,NA()),ROWS($B$5:D94)),COLUMNS($B$5:D94)),"")</f>
        <v/>
      </c>
      <c r="E94" s="126" t="str">
        <f t="array" ref="E94">IFERROR(INDEX(BD[],_xlfn.AGGREGATE(15,6,IF(BD[CLASIFICACIÓN]=$B$2,ROW(BD[CLASIFICACIÓN])-ROW('PT2 (FILTRAR)'!$E$5)+1,NA()),ROWS($B$5:E94)),COLUMNS($B$5:E94)),"")</f>
        <v/>
      </c>
    </row>
    <row r="95" spans="2:5" x14ac:dyDescent="0.3">
      <c r="B95" s="126" t="str">
        <f t="array" ref="B95">IFERROR(INDEX(BD[],_xlfn.AGGREGATE(15,6,IF(BD[CLASIFICACIÓN]=$B$2,ROW(BD[CLASIFICACIÓN])-ROW('PT2 (FILTRAR)'!$E$5)+1,NA()),ROWS($B$5:B95)),COLUMNS($B$5:B95)),"")</f>
        <v/>
      </c>
      <c r="C95" s="127" t="str">
        <f t="array" ref="C95">IFERROR(INDEX(BD[],_xlfn.AGGREGATE(15,6,IF(BD[CLASIFICACIÓN]=$B$2,ROW(BD[CLASIFICACIÓN])-ROW('PT2 (FILTRAR)'!$E$5)+1,NA()),ROWS($B$5:C95)),COLUMNS($B$5:C95)),"")</f>
        <v/>
      </c>
      <c r="D95" s="142" t="str">
        <f t="array" ref="D95">IFERROR(INDEX(BD[],_xlfn.AGGREGATE(15,6,IF(BD[CLASIFICACIÓN]=$B$2,ROW(BD[CLASIFICACIÓN])-ROW('PT2 (FILTRAR)'!$E$5)+1,NA()),ROWS($B$5:D95)),COLUMNS($B$5:D95)),"")</f>
        <v/>
      </c>
      <c r="E95" s="126" t="str">
        <f t="array" ref="E95">IFERROR(INDEX(BD[],_xlfn.AGGREGATE(15,6,IF(BD[CLASIFICACIÓN]=$B$2,ROW(BD[CLASIFICACIÓN])-ROW('PT2 (FILTRAR)'!$E$5)+1,NA()),ROWS($B$5:E95)),COLUMNS($B$5:E95)),"")</f>
        <v/>
      </c>
    </row>
    <row r="96" spans="2:5" x14ac:dyDescent="0.3">
      <c r="B96" s="126" t="str">
        <f t="array" ref="B96">IFERROR(INDEX(BD[],_xlfn.AGGREGATE(15,6,IF(BD[CLASIFICACIÓN]=$B$2,ROW(BD[CLASIFICACIÓN])-ROW('PT2 (FILTRAR)'!$E$5)+1,NA()),ROWS($B$5:B96)),COLUMNS($B$5:B96)),"")</f>
        <v/>
      </c>
      <c r="C96" s="127" t="str">
        <f t="array" ref="C96">IFERROR(INDEX(BD[],_xlfn.AGGREGATE(15,6,IF(BD[CLASIFICACIÓN]=$B$2,ROW(BD[CLASIFICACIÓN])-ROW('PT2 (FILTRAR)'!$E$5)+1,NA()),ROWS($B$5:C96)),COLUMNS($B$5:C96)),"")</f>
        <v/>
      </c>
      <c r="D96" s="142" t="str">
        <f t="array" ref="D96">IFERROR(INDEX(BD[],_xlfn.AGGREGATE(15,6,IF(BD[CLASIFICACIÓN]=$B$2,ROW(BD[CLASIFICACIÓN])-ROW('PT2 (FILTRAR)'!$E$5)+1,NA()),ROWS($B$5:D96)),COLUMNS($B$5:D96)),"")</f>
        <v/>
      </c>
      <c r="E96" s="126" t="str">
        <f t="array" ref="E96">IFERROR(INDEX(BD[],_xlfn.AGGREGATE(15,6,IF(BD[CLASIFICACIÓN]=$B$2,ROW(BD[CLASIFICACIÓN])-ROW('PT2 (FILTRAR)'!$E$5)+1,NA()),ROWS($B$5:E96)),COLUMNS($B$5:E96)),"")</f>
        <v/>
      </c>
    </row>
    <row r="97" spans="2:5" x14ac:dyDescent="0.3">
      <c r="B97" s="126" t="str">
        <f t="array" ref="B97">IFERROR(INDEX(BD[],_xlfn.AGGREGATE(15,6,IF(BD[CLASIFICACIÓN]=$B$2,ROW(BD[CLASIFICACIÓN])-ROW('PT2 (FILTRAR)'!$E$5)+1,NA()),ROWS($B$5:B97)),COLUMNS($B$5:B97)),"")</f>
        <v/>
      </c>
      <c r="C97" s="127" t="str">
        <f t="array" ref="C97">IFERROR(INDEX(BD[],_xlfn.AGGREGATE(15,6,IF(BD[CLASIFICACIÓN]=$B$2,ROW(BD[CLASIFICACIÓN])-ROW('PT2 (FILTRAR)'!$E$5)+1,NA()),ROWS($B$5:C97)),COLUMNS($B$5:C97)),"")</f>
        <v/>
      </c>
      <c r="D97" s="142" t="str">
        <f t="array" ref="D97">IFERROR(INDEX(BD[],_xlfn.AGGREGATE(15,6,IF(BD[CLASIFICACIÓN]=$B$2,ROW(BD[CLASIFICACIÓN])-ROW('PT2 (FILTRAR)'!$E$5)+1,NA()),ROWS($B$5:D97)),COLUMNS($B$5:D97)),"")</f>
        <v/>
      </c>
      <c r="E97" s="126" t="str">
        <f t="array" ref="E97">IFERROR(INDEX(BD[],_xlfn.AGGREGATE(15,6,IF(BD[CLASIFICACIÓN]=$B$2,ROW(BD[CLASIFICACIÓN])-ROW('PT2 (FILTRAR)'!$E$5)+1,NA()),ROWS($B$5:E97)),COLUMNS($B$5:E97)),"")</f>
        <v/>
      </c>
    </row>
    <row r="98" spans="2:5" x14ac:dyDescent="0.3">
      <c r="B98" s="126" t="str">
        <f t="array" ref="B98">IFERROR(INDEX(BD[],_xlfn.AGGREGATE(15,6,IF(BD[CLASIFICACIÓN]=$B$2,ROW(BD[CLASIFICACIÓN])-ROW('PT2 (FILTRAR)'!$E$5)+1,NA()),ROWS($B$5:B98)),COLUMNS($B$5:B98)),"")</f>
        <v/>
      </c>
      <c r="C98" s="127" t="str">
        <f t="array" ref="C98">IFERROR(INDEX(BD[],_xlfn.AGGREGATE(15,6,IF(BD[CLASIFICACIÓN]=$B$2,ROW(BD[CLASIFICACIÓN])-ROW('PT2 (FILTRAR)'!$E$5)+1,NA()),ROWS($B$5:C98)),COLUMNS($B$5:C98)),"")</f>
        <v/>
      </c>
      <c r="D98" s="142" t="str">
        <f t="array" ref="D98">IFERROR(INDEX(BD[],_xlfn.AGGREGATE(15,6,IF(BD[CLASIFICACIÓN]=$B$2,ROW(BD[CLASIFICACIÓN])-ROW('PT2 (FILTRAR)'!$E$5)+1,NA()),ROWS($B$5:D98)),COLUMNS($B$5:D98)),"")</f>
        <v/>
      </c>
      <c r="E98" s="126" t="str">
        <f t="array" ref="E98">IFERROR(INDEX(BD[],_xlfn.AGGREGATE(15,6,IF(BD[CLASIFICACIÓN]=$B$2,ROW(BD[CLASIFICACIÓN])-ROW('PT2 (FILTRAR)'!$E$5)+1,NA()),ROWS($B$5:E98)),COLUMNS($B$5:E98)),"")</f>
        <v/>
      </c>
    </row>
    <row r="99" spans="2:5" x14ac:dyDescent="0.3">
      <c r="B99" s="126" t="str">
        <f t="array" ref="B99">IFERROR(INDEX(BD[],_xlfn.AGGREGATE(15,6,IF(BD[CLASIFICACIÓN]=$B$2,ROW(BD[CLASIFICACIÓN])-ROW('PT2 (FILTRAR)'!$E$5)+1,NA()),ROWS($B$5:B99)),COLUMNS($B$5:B99)),"")</f>
        <v/>
      </c>
      <c r="C99" s="127" t="str">
        <f t="array" ref="C99">IFERROR(INDEX(BD[],_xlfn.AGGREGATE(15,6,IF(BD[CLASIFICACIÓN]=$B$2,ROW(BD[CLASIFICACIÓN])-ROW('PT2 (FILTRAR)'!$E$5)+1,NA()),ROWS($B$5:C99)),COLUMNS($B$5:C99)),"")</f>
        <v/>
      </c>
      <c r="D99" s="142" t="str">
        <f t="array" ref="D99">IFERROR(INDEX(BD[],_xlfn.AGGREGATE(15,6,IF(BD[CLASIFICACIÓN]=$B$2,ROW(BD[CLASIFICACIÓN])-ROW('PT2 (FILTRAR)'!$E$5)+1,NA()),ROWS($B$5:D99)),COLUMNS($B$5:D99)),"")</f>
        <v/>
      </c>
      <c r="E99" s="126" t="str">
        <f t="array" ref="E99">IFERROR(INDEX(BD[],_xlfn.AGGREGATE(15,6,IF(BD[CLASIFICACIÓN]=$B$2,ROW(BD[CLASIFICACIÓN])-ROW('PT2 (FILTRAR)'!$E$5)+1,NA()),ROWS($B$5:E99)),COLUMNS($B$5:E99)),"")</f>
        <v/>
      </c>
    </row>
    <row r="100" spans="2:5" x14ac:dyDescent="0.3">
      <c r="B100" s="126" t="str">
        <f t="array" ref="B100">IFERROR(INDEX(BD[],_xlfn.AGGREGATE(15,6,IF(BD[CLASIFICACIÓN]=$B$2,ROW(BD[CLASIFICACIÓN])-ROW('PT2 (FILTRAR)'!$E$5)+1,NA()),ROWS($B$5:B100)),COLUMNS($B$5:B100)),"")</f>
        <v/>
      </c>
      <c r="C100" s="127" t="str">
        <f t="array" ref="C100">IFERROR(INDEX(BD[],_xlfn.AGGREGATE(15,6,IF(BD[CLASIFICACIÓN]=$B$2,ROW(BD[CLASIFICACIÓN])-ROW('PT2 (FILTRAR)'!$E$5)+1,NA()),ROWS($B$5:C100)),COLUMNS($B$5:C100)),"")</f>
        <v/>
      </c>
      <c r="D100" s="142" t="str">
        <f t="array" ref="D100">IFERROR(INDEX(BD[],_xlfn.AGGREGATE(15,6,IF(BD[CLASIFICACIÓN]=$B$2,ROW(BD[CLASIFICACIÓN])-ROW('PT2 (FILTRAR)'!$E$5)+1,NA()),ROWS($B$5:D100)),COLUMNS($B$5:D100)),"")</f>
        <v/>
      </c>
      <c r="E100" s="126" t="str">
        <f t="array" ref="E100">IFERROR(INDEX(BD[],_xlfn.AGGREGATE(15,6,IF(BD[CLASIFICACIÓN]=$B$2,ROW(BD[CLASIFICACIÓN])-ROW('PT2 (FILTRAR)'!$E$5)+1,NA()),ROWS($B$5:E100)),COLUMNS($B$5:E100)),"")</f>
        <v/>
      </c>
    </row>
    <row r="101" spans="2:5" x14ac:dyDescent="0.3">
      <c r="B101" s="126" t="str">
        <f t="array" ref="B101">IFERROR(INDEX(BD[],_xlfn.AGGREGATE(15,6,IF(BD[CLASIFICACIÓN]=$B$2,ROW(BD[CLASIFICACIÓN])-ROW('PT2 (FILTRAR)'!$E$5)+1,NA()),ROWS($B$5:B101)),COLUMNS($B$5:B101)),"")</f>
        <v/>
      </c>
      <c r="C101" s="127" t="str">
        <f t="array" ref="C101">IFERROR(INDEX(BD[],_xlfn.AGGREGATE(15,6,IF(BD[CLASIFICACIÓN]=$B$2,ROW(BD[CLASIFICACIÓN])-ROW('PT2 (FILTRAR)'!$E$5)+1,NA()),ROWS($B$5:C101)),COLUMNS($B$5:C101)),"")</f>
        <v/>
      </c>
      <c r="D101" s="142" t="str">
        <f t="array" ref="D101">IFERROR(INDEX(BD[],_xlfn.AGGREGATE(15,6,IF(BD[CLASIFICACIÓN]=$B$2,ROW(BD[CLASIFICACIÓN])-ROW('PT2 (FILTRAR)'!$E$5)+1,NA()),ROWS($B$5:D101)),COLUMNS($B$5:D101)),"")</f>
        <v/>
      </c>
      <c r="E101" s="126" t="str">
        <f t="array" ref="E101">IFERROR(INDEX(BD[],_xlfn.AGGREGATE(15,6,IF(BD[CLASIFICACIÓN]=$B$2,ROW(BD[CLASIFICACIÓN])-ROW('PT2 (FILTRAR)'!$E$5)+1,NA()),ROWS($B$5:E101)),COLUMNS($B$5:E101)),"")</f>
        <v/>
      </c>
    </row>
    <row r="102" spans="2:5" x14ac:dyDescent="0.3">
      <c r="B102" s="126" t="str">
        <f t="array" ref="B102">IFERROR(INDEX(BD[],_xlfn.AGGREGATE(15,6,IF(BD[CLASIFICACIÓN]=$B$2,ROW(BD[CLASIFICACIÓN])-ROW('PT2 (FILTRAR)'!$E$5)+1,NA()),ROWS($B$5:B102)),COLUMNS($B$5:B102)),"")</f>
        <v/>
      </c>
      <c r="C102" s="127" t="str">
        <f t="array" ref="C102">IFERROR(INDEX(BD[],_xlfn.AGGREGATE(15,6,IF(BD[CLASIFICACIÓN]=$B$2,ROW(BD[CLASIFICACIÓN])-ROW('PT2 (FILTRAR)'!$E$5)+1,NA()),ROWS($B$5:C102)),COLUMNS($B$5:C102)),"")</f>
        <v/>
      </c>
      <c r="D102" s="142" t="str">
        <f t="array" ref="D102">IFERROR(INDEX(BD[],_xlfn.AGGREGATE(15,6,IF(BD[CLASIFICACIÓN]=$B$2,ROW(BD[CLASIFICACIÓN])-ROW('PT2 (FILTRAR)'!$E$5)+1,NA()),ROWS($B$5:D102)),COLUMNS($B$5:D102)),"")</f>
        <v/>
      </c>
      <c r="E102" s="126" t="str">
        <f t="array" ref="E102">IFERROR(INDEX(BD[],_xlfn.AGGREGATE(15,6,IF(BD[CLASIFICACIÓN]=$B$2,ROW(BD[CLASIFICACIÓN])-ROW('PT2 (FILTRAR)'!$E$5)+1,NA()),ROWS($B$5:E102)),COLUMNS($B$5:E102)),"")</f>
        <v/>
      </c>
    </row>
    <row r="103" spans="2:5" x14ac:dyDescent="0.3">
      <c r="B103" s="126" t="str">
        <f t="array" ref="B103">IFERROR(INDEX(BD[],_xlfn.AGGREGATE(15,6,IF(BD[CLASIFICACIÓN]=$B$2,ROW(BD[CLASIFICACIÓN])-ROW('PT2 (FILTRAR)'!$E$5)+1,NA()),ROWS($B$5:B103)),COLUMNS($B$5:B103)),"")</f>
        <v/>
      </c>
      <c r="C103" s="127" t="str">
        <f t="array" ref="C103">IFERROR(INDEX(BD[],_xlfn.AGGREGATE(15,6,IF(BD[CLASIFICACIÓN]=$B$2,ROW(BD[CLASIFICACIÓN])-ROW('PT2 (FILTRAR)'!$E$5)+1,NA()),ROWS($B$5:C103)),COLUMNS($B$5:C103)),"")</f>
        <v/>
      </c>
      <c r="D103" s="142" t="str">
        <f t="array" ref="D103">IFERROR(INDEX(BD[],_xlfn.AGGREGATE(15,6,IF(BD[CLASIFICACIÓN]=$B$2,ROW(BD[CLASIFICACIÓN])-ROW('PT2 (FILTRAR)'!$E$5)+1,NA()),ROWS($B$5:D103)),COLUMNS($B$5:D103)),"")</f>
        <v/>
      </c>
      <c r="E103" s="126" t="str">
        <f t="array" ref="E103">IFERROR(INDEX(BD[],_xlfn.AGGREGATE(15,6,IF(BD[CLASIFICACIÓN]=$B$2,ROW(BD[CLASIFICACIÓN])-ROW('PT2 (FILTRAR)'!$E$5)+1,NA()),ROWS($B$5:E103)),COLUMNS($B$5:E103)),"")</f>
        <v/>
      </c>
    </row>
    <row r="104" spans="2:5" x14ac:dyDescent="0.3">
      <c r="B104" s="126" t="str">
        <f t="array" ref="B104">IFERROR(INDEX(BD[],_xlfn.AGGREGATE(15,6,IF(BD[CLASIFICACIÓN]=$B$2,ROW(BD[CLASIFICACIÓN])-ROW('PT2 (FILTRAR)'!$E$5)+1,NA()),ROWS($B$5:B104)),COLUMNS($B$5:B104)),"")</f>
        <v/>
      </c>
      <c r="C104" s="127" t="str">
        <f t="array" ref="C104">IFERROR(INDEX(BD[],_xlfn.AGGREGATE(15,6,IF(BD[CLASIFICACIÓN]=$B$2,ROW(BD[CLASIFICACIÓN])-ROW('PT2 (FILTRAR)'!$E$5)+1,NA()),ROWS($B$5:C104)),COLUMNS($B$5:C104)),"")</f>
        <v/>
      </c>
      <c r="D104" s="142" t="str">
        <f t="array" ref="D104">IFERROR(INDEX(BD[],_xlfn.AGGREGATE(15,6,IF(BD[CLASIFICACIÓN]=$B$2,ROW(BD[CLASIFICACIÓN])-ROW('PT2 (FILTRAR)'!$E$5)+1,NA()),ROWS($B$5:D104)),COLUMNS($B$5:D104)),"")</f>
        <v/>
      </c>
      <c r="E104" s="126" t="str">
        <f t="array" ref="E104">IFERROR(INDEX(BD[],_xlfn.AGGREGATE(15,6,IF(BD[CLASIFICACIÓN]=$B$2,ROW(BD[CLASIFICACIÓN])-ROW('PT2 (FILTRAR)'!$E$5)+1,NA()),ROWS($B$5:E104)),COLUMNS($B$5:E104)),"")</f>
        <v/>
      </c>
    </row>
    <row r="105" spans="2:5" x14ac:dyDescent="0.3">
      <c r="B105" s="126" t="str">
        <f t="array" ref="B105">IFERROR(INDEX(BD[],_xlfn.AGGREGATE(15,6,IF(BD[CLASIFICACIÓN]=$B$2,ROW(BD[CLASIFICACIÓN])-ROW('PT2 (FILTRAR)'!$E$5)+1,NA()),ROWS($B$5:B105)),COLUMNS($B$5:B105)),"")</f>
        <v/>
      </c>
      <c r="C105" s="127" t="str">
        <f t="array" ref="C105">IFERROR(INDEX(BD[],_xlfn.AGGREGATE(15,6,IF(BD[CLASIFICACIÓN]=$B$2,ROW(BD[CLASIFICACIÓN])-ROW('PT2 (FILTRAR)'!$E$5)+1,NA()),ROWS($B$5:C105)),COLUMNS($B$5:C105)),"")</f>
        <v/>
      </c>
      <c r="D105" s="142" t="str">
        <f t="array" ref="D105">IFERROR(INDEX(BD[],_xlfn.AGGREGATE(15,6,IF(BD[CLASIFICACIÓN]=$B$2,ROW(BD[CLASIFICACIÓN])-ROW('PT2 (FILTRAR)'!$E$5)+1,NA()),ROWS($B$5:D105)),COLUMNS($B$5:D105)),"")</f>
        <v/>
      </c>
      <c r="E105" s="126" t="str">
        <f t="array" ref="E105">IFERROR(INDEX(BD[],_xlfn.AGGREGATE(15,6,IF(BD[CLASIFICACIÓN]=$B$2,ROW(BD[CLASIFICACIÓN])-ROW('PT2 (FILTRAR)'!$E$5)+1,NA()),ROWS($B$5:E105)),COLUMNS($B$5:E105)),"")</f>
        <v/>
      </c>
    </row>
    <row r="106" spans="2:5" x14ac:dyDescent="0.3">
      <c r="B106" s="126" t="str">
        <f t="array" ref="B106">IFERROR(INDEX(BD[],_xlfn.AGGREGATE(15,6,IF(BD[CLASIFICACIÓN]=$B$2,ROW(BD[CLASIFICACIÓN])-ROW('PT2 (FILTRAR)'!$E$5)+1,NA()),ROWS($B$5:B106)),COLUMNS($B$5:B106)),"")</f>
        <v/>
      </c>
      <c r="C106" s="127" t="str">
        <f t="array" ref="C106">IFERROR(INDEX(BD[],_xlfn.AGGREGATE(15,6,IF(BD[CLASIFICACIÓN]=$B$2,ROW(BD[CLASIFICACIÓN])-ROW('PT2 (FILTRAR)'!$E$5)+1,NA()),ROWS($B$5:C106)),COLUMNS($B$5:C106)),"")</f>
        <v/>
      </c>
      <c r="D106" s="142" t="str">
        <f t="array" ref="D106">IFERROR(INDEX(BD[],_xlfn.AGGREGATE(15,6,IF(BD[CLASIFICACIÓN]=$B$2,ROW(BD[CLASIFICACIÓN])-ROW('PT2 (FILTRAR)'!$E$5)+1,NA()),ROWS($B$5:D106)),COLUMNS($B$5:D106)),"")</f>
        <v/>
      </c>
      <c r="E106" s="126" t="str">
        <f t="array" ref="E106">IFERROR(INDEX(BD[],_xlfn.AGGREGATE(15,6,IF(BD[CLASIFICACIÓN]=$B$2,ROW(BD[CLASIFICACIÓN])-ROW('PT2 (FILTRAR)'!$E$5)+1,NA()),ROWS($B$5:E106)),COLUMNS($B$5:E106)),"")</f>
        <v/>
      </c>
    </row>
    <row r="107" spans="2:5" x14ac:dyDescent="0.3">
      <c r="B107" s="126" t="str">
        <f t="array" ref="B107">IFERROR(INDEX(BD[],_xlfn.AGGREGATE(15,6,IF(BD[CLASIFICACIÓN]=$B$2,ROW(BD[CLASIFICACIÓN])-ROW('PT2 (FILTRAR)'!$E$5)+1,NA()),ROWS($B$5:B107)),COLUMNS($B$5:B107)),"")</f>
        <v/>
      </c>
      <c r="C107" s="127" t="str">
        <f t="array" ref="C107">IFERROR(INDEX(BD[],_xlfn.AGGREGATE(15,6,IF(BD[CLASIFICACIÓN]=$B$2,ROW(BD[CLASIFICACIÓN])-ROW('PT2 (FILTRAR)'!$E$5)+1,NA()),ROWS($B$5:C107)),COLUMNS($B$5:C107)),"")</f>
        <v/>
      </c>
      <c r="D107" s="142" t="str">
        <f t="array" ref="D107">IFERROR(INDEX(BD[],_xlfn.AGGREGATE(15,6,IF(BD[CLASIFICACIÓN]=$B$2,ROW(BD[CLASIFICACIÓN])-ROW('PT2 (FILTRAR)'!$E$5)+1,NA()),ROWS($B$5:D107)),COLUMNS($B$5:D107)),"")</f>
        <v/>
      </c>
      <c r="E107" s="126" t="str">
        <f t="array" ref="E107">IFERROR(INDEX(BD[],_xlfn.AGGREGATE(15,6,IF(BD[CLASIFICACIÓN]=$B$2,ROW(BD[CLASIFICACIÓN])-ROW('PT2 (FILTRAR)'!$E$5)+1,NA()),ROWS($B$5:E107)),COLUMNS($B$5:E107)),"")</f>
        <v/>
      </c>
    </row>
    <row r="108" spans="2:5" x14ac:dyDescent="0.3">
      <c r="B108" s="126" t="str">
        <f t="array" ref="B108">IFERROR(INDEX(BD[],_xlfn.AGGREGATE(15,6,IF(BD[CLASIFICACIÓN]=$B$2,ROW(BD[CLASIFICACIÓN])-ROW('PT2 (FILTRAR)'!$E$5)+1,NA()),ROWS($B$5:B108)),COLUMNS($B$5:B108)),"")</f>
        <v/>
      </c>
      <c r="C108" s="127" t="str">
        <f t="array" ref="C108">IFERROR(INDEX(BD[],_xlfn.AGGREGATE(15,6,IF(BD[CLASIFICACIÓN]=$B$2,ROW(BD[CLASIFICACIÓN])-ROW('PT2 (FILTRAR)'!$E$5)+1,NA()),ROWS($B$5:C108)),COLUMNS($B$5:C108)),"")</f>
        <v/>
      </c>
      <c r="D108" s="142" t="str">
        <f t="array" ref="D108">IFERROR(INDEX(BD[],_xlfn.AGGREGATE(15,6,IF(BD[CLASIFICACIÓN]=$B$2,ROW(BD[CLASIFICACIÓN])-ROW('PT2 (FILTRAR)'!$E$5)+1,NA()),ROWS($B$5:D108)),COLUMNS($B$5:D108)),"")</f>
        <v/>
      </c>
      <c r="E108" s="126" t="str">
        <f t="array" ref="E108">IFERROR(INDEX(BD[],_xlfn.AGGREGATE(15,6,IF(BD[CLASIFICACIÓN]=$B$2,ROW(BD[CLASIFICACIÓN])-ROW('PT2 (FILTRAR)'!$E$5)+1,NA()),ROWS($B$5:E108)),COLUMNS($B$5:E108)),"")</f>
        <v/>
      </c>
    </row>
    <row r="109" spans="2:5" x14ac:dyDescent="0.3">
      <c r="B109" s="126" t="str">
        <f t="array" ref="B109">IFERROR(INDEX(BD[],_xlfn.AGGREGATE(15,6,IF(BD[CLASIFICACIÓN]=$B$2,ROW(BD[CLASIFICACIÓN])-ROW('PT2 (FILTRAR)'!$E$5)+1,NA()),ROWS($B$5:B109)),COLUMNS($B$5:B109)),"")</f>
        <v/>
      </c>
      <c r="C109" s="127" t="str">
        <f t="array" ref="C109">IFERROR(INDEX(BD[],_xlfn.AGGREGATE(15,6,IF(BD[CLASIFICACIÓN]=$B$2,ROW(BD[CLASIFICACIÓN])-ROW('PT2 (FILTRAR)'!$E$5)+1,NA()),ROWS($B$5:C109)),COLUMNS($B$5:C109)),"")</f>
        <v/>
      </c>
      <c r="D109" s="142" t="str">
        <f t="array" ref="D109">IFERROR(INDEX(BD[],_xlfn.AGGREGATE(15,6,IF(BD[CLASIFICACIÓN]=$B$2,ROW(BD[CLASIFICACIÓN])-ROW('PT2 (FILTRAR)'!$E$5)+1,NA()),ROWS($B$5:D109)),COLUMNS($B$5:D109)),"")</f>
        <v/>
      </c>
      <c r="E109" s="126" t="str">
        <f t="array" ref="E109">IFERROR(INDEX(BD[],_xlfn.AGGREGATE(15,6,IF(BD[CLASIFICACIÓN]=$B$2,ROW(BD[CLASIFICACIÓN])-ROW('PT2 (FILTRAR)'!$E$5)+1,NA()),ROWS($B$5:E109)),COLUMNS($B$5:E109)),"")</f>
        <v/>
      </c>
    </row>
    <row r="110" spans="2:5" x14ac:dyDescent="0.3">
      <c r="B110" s="126" t="str">
        <f t="array" ref="B110">IFERROR(INDEX(BD[],_xlfn.AGGREGATE(15,6,IF(BD[CLASIFICACIÓN]=$B$2,ROW(BD[CLASIFICACIÓN])-ROW('PT2 (FILTRAR)'!$E$5)+1,NA()),ROWS($B$5:B110)),COLUMNS($B$5:B110)),"")</f>
        <v/>
      </c>
      <c r="C110" s="127" t="str">
        <f t="array" ref="C110">IFERROR(INDEX(BD[],_xlfn.AGGREGATE(15,6,IF(BD[CLASIFICACIÓN]=$B$2,ROW(BD[CLASIFICACIÓN])-ROW('PT2 (FILTRAR)'!$E$5)+1,NA()),ROWS($B$5:C110)),COLUMNS($B$5:C110)),"")</f>
        <v/>
      </c>
      <c r="D110" s="142" t="str">
        <f t="array" ref="D110">IFERROR(INDEX(BD[],_xlfn.AGGREGATE(15,6,IF(BD[CLASIFICACIÓN]=$B$2,ROW(BD[CLASIFICACIÓN])-ROW('PT2 (FILTRAR)'!$E$5)+1,NA()),ROWS($B$5:D110)),COLUMNS($B$5:D110)),"")</f>
        <v/>
      </c>
      <c r="E110" s="126" t="str">
        <f t="array" ref="E110">IFERROR(INDEX(BD[],_xlfn.AGGREGATE(15,6,IF(BD[CLASIFICACIÓN]=$B$2,ROW(BD[CLASIFICACIÓN])-ROW('PT2 (FILTRAR)'!$E$5)+1,NA()),ROWS($B$5:E110)),COLUMNS($B$5:E110)),"")</f>
        <v/>
      </c>
    </row>
    <row r="111" spans="2:5" x14ac:dyDescent="0.3">
      <c r="B111" s="126" t="str">
        <f t="array" ref="B111">IFERROR(INDEX(BD[],_xlfn.AGGREGATE(15,6,IF(BD[CLASIFICACIÓN]=$B$2,ROW(BD[CLASIFICACIÓN])-ROW('PT2 (FILTRAR)'!$E$5)+1,NA()),ROWS($B$5:B111)),COLUMNS($B$5:B111)),"")</f>
        <v/>
      </c>
      <c r="C111" s="127" t="str">
        <f t="array" ref="C111">IFERROR(INDEX(BD[],_xlfn.AGGREGATE(15,6,IF(BD[CLASIFICACIÓN]=$B$2,ROW(BD[CLASIFICACIÓN])-ROW('PT2 (FILTRAR)'!$E$5)+1,NA()),ROWS($B$5:C111)),COLUMNS($B$5:C111)),"")</f>
        <v/>
      </c>
      <c r="D111" s="142" t="str">
        <f t="array" ref="D111">IFERROR(INDEX(BD[],_xlfn.AGGREGATE(15,6,IF(BD[CLASIFICACIÓN]=$B$2,ROW(BD[CLASIFICACIÓN])-ROW('PT2 (FILTRAR)'!$E$5)+1,NA()),ROWS($B$5:D111)),COLUMNS($B$5:D111)),"")</f>
        <v/>
      </c>
      <c r="E111" s="126" t="str">
        <f t="array" ref="E111">IFERROR(INDEX(BD[],_xlfn.AGGREGATE(15,6,IF(BD[CLASIFICACIÓN]=$B$2,ROW(BD[CLASIFICACIÓN])-ROW('PT2 (FILTRAR)'!$E$5)+1,NA()),ROWS($B$5:E111)),COLUMNS($B$5:E111)),"")</f>
        <v/>
      </c>
    </row>
    <row r="112" spans="2:5" x14ac:dyDescent="0.3">
      <c r="B112" s="126" t="str">
        <f t="array" ref="B112">IFERROR(INDEX(BD[],_xlfn.AGGREGATE(15,6,IF(BD[CLASIFICACIÓN]=$B$2,ROW(BD[CLASIFICACIÓN])-ROW('PT2 (FILTRAR)'!$E$5)+1,NA()),ROWS($B$5:B112)),COLUMNS($B$5:B112)),"")</f>
        <v/>
      </c>
      <c r="C112" s="127" t="str">
        <f t="array" ref="C112">IFERROR(INDEX(BD[],_xlfn.AGGREGATE(15,6,IF(BD[CLASIFICACIÓN]=$B$2,ROW(BD[CLASIFICACIÓN])-ROW('PT2 (FILTRAR)'!$E$5)+1,NA()),ROWS($B$5:C112)),COLUMNS($B$5:C112)),"")</f>
        <v/>
      </c>
      <c r="D112" s="142" t="str">
        <f t="array" ref="D112">IFERROR(INDEX(BD[],_xlfn.AGGREGATE(15,6,IF(BD[CLASIFICACIÓN]=$B$2,ROW(BD[CLASIFICACIÓN])-ROW('PT2 (FILTRAR)'!$E$5)+1,NA()),ROWS($B$5:D112)),COLUMNS($B$5:D112)),"")</f>
        <v/>
      </c>
      <c r="E112" s="126" t="str">
        <f t="array" ref="E112">IFERROR(INDEX(BD[],_xlfn.AGGREGATE(15,6,IF(BD[CLASIFICACIÓN]=$B$2,ROW(BD[CLASIFICACIÓN])-ROW('PT2 (FILTRAR)'!$E$5)+1,NA()),ROWS($B$5:E112)),COLUMNS($B$5:E112)),"")</f>
        <v/>
      </c>
    </row>
    <row r="113" spans="2:5" x14ac:dyDescent="0.3">
      <c r="B113" s="126" t="str">
        <f t="array" ref="B113">IFERROR(INDEX(BD[],_xlfn.AGGREGATE(15,6,IF(BD[CLASIFICACIÓN]=$B$2,ROW(BD[CLASIFICACIÓN])-ROW('PT2 (FILTRAR)'!$E$5)+1,NA()),ROWS($B$5:B113)),COLUMNS($B$5:B113)),"")</f>
        <v/>
      </c>
      <c r="C113" s="127" t="str">
        <f t="array" ref="C113">IFERROR(INDEX(BD[],_xlfn.AGGREGATE(15,6,IF(BD[CLASIFICACIÓN]=$B$2,ROW(BD[CLASIFICACIÓN])-ROW('PT2 (FILTRAR)'!$E$5)+1,NA()),ROWS($B$5:C113)),COLUMNS($B$5:C113)),"")</f>
        <v/>
      </c>
      <c r="D113" s="142" t="str">
        <f t="array" ref="D113">IFERROR(INDEX(BD[],_xlfn.AGGREGATE(15,6,IF(BD[CLASIFICACIÓN]=$B$2,ROW(BD[CLASIFICACIÓN])-ROW('PT2 (FILTRAR)'!$E$5)+1,NA()),ROWS($B$5:D113)),COLUMNS($B$5:D113)),"")</f>
        <v/>
      </c>
      <c r="E113" s="126" t="str">
        <f t="array" ref="E113">IFERROR(INDEX(BD[],_xlfn.AGGREGATE(15,6,IF(BD[CLASIFICACIÓN]=$B$2,ROW(BD[CLASIFICACIÓN])-ROW('PT2 (FILTRAR)'!$E$5)+1,NA()),ROWS($B$5:E113)),COLUMNS($B$5:E113)),"")</f>
        <v/>
      </c>
    </row>
    <row r="114" spans="2:5" x14ac:dyDescent="0.3">
      <c r="B114" s="126" t="str">
        <f t="array" ref="B114">IFERROR(INDEX(BD[],_xlfn.AGGREGATE(15,6,IF(BD[CLASIFICACIÓN]=$B$2,ROW(BD[CLASIFICACIÓN])-ROW('PT2 (FILTRAR)'!$E$5)+1,NA()),ROWS($B$5:B114)),COLUMNS($B$5:B114)),"")</f>
        <v/>
      </c>
      <c r="C114" s="127" t="str">
        <f t="array" ref="C114">IFERROR(INDEX(BD[],_xlfn.AGGREGATE(15,6,IF(BD[CLASIFICACIÓN]=$B$2,ROW(BD[CLASIFICACIÓN])-ROW('PT2 (FILTRAR)'!$E$5)+1,NA()),ROWS($B$5:C114)),COLUMNS($B$5:C114)),"")</f>
        <v/>
      </c>
      <c r="D114" s="142" t="str">
        <f t="array" ref="D114">IFERROR(INDEX(BD[],_xlfn.AGGREGATE(15,6,IF(BD[CLASIFICACIÓN]=$B$2,ROW(BD[CLASIFICACIÓN])-ROW('PT2 (FILTRAR)'!$E$5)+1,NA()),ROWS($B$5:D114)),COLUMNS($B$5:D114)),"")</f>
        <v/>
      </c>
      <c r="E114" s="126" t="str">
        <f t="array" ref="E114">IFERROR(INDEX(BD[],_xlfn.AGGREGATE(15,6,IF(BD[CLASIFICACIÓN]=$B$2,ROW(BD[CLASIFICACIÓN])-ROW('PT2 (FILTRAR)'!$E$5)+1,NA()),ROWS($B$5:E114)),COLUMNS($B$5:E114)),"")</f>
        <v/>
      </c>
    </row>
    <row r="115" spans="2:5" x14ac:dyDescent="0.3">
      <c r="B115" s="126" t="str">
        <f t="array" ref="B115">IFERROR(INDEX(BD[],_xlfn.AGGREGATE(15,6,IF(BD[CLASIFICACIÓN]=$B$2,ROW(BD[CLASIFICACIÓN])-ROW('PT2 (FILTRAR)'!$E$5)+1,NA()),ROWS($B$5:B115)),COLUMNS($B$5:B115)),"")</f>
        <v/>
      </c>
      <c r="C115" s="127" t="str">
        <f t="array" ref="C115">IFERROR(INDEX(BD[],_xlfn.AGGREGATE(15,6,IF(BD[CLASIFICACIÓN]=$B$2,ROW(BD[CLASIFICACIÓN])-ROW('PT2 (FILTRAR)'!$E$5)+1,NA()),ROWS($B$5:C115)),COLUMNS($B$5:C115)),"")</f>
        <v/>
      </c>
      <c r="D115" s="142" t="str">
        <f t="array" ref="D115">IFERROR(INDEX(BD[],_xlfn.AGGREGATE(15,6,IF(BD[CLASIFICACIÓN]=$B$2,ROW(BD[CLASIFICACIÓN])-ROW('PT2 (FILTRAR)'!$E$5)+1,NA()),ROWS($B$5:D115)),COLUMNS($B$5:D115)),"")</f>
        <v/>
      </c>
      <c r="E115" s="126" t="str">
        <f t="array" ref="E115">IFERROR(INDEX(BD[],_xlfn.AGGREGATE(15,6,IF(BD[CLASIFICACIÓN]=$B$2,ROW(BD[CLASIFICACIÓN])-ROW('PT2 (FILTRAR)'!$E$5)+1,NA()),ROWS($B$5:E115)),COLUMNS($B$5:E115)),"")</f>
        <v/>
      </c>
    </row>
    <row r="116" spans="2:5" x14ac:dyDescent="0.3">
      <c r="B116" s="126" t="str">
        <f t="array" ref="B116">IFERROR(INDEX(BD[],_xlfn.AGGREGATE(15,6,IF(BD[CLASIFICACIÓN]=$B$2,ROW(BD[CLASIFICACIÓN])-ROW('PT2 (FILTRAR)'!$E$5)+1,NA()),ROWS($B$5:B116)),COLUMNS($B$5:B116)),"")</f>
        <v/>
      </c>
      <c r="C116" s="127" t="str">
        <f t="array" ref="C116">IFERROR(INDEX(BD[],_xlfn.AGGREGATE(15,6,IF(BD[CLASIFICACIÓN]=$B$2,ROW(BD[CLASIFICACIÓN])-ROW('PT2 (FILTRAR)'!$E$5)+1,NA()),ROWS($B$5:C116)),COLUMNS($B$5:C116)),"")</f>
        <v/>
      </c>
      <c r="D116" s="142" t="str">
        <f t="array" ref="D116">IFERROR(INDEX(BD[],_xlfn.AGGREGATE(15,6,IF(BD[CLASIFICACIÓN]=$B$2,ROW(BD[CLASIFICACIÓN])-ROW('PT2 (FILTRAR)'!$E$5)+1,NA()),ROWS($B$5:D116)),COLUMNS($B$5:D116)),"")</f>
        <v/>
      </c>
      <c r="E116" s="126" t="str">
        <f t="array" ref="E116">IFERROR(INDEX(BD[],_xlfn.AGGREGATE(15,6,IF(BD[CLASIFICACIÓN]=$B$2,ROW(BD[CLASIFICACIÓN])-ROW('PT2 (FILTRAR)'!$E$5)+1,NA()),ROWS($B$5:E116)),COLUMNS($B$5:E116)),"")</f>
        <v/>
      </c>
    </row>
    <row r="117" spans="2:5" x14ac:dyDescent="0.3">
      <c r="B117" s="126" t="str">
        <f t="array" ref="B117">IFERROR(INDEX(BD[],_xlfn.AGGREGATE(15,6,IF(BD[CLASIFICACIÓN]=$B$2,ROW(BD[CLASIFICACIÓN])-ROW('PT2 (FILTRAR)'!$E$5)+1,NA()),ROWS($B$5:B117)),COLUMNS($B$5:B117)),"")</f>
        <v/>
      </c>
      <c r="C117" s="127" t="str">
        <f t="array" ref="C117">IFERROR(INDEX(BD[],_xlfn.AGGREGATE(15,6,IF(BD[CLASIFICACIÓN]=$B$2,ROW(BD[CLASIFICACIÓN])-ROW('PT2 (FILTRAR)'!$E$5)+1,NA()),ROWS($B$5:C117)),COLUMNS($B$5:C117)),"")</f>
        <v/>
      </c>
      <c r="D117" s="142" t="str">
        <f t="array" ref="D117">IFERROR(INDEX(BD[],_xlfn.AGGREGATE(15,6,IF(BD[CLASIFICACIÓN]=$B$2,ROW(BD[CLASIFICACIÓN])-ROW('PT2 (FILTRAR)'!$E$5)+1,NA()),ROWS($B$5:D117)),COLUMNS($B$5:D117)),"")</f>
        <v/>
      </c>
      <c r="E117" s="126" t="str">
        <f t="array" ref="E117">IFERROR(INDEX(BD[],_xlfn.AGGREGATE(15,6,IF(BD[CLASIFICACIÓN]=$B$2,ROW(BD[CLASIFICACIÓN])-ROW('PT2 (FILTRAR)'!$E$5)+1,NA()),ROWS($B$5:E117)),COLUMNS($B$5:E117)),"")</f>
        <v/>
      </c>
    </row>
    <row r="118" spans="2:5" x14ac:dyDescent="0.3">
      <c r="B118" s="126" t="str">
        <f t="array" ref="B118">IFERROR(INDEX(BD[],_xlfn.AGGREGATE(15,6,IF(BD[CLASIFICACIÓN]=$B$2,ROW(BD[CLASIFICACIÓN])-ROW('PT2 (FILTRAR)'!$E$5)+1,NA()),ROWS($B$5:B118)),COLUMNS($B$5:B118)),"")</f>
        <v/>
      </c>
      <c r="C118" s="127" t="str">
        <f t="array" ref="C118">IFERROR(INDEX(BD[],_xlfn.AGGREGATE(15,6,IF(BD[CLASIFICACIÓN]=$B$2,ROW(BD[CLASIFICACIÓN])-ROW('PT2 (FILTRAR)'!$E$5)+1,NA()),ROWS($B$5:C118)),COLUMNS($B$5:C118)),"")</f>
        <v/>
      </c>
      <c r="D118" s="142" t="str">
        <f t="array" ref="D118">IFERROR(INDEX(BD[],_xlfn.AGGREGATE(15,6,IF(BD[CLASIFICACIÓN]=$B$2,ROW(BD[CLASIFICACIÓN])-ROW('PT2 (FILTRAR)'!$E$5)+1,NA()),ROWS($B$5:D118)),COLUMNS($B$5:D118)),"")</f>
        <v/>
      </c>
      <c r="E118" s="126" t="str">
        <f t="array" ref="E118">IFERROR(INDEX(BD[],_xlfn.AGGREGATE(15,6,IF(BD[CLASIFICACIÓN]=$B$2,ROW(BD[CLASIFICACIÓN])-ROW('PT2 (FILTRAR)'!$E$5)+1,NA()),ROWS($B$5:E118)),COLUMNS($B$5:E118)),"")</f>
        <v/>
      </c>
    </row>
    <row r="119" spans="2:5" x14ac:dyDescent="0.3">
      <c r="B119" s="126" t="str">
        <f t="array" ref="B119">IFERROR(INDEX(BD[],_xlfn.AGGREGATE(15,6,IF(BD[CLASIFICACIÓN]=$B$2,ROW(BD[CLASIFICACIÓN])-ROW('PT2 (FILTRAR)'!$E$5)+1,NA()),ROWS($B$5:B119)),COLUMNS($B$5:B119)),"")</f>
        <v/>
      </c>
      <c r="C119" s="127" t="str">
        <f t="array" ref="C119">IFERROR(INDEX(BD[],_xlfn.AGGREGATE(15,6,IF(BD[CLASIFICACIÓN]=$B$2,ROW(BD[CLASIFICACIÓN])-ROW('PT2 (FILTRAR)'!$E$5)+1,NA()),ROWS($B$5:C119)),COLUMNS($B$5:C119)),"")</f>
        <v/>
      </c>
      <c r="D119" s="142" t="str">
        <f t="array" ref="D119">IFERROR(INDEX(BD[],_xlfn.AGGREGATE(15,6,IF(BD[CLASIFICACIÓN]=$B$2,ROW(BD[CLASIFICACIÓN])-ROW('PT2 (FILTRAR)'!$E$5)+1,NA()),ROWS($B$5:D119)),COLUMNS($B$5:D119)),"")</f>
        <v/>
      </c>
      <c r="E119" s="126" t="str">
        <f t="array" ref="E119">IFERROR(INDEX(BD[],_xlfn.AGGREGATE(15,6,IF(BD[CLASIFICACIÓN]=$B$2,ROW(BD[CLASIFICACIÓN])-ROW('PT2 (FILTRAR)'!$E$5)+1,NA()),ROWS($B$5:E119)),COLUMNS($B$5:E119)),"")</f>
        <v/>
      </c>
    </row>
    <row r="120" spans="2:5" x14ac:dyDescent="0.3">
      <c r="B120" s="126" t="str">
        <f t="array" ref="B120">IFERROR(INDEX(BD[],_xlfn.AGGREGATE(15,6,IF(BD[CLASIFICACIÓN]=$B$2,ROW(BD[CLASIFICACIÓN])-ROW('PT2 (FILTRAR)'!$E$5)+1,NA()),ROWS($B$5:B120)),COLUMNS($B$5:B120)),"")</f>
        <v/>
      </c>
      <c r="C120" s="127" t="str">
        <f t="array" ref="C120">IFERROR(INDEX(BD[],_xlfn.AGGREGATE(15,6,IF(BD[CLASIFICACIÓN]=$B$2,ROW(BD[CLASIFICACIÓN])-ROW('PT2 (FILTRAR)'!$E$5)+1,NA()),ROWS($B$5:C120)),COLUMNS($B$5:C120)),"")</f>
        <v/>
      </c>
      <c r="D120" s="142" t="str">
        <f t="array" ref="D120">IFERROR(INDEX(BD[],_xlfn.AGGREGATE(15,6,IF(BD[CLASIFICACIÓN]=$B$2,ROW(BD[CLASIFICACIÓN])-ROW('PT2 (FILTRAR)'!$E$5)+1,NA()),ROWS($B$5:D120)),COLUMNS($B$5:D120)),"")</f>
        <v/>
      </c>
      <c r="E120" s="126" t="str">
        <f t="array" ref="E120">IFERROR(INDEX(BD[],_xlfn.AGGREGATE(15,6,IF(BD[CLASIFICACIÓN]=$B$2,ROW(BD[CLASIFICACIÓN])-ROW('PT2 (FILTRAR)'!$E$5)+1,NA()),ROWS($B$5:E120)),COLUMNS($B$5:E120)),"")</f>
        <v/>
      </c>
    </row>
    <row r="121" spans="2:5" x14ac:dyDescent="0.3">
      <c r="B121" s="126" t="str">
        <f t="array" ref="B121">IFERROR(INDEX(BD[],_xlfn.AGGREGATE(15,6,IF(BD[CLASIFICACIÓN]=$B$2,ROW(BD[CLASIFICACIÓN])-ROW('PT2 (FILTRAR)'!$E$5)+1,NA()),ROWS($B$5:B121)),COLUMNS($B$5:B121)),"")</f>
        <v/>
      </c>
      <c r="C121" s="127" t="str">
        <f t="array" ref="C121">IFERROR(INDEX(BD[],_xlfn.AGGREGATE(15,6,IF(BD[CLASIFICACIÓN]=$B$2,ROW(BD[CLASIFICACIÓN])-ROW('PT2 (FILTRAR)'!$E$5)+1,NA()),ROWS($B$5:C121)),COLUMNS($B$5:C121)),"")</f>
        <v/>
      </c>
      <c r="D121" s="142" t="str">
        <f t="array" ref="D121">IFERROR(INDEX(BD[],_xlfn.AGGREGATE(15,6,IF(BD[CLASIFICACIÓN]=$B$2,ROW(BD[CLASIFICACIÓN])-ROW('PT2 (FILTRAR)'!$E$5)+1,NA()),ROWS($B$5:D121)),COLUMNS($B$5:D121)),"")</f>
        <v/>
      </c>
      <c r="E121" s="126" t="str">
        <f t="array" ref="E121">IFERROR(INDEX(BD[],_xlfn.AGGREGATE(15,6,IF(BD[CLASIFICACIÓN]=$B$2,ROW(BD[CLASIFICACIÓN])-ROW('PT2 (FILTRAR)'!$E$5)+1,NA()),ROWS($B$5:E121)),COLUMNS($B$5:E121)),"")</f>
        <v/>
      </c>
    </row>
    <row r="122" spans="2:5" x14ac:dyDescent="0.3">
      <c r="B122" s="126" t="str">
        <f t="array" ref="B122">IFERROR(INDEX(BD[],_xlfn.AGGREGATE(15,6,IF(BD[CLASIFICACIÓN]=$B$2,ROW(BD[CLASIFICACIÓN])-ROW('PT2 (FILTRAR)'!$E$5)+1,NA()),ROWS($B$5:B122)),COLUMNS($B$5:B122)),"")</f>
        <v/>
      </c>
      <c r="C122" s="127" t="str">
        <f t="array" ref="C122">IFERROR(INDEX(BD[],_xlfn.AGGREGATE(15,6,IF(BD[CLASIFICACIÓN]=$B$2,ROW(BD[CLASIFICACIÓN])-ROW('PT2 (FILTRAR)'!$E$5)+1,NA()),ROWS($B$5:C122)),COLUMNS($B$5:C122)),"")</f>
        <v/>
      </c>
      <c r="D122" s="142" t="str">
        <f t="array" ref="D122">IFERROR(INDEX(BD[],_xlfn.AGGREGATE(15,6,IF(BD[CLASIFICACIÓN]=$B$2,ROW(BD[CLASIFICACIÓN])-ROW('PT2 (FILTRAR)'!$E$5)+1,NA()),ROWS($B$5:D122)),COLUMNS($B$5:D122)),"")</f>
        <v/>
      </c>
      <c r="E122" s="126" t="str">
        <f t="array" ref="E122">IFERROR(INDEX(BD[],_xlfn.AGGREGATE(15,6,IF(BD[CLASIFICACIÓN]=$B$2,ROW(BD[CLASIFICACIÓN])-ROW('PT2 (FILTRAR)'!$E$5)+1,NA()),ROWS($B$5:E122)),COLUMNS($B$5:E122)),"")</f>
        <v/>
      </c>
    </row>
    <row r="123" spans="2:5" x14ac:dyDescent="0.3">
      <c r="B123" s="126" t="str">
        <f t="array" ref="B123">IFERROR(INDEX(BD[],_xlfn.AGGREGATE(15,6,IF(BD[CLASIFICACIÓN]=$B$2,ROW(BD[CLASIFICACIÓN])-ROW('PT2 (FILTRAR)'!$E$5)+1,NA()),ROWS($B$5:B123)),COLUMNS($B$5:B123)),"")</f>
        <v/>
      </c>
      <c r="C123" s="127" t="str">
        <f t="array" ref="C123">IFERROR(INDEX(BD[],_xlfn.AGGREGATE(15,6,IF(BD[CLASIFICACIÓN]=$B$2,ROW(BD[CLASIFICACIÓN])-ROW('PT2 (FILTRAR)'!$E$5)+1,NA()),ROWS($B$5:C123)),COLUMNS($B$5:C123)),"")</f>
        <v/>
      </c>
      <c r="D123" s="142" t="str">
        <f t="array" ref="D123">IFERROR(INDEX(BD[],_xlfn.AGGREGATE(15,6,IF(BD[CLASIFICACIÓN]=$B$2,ROW(BD[CLASIFICACIÓN])-ROW('PT2 (FILTRAR)'!$E$5)+1,NA()),ROWS($B$5:D123)),COLUMNS($B$5:D123)),"")</f>
        <v/>
      </c>
      <c r="E123" s="126" t="str">
        <f t="array" ref="E123">IFERROR(INDEX(BD[],_xlfn.AGGREGATE(15,6,IF(BD[CLASIFICACIÓN]=$B$2,ROW(BD[CLASIFICACIÓN])-ROW('PT2 (FILTRAR)'!$E$5)+1,NA()),ROWS($B$5:E123)),COLUMNS($B$5:E123)),"")</f>
        <v/>
      </c>
    </row>
    <row r="124" spans="2:5" x14ac:dyDescent="0.3">
      <c r="B124" s="126" t="str">
        <f t="array" ref="B124">IFERROR(INDEX(BD[],_xlfn.AGGREGATE(15,6,IF(BD[CLASIFICACIÓN]=$B$2,ROW(BD[CLASIFICACIÓN])-ROW('PT2 (FILTRAR)'!$E$5)+1,NA()),ROWS($B$5:B124)),COLUMNS($B$5:B124)),"")</f>
        <v/>
      </c>
      <c r="C124" s="127" t="str">
        <f t="array" ref="C124">IFERROR(INDEX(BD[],_xlfn.AGGREGATE(15,6,IF(BD[CLASIFICACIÓN]=$B$2,ROW(BD[CLASIFICACIÓN])-ROW('PT2 (FILTRAR)'!$E$5)+1,NA()),ROWS($B$5:C124)),COLUMNS($B$5:C124)),"")</f>
        <v/>
      </c>
      <c r="D124" s="142" t="str">
        <f t="array" ref="D124">IFERROR(INDEX(BD[],_xlfn.AGGREGATE(15,6,IF(BD[CLASIFICACIÓN]=$B$2,ROW(BD[CLASIFICACIÓN])-ROW('PT2 (FILTRAR)'!$E$5)+1,NA()),ROWS($B$5:D124)),COLUMNS($B$5:D124)),"")</f>
        <v/>
      </c>
      <c r="E124" s="126" t="str">
        <f t="array" ref="E124">IFERROR(INDEX(BD[],_xlfn.AGGREGATE(15,6,IF(BD[CLASIFICACIÓN]=$B$2,ROW(BD[CLASIFICACIÓN])-ROW('PT2 (FILTRAR)'!$E$5)+1,NA()),ROWS($B$5:E124)),COLUMNS($B$5:E124)),"")</f>
        <v/>
      </c>
    </row>
    <row r="125" spans="2:5" x14ac:dyDescent="0.3">
      <c r="B125" s="126" t="str">
        <f t="array" ref="B125">IFERROR(INDEX(BD[],_xlfn.AGGREGATE(15,6,IF(BD[CLASIFICACIÓN]=$B$2,ROW(BD[CLASIFICACIÓN])-ROW('PT2 (FILTRAR)'!$E$5)+1,NA()),ROWS($B$5:B125)),COLUMNS($B$5:B125)),"")</f>
        <v/>
      </c>
      <c r="C125" s="127" t="str">
        <f t="array" ref="C125">IFERROR(INDEX(BD[],_xlfn.AGGREGATE(15,6,IF(BD[CLASIFICACIÓN]=$B$2,ROW(BD[CLASIFICACIÓN])-ROW('PT2 (FILTRAR)'!$E$5)+1,NA()),ROWS($B$5:C125)),COLUMNS($B$5:C125)),"")</f>
        <v/>
      </c>
      <c r="D125" s="142" t="str">
        <f t="array" ref="D125">IFERROR(INDEX(BD[],_xlfn.AGGREGATE(15,6,IF(BD[CLASIFICACIÓN]=$B$2,ROW(BD[CLASIFICACIÓN])-ROW('PT2 (FILTRAR)'!$E$5)+1,NA()),ROWS($B$5:D125)),COLUMNS($B$5:D125)),"")</f>
        <v/>
      </c>
      <c r="E125" s="126" t="str">
        <f t="array" ref="E125">IFERROR(INDEX(BD[],_xlfn.AGGREGATE(15,6,IF(BD[CLASIFICACIÓN]=$B$2,ROW(BD[CLASIFICACIÓN])-ROW('PT2 (FILTRAR)'!$E$5)+1,NA()),ROWS($B$5:E125)),COLUMNS($B$5:E125)),"")</f>
        <v/>
      </c>
    </row>
    <row r="126" spans="2:5" x14ac:dyDescent="0.3">
      <c r="B126" s="126" t="str">
        <f t="array" ref="B126">IFERROR(INDEX(BD[],_xlfn.AGGREGATE(15,6,IF(BD[CLASIFICACIÓN]=$B$2,ROW(BD[CLASIFICACIÓN])-ROW('PT2 (FILTRAR)'!$E$5)+1,NA()),ROWS($B$5:B126)),COLUMNS($B$5:B126)),"")</f>
        <v/>
      </c>
      <c r="C126" s="127" t="str">
        <f t="array" ref="C126">IFERROR(INDEX(BD[],_xlfn.AGGREGATE(15,6,IF(BD[CLASIFICACIÓN]=$B$2,ROW(BD[CLASIFICACIÓN])-ROW('PT2 (FILTRAR)'!$E$5)+1,NA()),ROWS($B$5:C126)),COLUMNS($B$5:C126)),"")</f>
        <v/>
      </c>
      <c r="D126" s="142" t="str">
        <f t="array" ref="D126">IFERROR(INDEX(BD[],_xlfn.AGGREGATE(15,6,IF(BD[CLASIFICACIÓN]=$B$2,ROW(BD[CLASIFICACIÓN])-ROW('PT2 (FILTRAR)'!$E$5)+1,NA()),ROWS($B$5:D126)),COLUMNS($B$5:D126)),"")</f>
        <v/>
      </c>
      <c r="E126" s="126" t="str">
        <f t="array" ref="E126">IFERROR(INDEX(BD[],_xlfn.AGGREGATE(15,6,IF(BD[CLASIFICACIÓN]=$B$2,ROW(BD[CLASIFICACIÓN])-ROW('PT2 (FILTRAR)'!$E$5)+1,NA()),ROWS($B$5:E126)),COLUMNS($B$5:E126)),"")</f>
        <v/>
      </c>
    </row>
    <row r="127" spans="2:5" x14ac:dyDescent="0.3">
      <c r="B127" s="126" t="str">
        <f t="array" ref="B127">IFERROR(INDEX(BD[],_xlfn.AGGREGATE(15,6,IF(BD[CLASIFICACIÓN]=$B$2,ROW(BD[CLASIFICACIÓN])-ROW('PT2 (FILTRAR)'!$E$5)+1,NA()),ROWS($B$5:B127)),COLUMNS($B$5:B127)),"")</f>
        <v/>
      </c>
      <c r="C127" s="127" t="str">
        <f t="array" ref="C127">IFERROR(INDEX(BD[],_xlfn.AGGREGATE(15,6,IF(BD[CLASIFICACIÓN]=$B$2,ROW(BD[CLASIFICACIÓN])-ROW('PT2 (FILTRAR)'!$E$5)+1,NA()),ROWS($B$5:C127)),COLUMNS($B$5:C127)),"")</f>
        <v/>
      </c>
      <c r="D127" s="142" t="str">
        <f t="array" ref="D127">IFERROR(INDEX(BD[],_xlfn.AGGREGATE(15,6,IF(BD[CLASIFICACIÓN]=$B$2,ROW(BD[CLASIFICACIÓN])-ROW('PT2 (FILTRAR)'!$E$5)+1,NA()),ROWS($B$5:D127)),COLUMNS($B$5:D127)),"")</f>
        <v/>
      </c>
      <c r="E127" s="126" t="str">
        <f t="array" ref="E127">IFERROR(INDEX(BD[],_xlfn.AGGREGATE(15,6,IF(BD[CLASIFICACIÓN]=$B$2,ROW(BD[CLASIFICACIÓN])-ROW('PT2 (FILTRAR)'!$E$5)+1,NA()),ROWS($B$5:E127)),COLUMNS($B$5:E127)),"")</f>
        <v/>
      </c>
    </row>
    <row r="128" spans="2:5" x14ac:dyDescent="0.3">
      <c r="B128" s="126" t="str">
        <f t="array" ref="B128">IFERROR(INDEX(BD[],_xlfn.AGGREGATE(15,6,IF(BD[CLASIFICACIÓN]=$B$2,ROW(BD[CLASIFICACIÓN])-ROW('PT2 (FILTRAR)'!$E$5)+1,NA()),ROWS($B$5:B128)),COLUMNS($B$5:B128)),"")</f>
        <v/>
      </c>
      <c r="C128" s="127" t="str">
        <f t="array" ref="C128">IFERROR(INDEX(BD[],_xlfn.AGGREGATE(15,6,IF(BD[CLASIFICACIÓN]=$B$2,ROW(BD[CLASIFICACIÓN])-ROW('PT2 (FILTRAR)'!$E$5)+1,NA()),ROWS($B$5:C128)),COLUMNS($B$5:C128)),"")</f>
        <v/>
      </c>
      <c r="D128" s="142" t="str">
        <f t="array" ref="D128">IFERROR(INDEX(BD[],_xlfn.AGGREGATE(15,6,IF(BD[CLASIFICACIÓN]=$B$2,ROW(BD[CLASIFICACIÓN])-ROW('PT2 (FILTRAR)'!$E$5)+1,NA()),ROWS($B$5:D128)),COLUMNS($B$5:D128)),"")</f>
        <v/>
      </c>
      <c r="E128" s="126" t="str">
        <f t="array" ref="E128">IFERROR(INDEX(BD[],_xlfn.AGGREGATE(15,6,IF(BD[CLASIFICACIÓN]=$B$2,ROW(BD[CLASIFICACIÓN])-ROW('PT2 (FILTRAR)'!$E$5)+1,NA()),ROWS($B$5:E128)),COLUMNS($B$5:E128)),"")</f>
        <v/>
      </c>
    </row>
    <row r="129" spans="2:5" x14ac:dyDescent="0.3">
      <c r="B129" s="126" t="str">
        <f t="array" ref="B129">IFERROR(INDEX(BD[],_xlfn.AGGREGATE(15,6,IF(BD[CLASIFICACIÓN]=$B$2,ROW(BD[CLASIFICACIÓN])-ROW('PT2 (FILTRAR)'!$E$5)+1,NA()),ROWS($B$5:B129)),COLUMNS($B$5:B129)),"")</f>
        <v/>
      </c>
      <c r="C129" s="127" t="str">
        <f t="array" ref="C129">IFERROR(INDEX(BD[],_xlfn.AGGREGATE(15,6,IF(BD[CLASIFICACIÓN]=$B$2,ROW(BD[CLASIFICACIÓN])-ROW('PT2 (FILTRAR)'!$E$5)+1,NA()),ROWS($B$5:C129)),COLUMNS($B$5:C129)),"")</f>
        <v/>
      </c>
      <c r="D129" s="142" t="str">
        <f t="array" ref="D129">IFERROR(INDEX(BD[],_xlfn.AGGREGATE(15,6,IF(BD[CLASIFICACIÓN]=$B$2,ROW(BD[CLASIFICACIÓN])-ROW('PT2 (FILTRAR)'!$E$5)+1,NA()),ROWS($B$5:D129)),COLUMNS($B$5:D129)),"")</f>
        <v/>
      </c>
      <c r="E129" s="126" t="str">
        <f t="array" ref="E129">IFERROR(INDEX(BD[],_xlfn.AGGREGATE(15,6,IF(BD[CLASIFICACIÓN]=$B$2,ROW(BD[CLASIFICACIÓN])-ROW('PT2 (FILTRAR)'!$E$5)+1,NA()),ROWS($B$5:E129)),COLUMNS($B$5:E129)),"")</f>
        <v/>
      </c>
    </row>
    <row r="130" spans="2:5" x14ac:dyDescent="0.3">
      <c r="B130" s="126" t="str">
        <f t="array" ref="B130">IFERROR(INDEX(BD[],_xlfn.AGGREGATE(15,6,IF(BD[CLASIFICACIÓN]=$B$2,ROW(BD[CLASIFICACIÓN])-ROW('PT2 (FILTRAR)'!$E$5)+1,NA()),ROWS($B$5:B130)),COLUMNS($B$5:B130)),"")</f>
        <v/>
      </c>
      <c r="C130" s="127" t="str">
        <f t="array" ref="C130">IFERROR(INDEX(BD[],_xlfn.AGGREGATE(15,6,IF(BD[CLASIFICACIÓN]=$B$2,ROW(BD[CLASIFICACIÓN])-ROW('PT2 (FILTRAR)'!$E$5)+1,NA()),ROWS($B$5:C130)),COLUMNS($B$5:C130)),"")</f>
        <v/>
      </c>
      <c r="D130" s="142" t="str">
        <f t="array" ref="D130">IFERROR(INDEX(BD[],_xlfn.AGGREGATE(15,6,IF(BD[CLASIFICACIÓN]=$B$2,ROW(BD[CLASIFICACIÓN])-ROW('PT2 (FILTRAR)'!$E$5)+1,NA()),ROWS($B$5:D130)),COLUMNS($B$5:D130)),"")</f>
        <v/>
      </c>
      <c r="E130" s="126" t="str">
        <f t="array" ref="E130">IFERROR(INDEX(BD[],_xlfn.AGGREGATE(15,6,IF(BD[CLASIFICACIÓN]=$B$2,ROW(BD[CLASIFICACIÓN])-ROW('PT2 (FILTRAR)'!$E$5)+1,NA()),ROWS($B$5:E130)),COLUMNS($B$5:E130)),"")</f>
        <v/>
      </c>
    </row>
    <row r="131" spans="2:5" x14ac:dyDescent="0.3">
      <c r="B131" s="126" t="str">
        <f t="array" ref="B131">IFERROR(INDEX(BD[],_xlfn.AGGREGATE(15,6,IF(BD[CLASIFICACIÓN]=$B$2,ROW(BD[CLASIFICACIÓN])-ROW('PT2 (FILTRAR)'!$E$5)+1,NA()),ROWS($B$5:B131)),COLUMNS($B$5:B131)),"")</f>
        <v/>
      </c>
      <c r="C131" s="127" t="str">
        <f t="array" ref="C131">IFERROR(INDEX(BD[],_xlfn.AGGREGATE(15,6,IF(BD[CLASIFICACIÓN]=$B$2,ROW(BD[CLASIFICACIÓN])-ROW('PT2 (FILTRAR)'!$E$5)+1,NA()),ROWS($B$5:C131)),COLUMNS($B$5:C131)),"")</f>
        <v/>
      </c>
      <c r="D131" s="142" t="str">
        <f t="array" ref="D131">IFERROR(INDEX(BD[],_xlfn.AGGREGATE(15,6,IF(BD[CLASIFICACIÓN]=$B$2,ROW(BD[CLASIFICACIÓN])-ROW('PT2 (FILTRAR)'!$E$5)+1,NA()),ROWS($B$5:D131)),COLUMNS($B$5:D131)),"")</f>
        <v/>
      </c>
      <c r="E131" s="126" t="str">
        <f t="array" ref="E131">IFERROR(INDEX(BD[],_xlfn.AGGREGATE(15,6,IF(BD[CLASIFICACIÓN]=$B$2,ROW(BD[CLASIFICACIÓN])-ROW('PT2 (FILTRAR)'!$E$5)+1,NA()),ROWS($B$5:E131)),COLUMNS($B$5:E131)),"")</f>
        <v/>
      </c>
    </row>
    <row r="132" spans="2:5" x14ac:dyDescent="0.3">
      <c r="B132" s="126" t="str">
        <f t="array" ref="B132">IFERROR(INDEX(BD[],_xlfn.AGGREGATE(15,6,IF(BD[CLASIFICACIÓN]=$B$2,ROW(BD[CLASIFICACIÓN])-ROW('PT2 (FILTRAR)'!$E$5)+1,NA()),ROWS($B$5:B132)),COLUMNS($B$5:B132)),"")</f>
        <v/>
      </c>
      <c r="C132" s="127" t="str">
        <f t="array" ref="C132">IFERROR(INDEX(BD[],_xlfn.AGGREGATE(15,6,IF(BD[CLASIFICACIÓN]=$B$2,ROW(BD[CLASIFICACIÓN])-ROW('PT2 (FILTRAR)'!$E$5)+1,NA()),ROWS($B$5:C132)),COLUMNS($B$5:C132)),"")</f>
        <v/>
      </c>
      <c r="D132" s="142" t="str">
        <f t="array" ref="D132">IFERROR(INDEX(BD[],_xlfn.AGGREGATE(15,6,IF(BD[CLASIFICACIÓN]=$B$2,ROW(BD[CLASIFICACIÓN])-ROW('PT2 (FILTRAR)'!$E$5)+1,NA()),ROWS($B$5:D132)),COLUMNS($B$5:D132)),"")</f>
        <v/>
      </c>
      <c r="E132" s="126" t="str">
        <f t="array" ref="E132">IFERROR(INDEX(BD[],_xlfn.AGGREGATE(15,6,IF(BD[CLASIFICACIÓN]=$B$2,ROW(BD[CLASIFICACIÓN])-ROW('PT2 (FILTRAR)'!$E$5)+1,NA()),ROWS($B$5:E132)),COLUMNS($B$5:E132)),"")</f>
        <v/>
      </c>
    </row>
    <row r="133" spans="2:5" x14ac:dyDescent="0.3">
      <c r="B133" s="126" t="str">
        <f t="array" ref="B133">IFERROR(INDEX(BD[],_xlfn.AGGREGATE(15,6,IF(BD[CLASIFICACIÓN]=$B$2,ROW(BD[CLASIFICACIÓN])-ROW('PT2 (FILTRAR)'!$E$5)+1,NA()),ROWS($B$5:B133)),COLUMNS($B$5:B133)),"")</f>
        <v/>
      </c>
      <c r="C133" s="127" t="str">
        <f t="array" ref="C133">IFERROR(INDEX(BD[],_xlfn.AGGREGATE(15,6,IF(BD[CLASIFICACIÓN]=$B$2,ROW(BD[CLASIFICACIÓN])-ROW('PT2 (FILTRAR)'!$E$5)+1,NA()),ROWS($B$5:C133)),COLUMNS($B$5:C133)),"")</f>
        <v/>
      </c>
      <c r="D133" s="142" t="str">
        <f t="array" ref="D133">IFERROR(INDEX(BD[],_xlfn.AGGREGATE(15,6,IF(BD[CLASIFICACIÓN]=$B$2,ROW(BD[CLASIFICACIÓN])-ROW('PT2 (FILTRAR)'!$E$5)+1,NA()),ROWS($B$5:D133)),COLUMNS($B$5:D133)),"")</f>
        <v/>
      </c>
      <c r="E133" s="126" t="str">
        <f t="array" ref="E133">IFERROR(INDEX(BD[],_xlfn.AGGREGATE(15,6,IF(BD[CLASIFICACIÓN]=$B$2,ROW(BD[CLASIFICACIÓN])-ROW('PT2 (FILTRAR)'!$E$5)+1,NA()),ROWS($B$5:E133)),COLUMNS($B$5:E133)),"")</f>
        <v/>
      </c>
    </row>
    <row r="134" spans="2:5" x14ac:dyDescent="0.3">
      <c r="B134" s="126" t="str">
        <f t="array" ref="B134">IFERROR(INDEX(BD[],_xlfn.AGGREGATE(15,6,IF(BD[CLASIFICACIÓN]=$B$2,ROW(BD[CLASIFICACIÓN])-ROW('PT2 (FILTRAR)'!$E$5)+1,NA()),ROWS($B$5:B134)),COLUMNS($B$5:B134)),"")</f>
        <v/>
      </c>
      <c r="C134" s="127" t="str">
        <f t="array" ref="C134">IFERROR(INDEX(BD[],_xlfn.AGGREGATE(15,6,IF(BD[CLASIFICACIÓN]=$B$2,ROW(BD[CLASIFICACIÓN])-ROW('PT2 (FILTRAR)'!$E$5)+1,NA()),ROWS($B$5:C134)),COLUMNS($B$5:C134)),"")</f>
        <v/>
      </c>
      <c r="D134" s="142" t="str">
        <f t="array" ref="D134">IFERROR(INDEX(BD[],_xlfn.AGGREGATE(15,6,IF(BD[CLASIFICACIÓN]=$B$2,ROW(BD[CLASIFICACIÓN])-ROW('PT2 (FILTRAR)'!$E$5)+1,NA()),ROWS($B$5:D134)),COLUMNS($B$5:D134)),"")</f>
        <v/>
      </c>
      <c r="E134" s="126" t="str">
        <f t="array" ref="E134">IFERROR(INDEX(BD[],_xlfn.AGGREGATE(15,6,IF(BD[CLASIFICACIÓN]=$B$2,ROW(BD[CLASIFICACIÓN])-ROW('PT2 (FILTRAR)'!$E$5)+1,NA()),ROWS($B$5:E134)),COLUMNS($B$5:E134)),"")</f>
        <v/>
      </c>
    </row>
    <row r="135" spans="2:5" x14ac:dyDescent="0.3">
      <c r="B135" s="126" t="str">
        <f t="array" ref="B135">IFERROR(INDEX(BD[],_xlfn.AGGREGATE(15,6,IF(BD[CLASIFICACIÓN]=$B$2,ROW(BD[CLASIFICACIÓN])-ROW('PT2 (FILTRAR)'!$E$5)+1,NA()),ROWS($B$5:B135)),COLUMNS($B$5:B135)),"")</f>
        <v/>
      </c>
      <c r="C135" s="127" t="str">
        <f t="array" ref="C135">IFERROR(INDEX(BD[],_xlfn.AGGREGATE(15,6,IF(BD[CLASIFICACIÓN]=$B$2,ROW(BD[CLASIFICACIÓN])-ROW('PT2 (FILTRAR)'!$E$5)+1,NA()),ROWS($B$5:C135)),COLUMNS($B$5:C135)),"")</f>
        <v/>
      </c>
      <c r="D135" s="142" t="str">
        <f t="array" ref="D135">IFERROR(INDEX(BD[],_xlfn.AGGREGATE(15,6,IF(BD[CLASIFICACIÓN]=$B$2,ROW(BD[CLASIFICACIÓN])-ROW('PT2 (FILTRAR)'!$E$5)+1,NA()),ROWS($B$5:D135)),COLUMNS($B$5:D135)),"")</f>
        <v/>
      </c>
      <c r="E135" s="126" t="str">
        <f t="array" ref="E135">IFERROR(INDEX(BD[],_xlfn.AGGREGATE(15,6,IF(BD[CLASIFICACIÓN]=$B$2,ROW(BD[CLASIFICACIÓN])-ROW('PT2 (FILTRAR)'!$E$5)+1,NA()),ROWS($B$5:E135)),COLUMNS($B$5:E135)),"")</f>
        <v/>
      </c>
    </row>
    <row r="136" spans="2:5" x14ac:dyDescent="0.3">
      <c r="B136" s="126" t="str">
        <f t="array" ref="B136">IFERROR(INDEX(BD[],_xlfn.AGGREGATE(15,6,IF(BD[CLASIFICACIÓN]=$B$2,ROW(BD[CLASIFICACIÓN])-ROW('PT2 (FILTRAR)'!$E$5)+1,NA()),ROWS($B$5:B136)),COLUMNS($B$5:B136)),"")</f>
        <v/>
      </c>
      <c r="C136" s="127" t="str">
        <f t="array" ref="C136">IFERROR(INDEX(BD[],_xlfn.AGGREGATE(15,6,IF(BD[CLASIFICACIÓN]=$B$2,ROW(BD[CLASIFICACIÓN])-ROW('PT2 (FILTRAR)'!$E$5)+1,NA()),ROWS($B$5:C136)),COLUMNS($B$5:C136)),"")</f>
        <v/>
      </c>
      <c r="D136" s="142" t="str">
        <f t="array" ref="D136">IFERROR(INDEX(BD[],_xlfn.AGGREGATE(15,6,IF(BD[CLASIFICACIÓN]=$B$2,ROW(BD[CLASIFICACIÓN])-ROW('PT2 (FILTRAR)'!$E$5)+1,NA()),ROWS($B$5:D136)),COLUMNS($B$5:D136)),"")</f>
        <v/>
      </c>
      <c r="E136" s="126" t="str">
        <f t="array" ref="E136">IFERROR(INDEX(BD[],_xlfn.AGGREGATE(15,6,IF(BD[CLASIFICACIÓN]=$B$2,ROW(BD[CLASIFICACIÓN])-ROW('PT2 (FILTRAR)'!$E$5)+1,NA()),ROWS($B$5:E136)),COLUMNS($B$5:E136)),"")</f>
        <v/>
      </c>
    </row>
    <row r="137" spans="2:5" x14ac:dyDescent="0.3">
      <c r="B137" s="126" t="str">
        <f t="array" ref="B137">IFERROR(INDEX(BD[],_xlfn.AGGREGATE(15,6,IF(BD[CLASIFICACIÓN]=$B$2,ROW(BD[CLASIFICACIÓN])-ROW('PT2 (FILTRAR)'!$E$5)+1,NA()),ROWS($B$5:B137)),COLUMNS($B$5:B137)),"")</f>
        <v/>
      </c>
      <c r="C137" s="127" t="str">
        <f t="array" ref="C137">IFERROR(INDEX(BD[],_xlfn.AGGREGATE(15,6,IF(BD[CLASIFICACIÓN]=$B$2,ROW(BD[CLASIFICACIÓN])-ROW('PT2 (FILTRAR)'!$E$5)+1,NA()),ROWS($B$5:C137)),COLUMNS($B$5:C137)),"")</f>
        <v/>
      </c>
      <c r="D137" s="142" t="str">
        <f t="array" ref="D137">IFERROR(INDEX(BD[],_xlfn.AGGREGATE(15,6,IF(BD[CLASIFICACIÓN]=$B$2,ROW(BD[CLASIFICACIÓN])-ROW('PT2 (FILTRAR)'!$E$5)+1,NA()),ROWS($B$5:D137)),COLUMNS($B$5:D137)),"")</f>
        <v/>
      </c>
      <c r="E137" s="126" t="str">
        <f t="array" ref="E137">IFERROR(INDEX(BD[],_xlfn.AGGREGATE(15,6,IF(BD[CLASIFICACIÓN]=$B$2,ROW(BD[CLASIFICACIÓN])-ROW('PT2 (FILTRAR)'!$E$5)+1,NA()),ROWS($B$5:E137)),COLUMNS($B$5:E137)),"")</f>
        <v/>
      </c>
    </row>
    <row r="138" spans="2:5" x14ac:dyDescent="0.3">
      <c r="B138" s="126" t="str">
        <f t="array" ref="B138">IFERROR(INDEX(BD[],_xlfn.AGGREGATE(15,6,IF(BD[CLASIFICACIÓN]=$B$2,ROW(BD[CLASIFICACIÓN])-ROW('PT2 (FILTRAR)'!$E$5)+1,NA()),ROWS($B$5:B138)),COLUMNS($B$5:B138)),"")</f>
        <v/>
      </c>
      <c r="C138" s="127" t="str">
        <f t="array" ref="C138">IFERROR(INDEX(BD[],_xlfn.AGGREGATE(15,6,IF(BD[CLASIFICACIÓN]=$B$2,ROW(BD[CLASIFICACIÓN])-ROW('PT2 (FILTRAR)'!$E$5)+1,NA()),ROWS($B$5:C138)),COLUMNS($B$5:C138)),"")</f>
        <v/>
      </c>
      <c r="D138" s="142" t="str">
        <f t="array" ref="D138">IFERROR(INDEX(BD[],_xlfn.AGGREGATE(15,6,IF(BD[CLASIFICACIÓN]=$B$2,ROW(BD[CLASIFICACIÓN])-ROW('PT2 (FILTRAR)'!$E$5)+1,NA()),ROWS($B$5:D138)),COLUMNS($B$5:D138)),"")</f>
        <v/>
      </c>
      <c r="E138" s="126" t="str">
        <f t="array" ref="E138">IFERROR(INDEX(BD[],_xlfn.AGGREGATE(15,6,IF(BD[CLASIFICACIÓN]=$B$2,ROW(BD[CLASIFICACIÓN])-ROW('PT2 (FILTRAR)'!$E$5)+1,NA()),ROWS($B$5:E138)),COLUMNS($B$5:E138)),"")</f>
        <v/>
      </c>
    </row>
    <row r="139" spans="2:5" x14ac:dyDescent="0.3">
      <c r="B139" s="126" t="str">
        <f t="array" ref="B139">IFERROR(INDEX(BD[],_xlfn.AGGREGATE(15,6,IF(BD[CLASIFICACIÓN]=$B$2,ROW(BD[CLASIFICACIÓN])-ROW('PT2 (FILTRAR)'!$E$5)+1,NA()),ROWS($B$5:B139)),COLUMNS($B$5:B139)),"")</f>
        <v/>
      </c>
      <c r="C139" s="127" t="str">
        <f t="array" ref="C139">IFERROR(INDEX(BD[],_xlfn.AGGREGATE(15,6,IF(BD[CLASIFICACIÓN]=$B$2,ROW(BD[CLASIFICACIÓN])-ROW('PT2 (FILTRAR)'!$E$5)+1,NA()),ROWS($B$5:C139)),COLUMNS($B$5:C139)),"")</f>
        <v/>
      </c>
      <c r="D139" s="142" t="str">
        <f t="array" ref="D139">IFERROR(INDEX(BD[],_xlfn.AGGREGATE(15,6,IF(BD[CLASIFICACIÓN]=$B$2,ROW(BD[CLASIFICACIÓN])-ROW('PT2 (FILTRAR)'!$E$5)+1,NA()),ROWS($B$5:D139)),COLUMNS($B$5:D139)),"")</f>
        <v/>
      </c>
      <c r="E139" s="126" t="str">
        <f t="array" ref="E139">IFERROR(INDEX(BD[],_xlfn.AGGREGATE(15,6,IF(BD[CLASIFICACIÓN]=$B$2,ROW(BD[CLASIFICACIÓN])-ROW('PT2 (FILTRAR)'!$E$5)+1,NA()),ROWS($B$5:E139)),COLUMNS($B$5:E139)),"")</f>
        <v/>
      </c>
    </row>
    <row r="140" spans="2:5" x14ac:dyDescent="0.3">
      <c r="B140" s="126" t="str">
        <f t="array" ref="B140">IFERROR(INDEX(BD[],_xlfn.AGGREGATE(15,6,IF(BD[CLASIFICACIÓN]=$B$2,ROW(BD[CLASIFICACIÓN])-ROW('PT2 (FILTRAR)'!$E$5)+1,NA()),ROWS($B$5:B140)),COLUMNS($B$5:B140)),"")</f>
        <v/>
      </c>
      <c r="C140" s="127" t="str">
        <f t="array" ref="C140">IFERROR(INDEX(BD[],_xlfn.AGGREGATE(15,6,IF(BD[CLASIFICACIÓN]=$B$2,ROW(BD[CLASIFICACIÓN])-ROW('PT2 (FILTRAR)'!$E$5)+1,NA()),ROWS($B$5:C140)),COLUMNS($B$5:C140)),"")</f>
        <v/>
      </c>
      <c r="D140" s="142" t="str">
        <f t="array" ref="D140">IFERROR(INDEX(BD[],_xlfn.AGGREGATE(15,6,IF(BD[CLASIFICACIÓN]=$B$2,ROW(BD[CLASIFICACIÓN])-ROW('PT2 (FILTRAR)'!$E$5)+1,NA()),ROWS($B$5:D140)),COLUMNS($B$5:D140)),"")</f>
        <v/>
      </c>
      <c r="E140" s="126" t="str">
        <f t="array" ref="E140">IFERROR(INDEX(BD[],_xlfn.AGGREGATE(15,6,IF(BD[CLASIFICACIÓN]=$B$2,ROW(BD[CLASIFICACIÓN])-ROW('PT2 (FILTRAR)'!$E$5)+1,NA()),ROWS($B$5:E140)),COLUMNS($B$5:E140)),"")</f>
        <v/>
      </c>
    </row>
    <row r="141" spans="2:5" x14ac:dyDescent="0.3">
      <c r="B141" s="126" t="str">
        <f t="array" ref="B141">IFERROR(INDEX(BD[],_xlfn.AGGREGATE(15,6,IF(BD[CLASIFICACIÓN]=$B$2,ROW(BD[CLASIFICACIÓN])-ROW('PT2 (FILTRAR)'!$E$5)+1,NA()),ROWS($B$5:B141)),COLUMNS($B$5:B141)),"")</f>
        <v/>
      </c>
      <c r="C141" s="127" t="str">
        <f t="array" ref="C141">IFERROR(INDEX(BD[],_xlfn.AGGREGATE(15,6,IF(BD[CLASIFICACIÓN]=$B$2,ROW(BD[CLASIFICACIÓN])-ROW('PT2 (FILTRAR)'!$E$5)+1,NA()),ROWS($B$5:C141)),COLUMNS($B$5:C141)),"")</f>
        <v/>
      </c>
      <c r="D141" s="142" t="str">
        <f t="array" ref="D141">IFERROR(INDEX(BD[],_xlfn.AGGREGATE(15,6,IF(BD[CLASIFICACIÓN]=$B$2,ROW(BD[CLASIFICACIÓN])-ROW('PT2 (FILTRAR)'!$E$5)+1,NA()),ROWS($B$5:D141)),COLUMNS($B$5:D141)),"")</f>
        <v/>
      </c>
      <c r="E141" s="126" t="str">
        <f t="array" ref="E141">IFERROR(INDEX(BD[],_xlfn.AGGREGATE(15,6,IF(BD[CLASIFICACIÓN]=$B$2,ROW(BD[CLASIFICACIÓN])-ROW('PT2 (FILTRAR)'!$E$5)+1,NA()),ROWS($B$5:E141)),COLUMNS($B$5:E141)),"")</f>
        <v/>
      </c>
    </row>
    <row r="142" spans="2:5" x14ac:dyDescent="0.3">
      <c r="B142" s="126" t="str">
        <f t="array" ref="B142">IFERROR(INDEX(BD[],_xlfn.AGGREGATE(15,6,IF(BD[CLASIFICACIÓN]=$B$2,ROW(BD[CLASIFICACIÓN])-ROW('PT2 (FILTRAR)'!$E$5)+1,NA()),ROWS($B$5:B142)),COLUMNS($B$5:B142)),"")</f>
        <v/>
      </c>
      <c r="C142" s="127" t="str">
        <f t="array" ref="C142">IFERROR(INDEX(BD[],_xlfn.AGGREGATE(15,6,IF(BD[CLASIFICACIÓN]=$B$2,ROW(BD[CLASIFICACIÓN])-ROW('PT2 (FILTRAR)'!$E$5)+1,NA()),ROWS($B$5:C142)),COLUMNS($B$5:C142)),"")</f>
        <v/>
      </c>
      <c r="D142" s="142" t="str">
        <f t="array" ref="D142">IFERROR(INDEX(BD[],_xlfn.AGGREGATE(15,6,IF(BD[CLASIFICACIÓN]=$B$2,ROW(BD[CLASIFICACIÓN])-ROW('PT2 (FILTRAR)'!$E$5)+1,NA()),ROWS($B$5:D142)),COLUMNS($B$5:D142)),"")</f>
        <v/>
      </c>
      <c r="E142" s="126" t="str">
        <f t="array" ref="E142">IFERROR(INDEX(BD[],_xlfn.AGGREGATE(15,6,IF(BD[CLASIFICACIÓN]=$B$2,ROW(BD[CLASIFICACIÓN])-ROW('PT2 (FILTRAR)'!$E$5)+1,NA()),ROWS($B$5:E142)),COLUMNS($B$5:E142)),"")</f>
        <v/>
      </c>
    </row>
    <row r="143" spans="2:5" x14ac:dyDescent="0.3">
      <c r="B143" s="126" t="str">
        <f t="array" ref="B143">IFERROR(INDEX(BD[],_xlfn.AGGREGATE(15,6,IF(BD[CLASIFICACIÓN]=$B$2,ROW(BD[CLASIFICACIÓN])-ROW('PT2 (FILTRAR)'!$E$5)+1,NA()),ROWS($B$5:B143)),COLUMNS($B$5:B143)),"")</f>
        <v/>
      </c>
      <c r="C143" s="127" t="str">
        <f t="array" ref="C143">IFERROR(INDEX(BD[],_xlfn.AGGREGATE(15,6,IF(BD[CLASIFICACIÓN]=$B$2,ROW(BD[CLASIFICACIÓN])-ROW('PT2 (FILTRAR)'!$E$5)+1,NA()),ROWS($B$5:C143)),COLUMNS($B$5:C143)),"")</f>
        <v/>
      </c>
      <c r="D143" s="142" t="str">
        <f t="array" ref="D143">IFERROR(INDEX(BD[],_xlfn.AGGREGATE(15,6,IF(BD[CLASIFICACIÓN]=$B$2,ROW(BD[CLASIFICACIÓN])-ROW('PT2 (FILTRAR)'!$E$5)+1,NA()),ROWS($B$5:D143)),COLUMNS($B$5:D143)),"")</f>
        <v/>
      </c>
      <c r="E143" s="126" t="str">
        <f t="array" ref="E143">IFERROR(INDEX(BD[],_xlfn.AGGREGATE(15,6,IF(BD[CLASIFICACIÓN]=$B$2,ROW(BD[CLASIFICACIÓN])-ROW('PT2 (FILTRAR)'!$E$5)+1,NA()),ROWS($B$5:E143)),COLUMNS($B$5:E143)),"")</f>
        <v/>
      </c>
    </row>
    <row r="144" spans="2:5" x14ac:dyDescent="0.3">
      <c r="B144" s="126" t="str">
        <f t="array" ref="B144">IFERROR(INDEX(BD[],_xlfn.AGGREGATE(15,6,IF(BD[CLASIFICACIÓN]=$B$2,ROW(BD[CLASIFICACIÓN])-ROW('PT2 (FILTRAR)'!$E$5)+1,NA()),ROWS($B$5:B144)),COLUMNS($B$5:B144)),"")</f>
        <v/>
      </c>
      <c r="C144" s="127" t="str">
        <f t="array" ref="C144">IFERROR(INDEX(BD[],_xlfn.AGGREGATE(15,6,IF(BD[CLASIFICACIÓN]=$B$2,ROW(BD[CLASIFICACIÓN])-ROW('PT2 (FILTRAR)'!$E$5)+1,NA()),ROWS($B$5:C144)),COLUMNS($B$5:C144)),"")</f>
        <v/>
      </c>
      <c r="D144" s="142" t="str">
        <f t="array" ref="D144">IFERROR(INDEX(BD[],_xlfn.AGGREGATE(15,6,IF(BD[CLASIFICACIÓN]=$B$2,ROW(BD[CLASIFICACIÓN])-ROW('PT2 (FILTRAR)'!$E$5)+1,NA()),ROWS($B$5:D144)),COLUMNS($B$5:D144)),"")</f>
        <v/>
      </c>
      <c r="E144" s="126" t="str">
        <f t="array" ref="E144">IFERROR(INDEX(BD[],_xlfn.AGGREGATE(15,6,IF(BD[CLASIFICACIÓN]=$B$2,ROW(BD[CLASIFICACIÓN])-ROW('PT2 (FILTRAR)'!$E$5)+1,NA()),ROWS($B$5:E144)),COLUMNS($B$5:E144)),"")</f>
        <v/>
      </c>
    </row>
    <row r="145" spans="2:5" x14ac:dyDescent="0.3">
      <c r="B145" s="126" t="str">
        <f t="array" ref="B145">IFERROR(INDEX(BD[],_xlfn.AGGREGATE(15,6,IF(BD[CLASIFICACIÓN]=$B$2,ROW(BD[CLASIFICACIÓN])-ROW('PT2 (FILTRAR)'!$E$5)+1,NA()),ROWS($B$5:B145)),COLUMNS($B$5:B145)),"")</f>
        <v/>
      </c>
      <c r="C145" s="127" t="str">
        <f t="array" ref="C145">IFERROR(INDEX(BD[],_xlfn.AGGREGATE(15,6,IF(BD[CLASIFICACIÓN]=$B$2,ROW(BD[CLASIFICACIÓN])-ROW('PT2 (FILTRAR)'!$E$5)+1,NA()),ROWS($B$5:C145)),COLUMNS($B$5:C145)),"")</f>
        <v/>
      </c>
      <c r="D145" s="142" t="str">
        <f t="array" ref="D145">IFERROR(INDEX(BD[],_xlfn.AGGREGATE(15,6,IF(BD[CLASIFICACIÓN]=$B$2,ROW(BD[CLASIFICACIÓN])-ROW('PT2 (FILTRAR)'!$E$5)+1,NA()),ROWS($B$5:D145)),COLUMNS($B$5:D145)),"")</f>
        <v/>
      </c>
      <c r="E145" s="126" t="str">
        <f t="array" ref="E145">IFERROR(INDEX(BD[],_xlfn.AGGREGATE(15,6,IF(BD[CLASIFICACIÓN]=$B$2,ROW(BD[CLASIFICACIÓN])-ROW('PT2 (FILTRAR)'!$E$5)+1,NA()),ROWS($B$5:E145)),COLUMNS($B$5:E145)),"")</f>
        <v/>
      </c>
    </row>
    <row r="146" spans="2:5" x14ac:dyDescent="0.3">
      <c r="B146" s="126" t="str">
        <f t="array" ref="B146">IFERROR(INDEX(BD[],_xlfn.AGGREGATE(15,6,IF(BD[CLASIFICACIÓN]=$B$2,ROW(BD[CLASIFICACIÓN])-ROW('PT2 (FILTRAR)'!$E$5)+1,NA()),ROWS($B$5:B146)),COLUMNS($B$5:B146)),"")</f>
        <v/>
      </c>
      <c r="C146" s="127" t="str">
        <f t="array" ref="C146">IFERROR(INDEX(BD[],_xlfn.AGGREGATE(15,6,IF(BD[CLASIFICACIÓN]=$B$2,ROW(BD[CLASIFICACIÓN])-ROW('PT2 (FILTRAR)'!$E$5)+1,NA()),ROWS($B$5:C146)),COLUMNS($B$5:C146)),"")</f>
        <v/>
      </c>
      <c r="D146" s="142" t="str">
        <f t="array" ref="D146">IFERROR(INDEX(BD[],_xlfn.AGGREGATE(15,6,IF(BD[CLASIFICACIÓN]=$B$2,ROW(BD[CLASIFICACIÓN])-ROW('PT2 (FILTRAR)'!$E$5)+1,NA()),ROWS($B$5:D146)),COLUMNS($B$5:D146)),"")</f>
        <v/>
      </c>
      <c r="E146" s="126" t="str">
        <f t="array" ref="E146">IFERROR(INDEX(BD[],_xlfn.AGGREGATE(15,6,IF(BD[CLASIFICACIÓN]=$B$2,ROW(BD[CLASIFICACIÓN])-ROW('PT2 (FILTRAR)'!$E$5)+1,NA()),ROWS($B$5:E146)),COLUMNS($B$5:E146)),"")</f>
        <v/>
      </c>
    </row>
    <row r="147" spans="2:5" x14ac:dyDescent="0.3">
      <c r="B147" s="126" t="str">
        <f t="array" ref="B147">IFERROR(INDEX(BD[],_xlfn.AGGREGATE(15,6,IF(BD[CLASIFICACIÓN]=$B$2,ROW(BD[CLASIFICACIÓN])-ROW('PT2 (FILTRAR)'!$E$5)+1,NA()),ROWS($B$5:B147)),COLUMNS($B$5:B147)),"")</f>
        <v/>
      </c>
      <c r="C147" s="127" t="str">
        <f t="array" ref="C147">IFERROR(INDEX(BD[],_xlfn.AGGREGATE(15,6,IF(BD[CLASIFICACIÓN]=$B$2,ROW(BD[CLASIFICACIÓN])-ROW('PT2 (FILTRAR)'!$E$5)+1,NA()),ROWS($B$5:C147)),COLUMNS($B$5:C147)),"")</f>
        <v/>
      </c>
      <c r="D147" s="142" t="str">
        <f t="array" ref="D147">IFERROR(INDEX(BD[],_xlfn.AGGREGATE(15,6,IF(BD[CLASIFICACIÓN]=$B$2,ROW(BD[CLASIFICACIÓN])-ROW('PT2 (FILTRAR)'!$E$5)+1,NA()),ROWS($B$5:D147)),COLUMNS($B$5:D147)),"")</f>
        <v/>
      </c>
      <c r="E147" s="126" t="str">
        <f t="array" ref="E147">IFERROR(INDEX(BD[],_xlfn.AGGREGATE(15,6,IF(BD[CLASIFICACIÓN]=$B$2,ROW(BD[CLASIFICACIÓN])-ROW('PT2 (FILTRAR)'!$E$5)+1,NA()),ROWS($B$5:E147)),COLUMNS($B$5:E147)),"")</f>
        <v/>
      </c>
    </row>
    <row r="148" spans="2:5" x14ac:dyDescent="0.3">
      <c r="B148" s="126" t="str">
        <f t="array" ref="B148">IFERROR(INDEX(BD[],_xlfn.AGGREGATE(15,6,IF(BD[CLASIFICACIÓN]=$B$2,ROW(BD[CLASIFICACIÓN])-ROW('PT2 (FILTRAR)'!$E$5)+1,NA()),ROWS($B$5:B148)),COLUMNS($B$5:B148)),"")</f>
        <v/>
      </c>
      <c r="C148" s="127" t="str">
        <f t="array" ref="C148">IFERROR(INDEX(BD[],_xlfn.AGGREGATE(15,6,IF(BD[CLASIFICACIÓN]=$B$2,ROW(BD[CLASIFICACIÓN])-ROW('PT2 (FILTRAR)'!$E$5)+1,NA()),ROWS($B$5:C148)),COLUMNS($B$5:C148)),"")</f>
        <v/>
      </c>
      <c r="D148" s="142" t="str">
        <f t="array" ref="D148">IFERROR(INDEX(BD[],_xlfn.AGGREGATE(15,6,IF(BD[CLASIFICACIÓN]=$B$2,ROW(BD[CLASIFICACIÓN])-ROW('PT2 (FILTRAR)'!$E$5)+1,NA()),ROWS($B$5:D148)),COLUMNS($B$5:D148)),"")</f>
        <v/>
      </c>
      <c r="E148" s="126" t="str">
        <f t="array" ref="E148">IFERROR(INDEX(BD[],_xlfn.AGGREGATE(15,6,IF(BD[CLASIFICACIÓN]=$B$2,ROW(BD[CLASIFICACIÓN])-ROW('PT2 (FILTRAR)'!$E$5)+1,NA()),ROWS($B$5:E148)),COLUMNS($B$5:E148)),"")</f>
        <v/>
      </c>
    </row>
    <row r="149" spans="2:5" x14ac:dyDescent="0.3">
      <c r="B149" s="126" t="str">
        <f t="array" ref="B149">IFERROR(INDEX(BD[],_xlfn.AGGREGATE(15,6,IF(BD[CLASIFICACIÓN]=$B$2,ROW(BD[CLASIFICACIÓN])-ROW('PT2 (FILTRAR)'!$E$5)+1,NA()),ROWS($B$5:B149)),COLUMNS($B$5:B149)),"")</f>
        <v/>
      </c>
      <c r="C149" s="127" t="str">
        <f t="array" ref="C149">IFERROR(INDEX(BD[],_xlfn.AGGREGATE(15,6,IF(BD[CLASIFICACIÓN]=$B$2,ROW(BD[CLASIFICACIÓN])-ROW('PT2 (FILTRAR)'!$E$5)+1,NA()),ROWS($B$5:C149)),COLUMNS($B$5:C149)),"")</f>
        <v/>
      </c>
      <c r="D149" s="142" t="str">
        <f t="array" ref="D149">IFERROR(INDEX(BD[],_xlfn.AGGREGATE(15,6,IF(BD[CLASIFICACIÓN]=$B$2,ROW(BD[CLASIFICACIÓN])-ROW('PT2 (FILTRAR)'!$E$5)+1,NA()),ROWS($B$5:D149)),COLUMNS($B$5:D149)),"")</f>
        <v/>
      </c>
      <c r="E149" s="126" t="str">
        <f t="array" ref="E149">IFERROR(INDEX(BD[],_xlfn.AGGREGATE(15,6,IF(BD[CLASIFICACIÓN]=$B$2,ROW(BD[CLASIFICACIÓN])-ROW('PT2 (FILTRAR)'!$E$5)+1,NA()),ROWS($B$5:E149)),COLUMNS($B$5:E149)),"")</f>
        <v/>
      </c>
    </row>
    <row r="150" spans="2:5" x14ac:dyDescent="0.3">
      <c r="B150" s="126" t="str">
        <f t="array" ref="B150">IFERROR(INDEX(BD[],_xlfn.AGGREGATE(15,6,IF(BD[CLASIFICACIÓN]=$B$2,ROW(BD[CLASIFICACIÓN])-ROW('PT2 (FILTRAR)'!$E$5)+1,NA()),ROWS($B$5:B150)),COLUMNS($B$5:B150)),"")</f>
        <v/>
      </c>
      <c r="C150" s="127" t="str">
        <f t="array" ref="C150">IFERROR(INDEX(BD[],_xlfn.AGGREGATE(15,6,IF(BD[CLASIFICACIÓN]=$B$2,ROW(BD[CLASIFICACIÓN])-ROW('PT2 (FILTRAR)'!$E$5)+1,NA()),ROWS($B$5:C150)),COLUMNS($B$5:C150)),"")</f>
        <v/>
      </c>
      <c r="D150" s="142" t="str">
        <f t="array" ref="D150">IFERROR(INDEX(BD[],_xlfn.AGGREGATE(15,6,IF(BD[CLASIFICACIÓN]=$B$2,ROW(BD[CLASIFICACIÓN])-ROW('PT2 (FILTRAR)'!$E$5)+1,NA()),ROWS($B$5:D150)),COLUMNS($B$5:D150)),"")</f>
        <v/>
      </c>
      <c r="E150" s="126" t="str">
        <f t="array" ref="E150">IFERROR(INDEX(BD[],_xlfn.AGGREGATE(15,6,IF(BD[CLASIFICACIÓN]=$B$2,ROW(BD[CLASIFICACIÓN])-ROW('PT2 (FILTRAR)'!$E$5)+1,NA()),ROWS($B$5:E150)),COLUMNS($B$5:E150)),"")</f>
        <v/>
      </c>
    </row>
    <row r="151" spans="2:5" x14ac:dyDescent="0.3">
      <c r="B151" s="126" t="str">
        <f t="array" ref="B151">IFERROR(INDEX(BD[],_xlfn.AGGREGATE(15,6,IF(BD[CLASIFICACIÓN]=$B$2,ROW(BD[CLASIFICACIÓN])-ROW('PT2 (FILTRAR)'!$E$5)+1,NA()),ROWS($B$5:B151)),COLUMNS($B$5:B151)),"")</f>
        <v/>
      </c>
      <c r="C151" s="127" t="str">
        <f t="array" ref="C151">IFERROR(INDEX(BD[],_xlfn.AGGREGATE(15,6,IF(BD[CLASIFICACIÓN]=$B$2,ROW(BD[CLASIFICACIÓN])-ROW('PT2 (FILTRAR)'!$E$5)+1,NA()),ROWS($B$5:C151)),COLUMNS($B$5:C151)),"")</f>
        <v/>
      </c>
      <c r="D151" s="142" t="str">
        <f t="array" ref="D151">IFERROR(INDEX(BD[],_xlfn.AGGREGATE(15,6,IF(BD[CLASIFICACIÓN]=$B$2,ROW(BD[CLASIFICACIÓN])-ROW('PT2 (FILTRAR)'!$E$5)+1,NA()),ROWS($B$5:D151)),COLUMNS($B$5:D151)),"")</f>
        <v/>
      </c>
      <c r="E151" s="126" t="str">
        <f t="array" ref="E151">IFERROR(INDEX(BD[],_xlfn.AGGREGATE(15,6,IF(BD[CLASIFICACIÓN]=$B$2,ROW(BD[CLASIFICACIÓN])-ROW('PT2 (FILTRAR)'!$E$5)+1,NA()),ROWS($B$5:E151)),COLUMNS($B$5:E151)),"")</f>
        <v/>
      </c>
    </row>
    <row r="152" spans="2:5" x14ac:dyDescent="0.3">
      <c r="B152" s="126" t="str">
        <f t="array" ref="B152">IFERROR(INDEX(BD[],_xlfn.AGGREGATE(15,6,IF(BD[CLASIFICACIÓN]=$B$2,ROW(BD[CLASIFICACIÓN])-ROW('PT2 (FILTRAR)'!$E$5)+1,NA()),ROWS($B$5:B152)),COLUMNS($B$5:B152)),"")</f>
        <v/>
      </c>
      <c r="C152" s="127" t="str">
        <f t="array" ref="C152">IFERROR(INDEX(BD[],_xlfn.AGGREGATE(15,6,IF(BD[CLASIFICACIÓN]=$B$2,ROW(BD[CLASIFICACIÓN])-ROW('PT2 (FILTRAR)'!$E$5)+1,NA()),ROWS($B$5:C152)),COLUMNS($B$5:C152)),"")</f>
        <v/>
      </c>
      <c r="D152" s="142" t="str">
        <f t="array" ref="D152">IFERROR(INDEX(BD[],_xlfn.AGGREGATE(15,6,IF(BD[CLASIFICACIÓN]=$B$2,ROW(BD[CLASIFICACIÓN])-ROW('PT2 (FILTRAR)'!$E$5)+1,NA()),ROWS($B$5:D152)),COLUMNS($B$5:D152)),"")</f>
        <v/>
      </c>
      <c r="E152" s="126" t="str">
        <f t="array" ref="E152">IFERROR(INDEX(BD[],_xlfn.AGGREGATE(15,6,IF(BD[CLASIFICACIÓN]=$B$2,ROW(BD[CLASIFICACIÓN])-ROW('PT2 (FILTRAR)'!$E$5)+1,NA()),ROWS($B$5:E152)),COLUMNS($B$5:E152)),"")</f>
        <v/>
      </c>
    </row>
    <row r="153" spans="2:5" x14ac:dyDescent="0.3">
      <c r="B153" s="126" t="str">
        <f t="array" ref="B153">IFERROR(INDEX(BD[],_xlfn.AGGREGATE(15,6,IF(BD[CLASIFICACIÓN]=$B$2,ROW(BD[CLASIFICACIÓN])-ROW('PT2 (FILTRAR)'!$E$5)+1,NA()),ROWS($B$5:B153)),COLUMNS($B$5:B153)),"")</f>
        <v/>
      </c>
      <c r="C153" s="127" t="str">
        <f t="array" ref="C153">IFERROR(INDEX(BD[],_xlfn.AGGREGATE(15,6,IF(BD[CLASIFICACIÓN]=$B$2,ROW(BD[CLASIFICACIÓN])-ROW('PT2 (FILTRAR)'!$E$5)+1,NA()),ROWS($B$5:C153)),COLUMNS($B$5:C153)),"")</f>
        <v/>
      </c>
      <c r="D153" s="142" t="str">
        <f t="array" ref="D153">IFERROR(INDEX(BD[],_xlfn.AGGREGATE(15,6,IF(BD[CLASIFICACIÓN]=$B$2,ROW(BD[CLASIFICACIÓN])-ROW('PT2 (FILTRAR)'!$E$5)+1,NA()),ROWS($B$5:D153)),COLUMNS($B$5:D153)),"")</f>
        <v/>
      </c>
      <c r="E153" s="126" t="str">
        <f t="array" ref="E153">IFERROR(INDEX(BD[],_xlfn.AGGREGATE(15,6,IF(BD[CLASIFICACIÓN]=$B$2,ROW(BD[CLASIFICACIÓN])-ROW('PT2 (FILTRAR)'!$E$5)+1,NA()),ROWS($B$5:E153)),COLUMNS($B$5:E153)),"")</f>
        <v/>
      </c>
    </row>
    <row r="154" spans="2:5" x14ac:dyDescent="0.3">
      <c r="B154" s="126" t="str">
        <f t="array" ref="B154">IFERROR(INDEX(BD[],_xlfn.AGGREGATE(15,6,IF(BD[CLASIFICACIÓN]=$B$2,ROW(BD[CLASIFICACIÓN])-ROW('PT2 (FILTRAR)'!$E$5)+1,NA()),ROWS($B$5:B154)),COLUMNS($B$5:B154)),"")</f>
        <v/>
      </c>
      <c r="C154" s="127" t="str">
        <f t="array" ref="C154">IFERROR(INDEX(BD[],_xlfn.AGGREGATE(15,6,IF(BD[CLASIFICACIÓN]=$B$2,ROW(BD[CLASIFICACIÓN])-ROW('PT2 (FILTRAR)'!$E$5)+1,NA()),ROWS($B$5:C154)),COLUMNS($B$5:C154)),"")</f>
        <v/>
      </c>
      <c r="D154" s="142" t="str">
        <f t="array" ref="D154">IFERROR(INDEX(BD[],_xlfn.AGGREGATE(15,6,IF(BD[CLASIFICACIÓN]=$B$2,ROW(BD[CLASIFICACIÓN])-ROW('PT2 (FILTRAR)'!$E$5)+1,NA()),ROWS($B$5:D154)),COLUMNS($B$5:D154)),"")</f>
        <v/>
      </c>
      <c r="E154" s="126" t="str">
        <f t="array" ref="E154">IFERROR(INDEX(BD[],_xlfn.AGGREGATE(15,6,IF(BD[CLASIFICACIÓN]=$B$2,ROW(BD[CLASIFICACIÓN])-ROW('PT2 (FILTRAR)'!$E$5)+1,NA()),ROWS($B$5:E154)),COLUMNS($B$5:E154)),"")</f>
        <v/>
      </c>
    </row>
    <row r="155" spans="2:5" x14ac:dyDescent="0.3">
      <c r="B155" s="126" t="str">
        <f t="array" ref="B155">IFERROR(INDEX(BD[],_xlfn.AGGREGATE(15,6,IF(BD[CLASIFICACIÓN]=$B$2,ROW(BD[CLASIFICACIÓN])-ROW('PT2 (FILTRAR)'!$E$5)+1,NA()),ROWS($B$5:B155)),COLUMNS($B$5:B155)),"")</f>
        <v/>
      </c>
      <c r="C155" s="127" t="str">
        <f t="array" ref="C155">IFERROR(INDEX(BD[],_xlfn.AGGREGATE(15,6,IF(BD[CLASIFICACIÓN]=$B$2,ROW(BD[CLASIFICACIÓN])-ROW('PT2 (FILTRAR)'!$E$5)+1,NA()),ROWS($B$5:C155)),COLUMNS($B$5:C155)),"")</f>
        <v/>
      </c>
      <c r="D155" s="142" t="str">
        <f t="array" ref="D155">IFERROR(INDEX(BD[],_xlfn.AGGREGATE(15,6,IF(BD[CLASIFICACIÓN]=$B$2,ROW(BD[CLASIFICACIÓN])-ROW('PT2 (FILTRAR)'!$E$5)+1,NA()),ROWS($B$5:D155)),COLUMNS($B$5:D155)),"")</f>
        <v/>
      </c>
      <c r="E155" s="126" t="str">
        <f t="array" ref="E155">IFERROR(INDEX(BD[],_xlfn.AGGREGATE(15,6,IF(BD[CLASIFICACIÓN]=$B$2,ROW(BD[CLASIFICACIÓN])-ROW('PT2 (FILTRAR)'!$E$5)+1,NA()),ROWS($B$5:E155)),COLUMNS($B$5:E155)),"")</f>
        <v/>
      </c>
    </row>
    <row r="156" spans="2:5" x14ac:dyDescent="0.3">
      <c r="B156" s="126" t="str">
        <f t="array" ref="B156">IFERROR(INDEX(BD[],_xlfn.AGGREGATE(15,6,IF(BD[CLASIFICACIÓN]=$B$2,ROW(BD[CLASIFICACIÓN])-ROW('PT2 (FILTRAR)'!$E$5)+1,NA()),ROWS($B$5:B156)),COLUMNS($B$5:B156)),"")</f>
        <v/>
      </c>
      <c r="C156" s="127" t="str">
        <f t="array" ref="C156">IFERROR(INDEX(BD[],_xlfn.AGGREGATE(15,6,IF(BD[CLASIFICACIÓN]=$B$2,ROW(BD[CLASIFICACIÓN])-ROW('PT2 (FILTRAR)'!$E$5)+1,NA()),ROWS($B$5:C156)),COLUMNS($B$5:C156)),"")</f>
        <v/>
      </c>
      <c r="D156" s="142" t="str">
        <f t="array" ref="D156">IFERROR(INDEX(BD[],_xlfn.AGGREGATE(15,6,IF(BD[CLASIFICACIÓN]=$B$2,ROW(BD[CLASIFICACIÓN])-ROW('PT2 (FILTRAR)'!$E$5)+1,NA()),ROWS($B$5:D156)),COLUMNS($B$5:D156)),"")</f>
        <v/>
      </c>
      <c r="E156" s="126" t="str">
        <f t="array" ref="E156">IFERROR(INDEX(BD[],_xlfn.AGGREGATE(15,6,IF(BD[CLASIFICACIÓN]=$B$2,ROW(BD[CLASIFICACIÓN])-ROW('PT2 (FILTRAR)'!$E$5)+1,NA()),ROWS($B$5:E156)),COLUMNS($B$5:E156)),"")</f>
        <v/>
      </c>
    </row>
    <row r="157" spans="2:5" x14ac:dyDescent="0.3">
      <c r="B157" s="126" t="str">
        <f t="array" ref="B157">IFERROR(INDEX(BD[],_xlfn.AGGREGATE(15,6,IF(BD[CLASIFICACIÓN]=$B$2,ROW(BD[CLASIFICACIÓN])-ROW('PT2 (FILTRAR)'!$E$5)+1,NA()),ROWS($B$5:B157)),COLUMNS($B$5:B157)),"")</f>
        <v/>
      </c>
      <c r="C157" s="127" t="str">
        <f t="array" ref="C157">IFERROR(INDEX(BD[],_xlfn.AGGREGATE(15,6,IF(BD[CLASIFICACIÓN]=$B$2,ROW(BD[CLASIFICACIÓN])-ROW('PT2 (FILTRAR)'!$E$5)+1,NA()),ROWS($B$5:C157)),COLUMNS($B$5:C157)),"")</f>
        <v/>
      </c>
      <c r="D157" s="142" t="str">
        <f t="array" ref="D157">IFERROR(INDEX(BD[],_xlfn.AGGREGATE(15,6,IF(BD[CLASIFICACIÓN]=$B$2,ROW(BD[CLASIFICACIÓN])-ROW('PT2 (FILTRAR)'!$E$5)+1,NA()),ROWS($B$5:D157)),COLUMNS($B$5:D157)),"")</f>
        <v/>
      </c>
      <c r="E157" s="126" t="str">
        <f t="array" ref="E157">IFERROR(INDEX(BD[],_xlfn.AGGREGATE(15,6,IF(BD[CLASIFICACIÓN]=$B$2,ROW(BD[CLASIFICACIÓN])-ROW('PT2 (FILTRAR)'!$E$5)+1,NA()),ROWS($B$5:E157)),COLUMNS($B$5:E157)),"")</f>
        <v/>
      </c>
    </row>
    <row r="158" spans="2:5" x14ac:dyDescent="0.3">
      <c r="B158" s="126" t="str">
        <f t="array" ref="B158">IFERROR(INDEX(BD[],_xlfn.AGGREGATE(15,6,IF(BD[CLASIFICACIÓN]=$B$2,ROW(BD[CLASIFICACIÓN])-ROW('PT2 (FILTRAR)'!$E$5)+1,NA()),ROWS($B$5:B158)),COLUMNS($B$5:B158)),"")</f>
        <v/>
      </c>
      <c r="C158" s="127" t="str">
        <f t="array" ref="C158">IFERROR(INDEX(BD[],_xlfn.AGGREGATE(15,6,IF(BD[CLASIFICACIÓN]=$B$2,ROW(BD[CLASIFICACIÓN])-ROW('PT2 (FILTRAR)'!$E$5)+1,NA()),ROWS($B$5:C158)),COLUMNS($B$5:C158)),"")</f>
        <v/>
      </c>
      <c r="D158" s="142" t="str">
        <f t="array" ref="D158">IFERROR(INDEX(BD[],_xlfn.AGGREGATE(15,6,IF(BD[CLASIFICACIÓN]=$B$2,ROW(BD[CLASIFICACIÓN])-ROW('PT2 (FILTRAR)'!$E$5)+1,NA()),ROWS($B$5:D158)),COLUMNS($B$5:D158)),"")</f>
        <v/>
      </c>
      <c r="E158" s="126" t="str">
        <f t="array" ref="E158">IFERROR(INDEX(BD[],_xlfn.AGGREGATE(15,6,IF(BD[CLASIFICACIÓN]=$B$2,ROW(BD[CLASIFICACIÓN])-ROW('PT2 (FILTRAR)'!$E$5)+1,NA()),ROWS($B$5:E158)),COLUMNS($B$5:E158)),"")</f>
        <v/>
      </c>
    </row>
    <row r="159" spans="2:5" x14ac:dyDescent="0.3">
      <c r="B159" s="126" t="str">
        <f t="array" ref="B159">IFERROR(INDEX(BD[],_xlfn.AGGREGATE(15,6,IF(BD[CLASIFICACIÓN]=$B$2,ROW(BD[CLASIFICACIÓN])-ROW('PT2 (FILTRAR)'!$E$5)+1,NA()),ROWS($B$5:B159)),COLUMNS($B$5:B159)),"")</f>
        <v/>
      </c>
      <c r="C159" s="127" t="str">
        <f t="array" ref="C159">IFERROR(INDEX(BD[],_xlfn.AGGREGATE(15,6,IF(BD[CLASIFICACIÓN]=$B$2,ROW(BD[CLASIFICACIÓN])-ROW('PT2 (FILTRAR)'!$E$5)+1,NA()),ROWS($B$5:C159)),COLUMNS($B$5:C159)),"")</f>
        <v/>
      </c>
      <c r="D159" s="142" t="str">
        <f t="array" ref="D159">IFERROR(INDEX(BD[],_xlfn.AGGREGATE(15,6,IF(BD[CLASIFICACIÓN]=$B$2,ROW(BD[CLASIFICACIÓN])-ROW('PT2 (FILTRAR)'!$E$5)+1,NA()),ROWS($B$5:D159)),COLUMNS($B$5:D159)),"")</f>
        <v/>
      </c>
      <c r="E159" s="126" t="str">
        <f t="array" ref="E159">IFERROR(INDEX(BD[],_xlfn.AGGREGATE(15,6,IF(BD[CLASIFICACIÓN]=$B$2,ROW(BD[CLASIFICACIÓN])-ROW('PT2 (FILTRAR)'!$E$5)+1,NA()),ROWS($B$5:E159)),COLUMNS($B$5:E159)),"")</f>
        <v/>
      </c>
    </row>
    <row r="160" spans="2:5" x14ac:dyDescent="0.3">
      <c r="B160" s="126" t="str">
        <f t="array" ref="B160">IFERROR(INDEX(BD[],_xlfn.AGGREGATE(15,6,IF(BD[CLASIFICACIÓN]=$B$2,ROW(BD[CLASIFICACIÓN])-ROW('PT2 (FILTRAR)'!$E$5)+1,NA()),ROWS($B$5:B160)),COLUMNS($B$5:B160)),"")</f>
        <v/>
      </c>
      <c r="C160" s="127" t="str">
        <f t="array" ref="C160">IFERROR(INDEX(BD[],_xlfn.AGGREGATE(15,6,IF(BD[CLASIFICACIÓN]=$B$2,ROW(BD[CLASIFICACIÓN])-ROW('PT2 (FILTRAR)'!$E$5)+1,NA()),ROWS($B$5:C160)),COLUMNS($B$5:C160)),"")</f>
        <v/>
      </c>
      <c r="D160" s="142" t="str">
        <f t="array" ref="D160">IFERROR(INDEX(BD[],_xlfn.AGGREGATE(15,6,IF(BD[CLASIFICACIÓN]=$B$2,ROW(BD[CLASIFICACIÓN])-ROW('PT2 (FILTRAR)'!$E$5)+1,NA()),ROWS($B$5:D160)),COLUMNS($B$5:D160)),"")</f>
        <v/>
      </c>
      <c r="E160" s="126" t="str">
        <f t="array" ref="E160">IFERROR(INDEX(BD[],_xlfn.AGGREGATE(15,6,IF(BD[CLASIFICACIÓN]=$B$2,ROW(BD[CLASIFICACIÓN])-ROW('PT2 (FILTRAR)'!$E$5)+1,NA()),ROWS($B$5:E160)),COLUMNS($B$5:E160)),"")</f>
        <v/>
      </c>
    </row>
    <row r="161" spans="2:5" x14ac:dyDescent="0.3">
      <c r="B161" s="126" t="str">
        <f t="array" ref="B161">IFERROR(INDEX(BD[],_xlfn.AGGREGATE(15,6,IF(BD[CLASIFICACIÓN]=$B$2,ROW(BD[CLASIFICACIÓN])-ROW('PT2 (FILTRAR)'!$E$5)+1,NA()),ROWS($B$5:B161)),COLUMNS($B$5:B161)),"")</f>
        <v/>
      </c>
      <c r="C161" s="127" t="str">
        <f t="array" ref="C161">IFERROR(INDEX(BD[],_xlfn.AGGREGATE(15,6,IF(BD[CLASIFICACIÓN]=$B$2,ROW(BD[CLASIFICACIÓN])-ROW('PT2 (FILTRAR)'!$E$5)+1,NA()),ROWS($B$5:C161)),COLUMNS($B$5:C161)),"")</f>
        <v/>
      </c>
      <c r="D161" s="142" t="str">
        <f t="array" ref="D161">IFERROR(INDEX(BD[],_xlfn.AGGREGATE(15,6,IF(BD[CLASIFICACIÓN]=$B$2,ROW(BD[CLASIFICACIÓN])-ROW('PT2 (FILTRAR)'!$E$5)+1,NA()),ROWS($B$5:D161)),COLUMNS($B$5:D161)),"")</f>
        <v/>
      </c>
      <c r="E161" s="126" t="str">
        <f t="array" ref="E161">IFERROR(INDEX(BD[],_xlfn.AGGREGATE(15,6,IF(BD[CLASIFICACIÓN]=$B$2,ROW(BD[CLASIFICACIÓN])-ROW('PT2 (FILTRAR)'!$E$5)+1,NA()),ROWS($B$5:E161)),COLUMNS($B$5:E161)),"")</f>
        <v/>
      </c>
    </row>
    <row r="162" spans="2:5" x14ac:dyDescent="0.3">
      <c r="B162" s="126" t="str">
        <f t="array" ref="B162">IFERROR(INDEX(BD[],_xlfn.AGGREGATE(15,6,IF(BD[CLASIFICACIÓN]=$B$2,ROW(BD[CLASIFICACIÓN])-ROW('PT2 (FILTRAR)'!$E$5)+1,NA()),ROWS($B$5:B162)),COLUMNS($B$5:B162)),"")</f>
        <v/>
      </c>
      <c r="C162" s="127" t="str">
        <f t="array" ref="C162">IFERROR(INDEX(BD[],_xlfn.AGGREGATE(15,6,IF(BD[CLASIFICACIÓN]=$B$2,ROW(BD[CLASIFICACIÓN])-ROW('PT2 (FILTRAR)'!$E$5)+1,NA()),ROWS($B$5:C162)),COLUMNS($B$5:C162)),"")</f>
        <v/>
      </c>
      <c r="D162" s="142" t="str">
        <f t="array" ref="D162">IFERROR(INDEX(BD[],_xlfn.AGGREGATE(15,6,IF(BD[CLASIFICACIÓN]=$B$2,ROW(BD[CLASIFICACIÓN])-ROW('PT2 (FILTRAR)'!$E$5)+1,NA()),ROWS($B$5:D162)),COLUMNS($B$5:D162)),"")</f>
        <v/>
      </c>
      <c r="E162" s="126" t="str">
        <f t="array" ref="E162">IFERROR(INDEX(BD[],_xlfn.AGGREGATE(15,6,IF(BD[CLASIFICACIÓN]=$B$2,ROW(BD[CLASIFICACIÓN])-ROW('PT2 (FILTRAR)'!$E$5)+1,NA()),ROWS($B$5:E162)),COLUMNS($B$5:E162)),"")</f>
        <v/>
      </c>
    </row>
    <row r="163" spans="2:5" x14ac:dyDescent="0.3">
      <c r="B163" s="126" t="str">
        <f t="array" ref="B163">IFERROR(INDEX(BD[],_xlfn.AGGREGATE(15,6,IF(BD[CLASIFICACIÓN]=$B$2,ROW(BD[CLASIFICACIÓN])-ROW('PT2 (FILTRAR)'!$E$5)+1,NA()),ROWS($B$5:B163)),COLUMNS($B$5:B163)),"")</f>
        <v/>
      </c>
      <c r="C163" s="127" t="str">
        <f t="array" ref="C163">IFERROR(INDEX(BD[],_xlfn.AGGREGATE(15,6,IF(BD[CLASIFICACIÓN]=$B$2,ROW(BD[CLASIFICACIÓN])-ROW('PT2 (FILTRAR)'!$E$5)+1,NA()),ROWS($B$5:C163)),COLUMNS($B$5:C163)),"")</f>
        <v/>
      </c>
      <c r="D163" s="142" t="str">
        <f t="array" ref="D163">IFERROR(INDEX(BD[],_xlfn.AGGREGATE(15,6,IF(BD[CLASIFICACIÓN]=$B$2,ROW(BD[CLASIFICACIÓN])-ROW('PT2 (FILTRAR)'!$E$5)+1,NA()),ROWS($B$5:D163)),COLUMNS($B$5:D163)),"")</f>
        <v/>
      </c>
      <c r="E163" s="126" t="str">
        <f t="array" ref="E163">IFERROR(INDEX(BD[],_xlfn.AGGREGATE(15,6,IF(BD[CLASIFICACIÓN]=$B$2,ROW(BD[CLASIFICACIÓN])-ROW('PT2 (FILTRAR)'!$E$5)+1,NA()),ROWS($B$5:E163)),COLUMNS($B$5:E163)),"")</f>
        <v/>
      </c>
    </row>
    <row r="164" spans="2:5" x14ac:dyDescent="0.3">
      <c r="B164" s="126" t="str">
        <f t="array" ref="B164">IFERROR(INDEX(BD[],_xlfn.AGGREGATE(15,6,IF(BD[CLASIFICACIÓN]=$B$2,ROW(BD[CLASIFICACIÓN])-ROW('PT2 (FILTRAR)'!$E$5)+1,NA()),ROWS($B$5:B164)),COLUMNS($B$5:B164)),"")</f>
        <v/>
      </c>
      <c r="C164" s="127" t="str">
        <f t="array" ref="C164">IFERROR(INDEX(BD[],_xlfn.AGGREGATE(15,6,IF(BD[CLASIFICACIÓN]=$B$2,ROW(BD[CLASIFICACIÓN])-ROW('PT2 (FILTRAR)'!$E$5)+1,NA()),ROWS($B$5:C164)),COLUMNS($B$5:C164)),"")</f>
        <v/>
      </c>
      <c r="D164" s="142" t="str">
        <f t="array" ref="D164">IFERROR(INDEX(BD[],_xlfn.AGGREGATE(15,6,IF(BD[CLASIFICACIÓN]=$B$2,ROW(BD[CLASIFICACIÓN])-ROW('PT2 (FILTRAR)'!$E$5)+1,NA()),ROWS($B$5:D164)),COLUMNS($B$5:D164)),"")</f>
        <v/>
      </c>
      <c r="E164" s="126" t="str">
        <f t="array" ref="E164">IFERROR(INDEX(BD[],_xlfn.AGGREGATE(15,6,IF(BD[CLASIFICACIÓN]=$B$2,ROW(BD[CLASIFICACIÓN])-ROW('PT2 (FILTRAR)'!$E$5)+1,NA()),ROWS($B$5:E164)),COLUMNS($B$5:E164)),"")</f>
        <v/>
      </c>
    </row>
    <row r="165" spans="2:5" x14ac:dyDescent="0.3">
      <c r="B165" s="126" t="str">
        <f t="array" ref="B165">IFERROR(INDEX(BD[],_xlfn.AGGREGATE(15,6,IF(BD[CLASIFICACIÓN]=$B$2,ROW(BD[CLASIFICACIÓN])-ROW('PT2 (FILTRAR)'!$E$5)+1,NA()),ROWS($B$5:B165)),COLUMNS($B$5:B165)),"")</f>
        <v/>
      </c>
      <c r="C165" s="127" t="str">
        <f t="array" ref="C165">IFERROR(INDEX(BD[],_xlfn.AGGREGATE(15,6,IF(BD[CLASIFICACIÓN]=$B$2,ROW(BD[CLASIFICACIÓN])-ROW('PT2 (FILTRAR)'!$E$5)+1,NA()),ROWS($B$5:C165)),COLUMNS($B$5:C165)),"")</f>
        <v/>
      </c>
      <c r="D165" s="142" t="str">
        <f t="array" ref="D165">IFERROR(INDEX(BD[],_xlfn.AGGREGATE(15,6,IF(BD[CLASIFICACIÓN]=$B$2,ROW(BD[CLASIFICACIÓN])-ROW('PT2 (FILTRAR)'!$E$5)+1,NA()),ROWS($B$5:D165)),COLUMNS($B$5:D165)),"")</f>
        <v/>
      </c>
      <c r="E165" s="126" t="str">
        <f t="array" ref="E165">IFERROR(INDEX(BD[],_xlfn.AGGREGATE(15,6,IF(BD[CLASIFICACIÓN]=$B$2,ROW(BD[CLASIFICACIÓN])-ROW('PT2 (FILTRAR)'!$E$5)+1,NA()),ROWS($B$5:E165)),COLUMNS($B$5:E165)),"")</f>
        <v/>
      </c>
    </row>
    <row r="166" spans="2:5" x14ac:dyDescent="0.3">
      <c r="B166" s="126" t="str">
        <f t="array" ref="B166">IFERROR(INDEX(BD[],_xlfn.AGGREGATE(15,6,IF(BD[CLASIFICACIÓN]=$B$2,ROW(BD[CLASIFICACIÓN])-ROW('PT2 (FILTRAR)'!$E$5)+1,NA()),ROWS($B$5:B166)),COLUMNS($B$5:B166)),"")</f>
        <v/>
      </c>
      <c r="C166" s="127" t="str">
        <f t="array" ref="C166">IFERROR(INDEX(BD[],_xlfn.AGGREGATE(15,6,IF(BD[CLASIFICACIÓN]=$B$2,ROW(BD[CLASIFICACIÓN])-ROW('PT2 (FILTRAR)'!$E$5)+1,NA()),ROWS($B$5:C166)),COLUMNS($B$5:C166)),"")</f>
        <v/>
      </c>
      <c r="D166" s="142" t="str">
        <f t="array" ref="D166">IFERROR(INDEX(BD[],_xlfn.AGGREGATE(15,6,IF(BD[CLASIFICACIÓN]=$B$2,ROW(BD[CLASIFICACIÓN])-ROW('PT2 (FILTRAR)'!$E$5)+1,NA()),ROWS($B$5:D166)),COLUMNS($B$5:D166)),"")</f>
        <v/>
      </c>
      <c r="E166" s="126" t="str">
        <f t="array" ref="E166">IFERROR(INDEX(BD[],_xlfn.AGGREGATE(15,6,IF(BD[CLASIFICACIÓN]=$B$2,ROW(BD[CLASIFICACIÓN])-ROW('PT2 (FILTRAR)'!$E$5)+1,NA()),ROWS($B$5:E166)),COLUMNS($B$5:E166)),"")</f>
        <v/>
      </c>
    </row>
    <row r="167" spans="2:5" x14ac:dyDescent="0.3">
      <c r="B167" s="126" t="str">
        <f t="array" ref="B167">IFERROR(INDEX(BD[],_xlfn.AGGREGATE(15,6,IF(BD[CLASIFICACIÓN]=$B$2,ROW(BD[CLASIFICACIÓN])-ROW('PT2 (FILTRAR)'!$E$5)+1,NA()),ROWS($B$5:B167)),COLUMNS($B$5:B167)),"")</f>
        <v/>
      </c>
      <c r="C167" s="127" t="str">
        <f t="array" ref="C167">IFERROR(INDEX(BD[],_xlfn.AGGREGATE(15,6,IF(BD[CLASIFICACIÓN]=$B$2,ROW(BD[CLASIFICACIÓN])-ROW('PT2 (FILTRAR)'!$E$5)+1,NA()),ROWS($B$5:C167)),COLUMNS($B$5:C167)),"")</f>
        <v/>
      </c>
      <c r="D167" s="142" t="str">
        <f t="array" ref="D167">IFERROR(INDEX(BD[],_xlfn.AGGREGATE(15,6,IF(BD[CLASIFICACIÓN]=$B$2,ROW(BD[CLASIFICACIÓN])-ROW('PT2 (FILTRAR)'!$E$5)+1,NA()),ROWS($B$5:D167)),COLUMNS($B$5:D167)),"")</f>
        <v/>
      </c>
      <c r="E167" s="126" t="str">
        <f t="array" ref="E167">IFERROR(INDEX(BD[],_xlfn.AGGREGATE(15,6,IF(BD[CLASIFICACIÓN]=$B$2,ROW(BD[CLASIFICACIÓN])-ROW('PT2 (FILTRAR)'!$E$5)+1,NA()),ROWS($B$5:E167)),COLUMNS($B$5:E167)),"")</f>
        <v/>
      </c>
    </row>
    <row r="168" spans="2:5" x14ac:dyDescent="0.3">
      <c r="B168" s="126" t="str">
        <f t="array" ref="B168">IFERROR(INDEX(BD[],_xlfn.AGGREGATE(15,6,IF(BD[CLASIFICACIÓN]=$B$2,ROW(BD[CLASIFICACIÓN])-ROW('PT2 (FILTRAR)'!$E$5)+1,NA()),ROWS($B$5:B168)),COLUMNS($B$5:B168)),"")</f>
        <v/>
      </c>
      <c r="C168" s="127" t="str">
        <f t="array" ref="C168">IFERROR(INDEX(BD[],_xlfn.AGGREGATE(15,6,IF(BD[CLASIFICACIÓN]=$B$2,ROW(BD[CLASIFICACIÓN])-ROW('PT2 (FILTRAR)'!$E$5)+1,NA()),ROWS($B$5:C168)),COLUMNS($B$5:C168)),"")</f>
        <v/>
      </c>
      <c r="D168" s="142" t="str">
        <f t="array" ref="D168">IFERROR(INDEX(BD[],_xlfn.AGGREGATE(15,6,IF(BD[CLASIFICACIÓN]=$B$2,ROW(BD[CLASIFICACIÓN])-ROW('PT2 (FILTRAR)'!$E$5)+1,NA()),ROWS($B$5:D168)),COLUMNS($B$5:D168)),"")</f>
        <v/>
      </c>
      <c r="E168" s="126" t="str">
        <f t="array" ref="E168">IFERROR(INDEX(BD[],_xlfn.AGGREGATE(15,6,IF(BD[CLASIFICACIÓN]=$B$2,ROW(BD[CLASIFICACIÓN])-ROW('PT2 (FILTRAR)'!$E$5)+1,NA()),ROWS($B$5:E168)),COLUMNS($B$5:E168)),"")</f>
        <v/>
      </c>
    </row>
    <row r="169" spans="2:5" x14ac:dyDescent="0.3">
      <c r="B169" s="126" t="str">
        <f t="array" ref="B169">IFERROR(INDEX(BD[],_xlfn.AGGREGATE(15,6,IF(BD[CLASIFICACIÓN]=$B$2,ROW(BD[CLASIFICACIÓN])-ROW('PT2 (FILTRAR)'!$E$5)+1,NA()),ROWS($B$5:B169)),COLUMNS($B$5:B169)),"")</f>
        <v/>
      </c>
      <c r="C169" s="127" t="str">
        <f t="array" ref="C169">IFERROR(INDEX(BD[],_xlfn.AGGREGATE(15,6,IF(BD[CLASIFICACIÓN]=$B$2,ROW(BD[CLASIFICACIÓN])-ROW('PT2 (FILTRAR)'!$E$5)+1,NA()),ROWS($B$5:C169)),COLUMNS($B$5:C169)),"")</f>
        <v/>
      </c>
      <c r="D169" s="142" t="str">
        <f t="array" ref="D169">IFERROR(INDEX(BD[],_xlfn.AGGREGATE(15,6,IF(BD[CLASIFICACIÓN]=$B$2,ROW(BD[CLASIFICACIÓN])-ROW('PT2 (FILTRAR)'!$E$5)+1,NA()),ROWS($B$5:D169)),COLUMNS($B$5:D169)),"")</f>
        <v/>
      </c>
      <c r="E169" s="126" t="str">
        <f t="array" ref="E169">IFERROR(INDEX(BD[],_xlfn.AGGREGATE(15,6,IF(BD[CLASIFICACIÓN]=$B$2,ROW(BD[CLASIFICACIÓN])-ROW('PT2 (FILTRAR)'!$E$5)+1,NA()),ROWS($B$5:E169)),COLUMNS($B$5:E169)),"")</f>
        <v/>
      </c>
    </row>
    <row r="170" spans="2:5" x14ac:dyDescent="0.3">
      <c r="B170" s="126" t="str">
        <f t="array" ref="B170">IFERROR(INDEX(BD[],_xlfn.AGGREGATE(15,6,IF(BD[CLASIFICACIÓN]=$B$2,ROW(BD[CLASIFICACIÓN])-ROW('PT2 (FILTRAR)'!$E$5)+1,NA()),ROWS($B$5:B170)),COLUMNS($B$5:B170)),"")</f>
        <v/>
      </c>
      <c r="C170" s="127" t="str">
        <f t="array" ref="C170">IFERROR(INDEX(BD[],_xlfn.AGGREGATE(15,6,IF(BD[CLASIFICACIÓN]=$B$2,ROW(BD[CLASIFICACIÓN])-ROW('PT2 (FILTRAR)'!$E$5)+1,NA()),ROWS($B$5:C170)),COLUMNS($B$5:C170)),"")</f>
        <v/>
      </c>
      <c r="D170" s="142" t="str">
        <f t="array" ref="D170">IFERROR(INDEX(BD[],_xlfn.AGGREGATE(15,6,IF(BD[CLASIFICACIÓN]=$B$2,ROW(BD[CLASIFICACIÓN])-ROW('PT2 (FILTRAR)'!$E$5)+1,NA()),ROWS($B$5:D170)),COLUMNS($B$5:D170)),"")</f>
        <v/>
      </c>
      <c r="E170" s="126" t="str">
        <f t="array" ref="E170">IFERROR(INDEX(BD[],_xlfn.AGGREGATE(15,6,IF(BD[CLASIFICACIÓN]=$B$2,ROW(BD[CLASIFICACIÓN])-ROW('PT2 (FILTRAR)'!$E$5)+1,NA()),ROWS($B$5:E170)),COLUMNS($B$5:E170)),"")</f>
        <v/>
      </c>
    </row>
    <row r="171" spans="2:5" x14ac:dyDescent="0.3">
      <c r="B171" s="126" t="str">
        <f t="array" ref="B171">IFERROR(INDEX(BD[],_xlfn.AGGREGATE(15,6,IF(BD[CLASIFICACIÓN]=$B$2,ROW(BD[CLASIFICACIÓN])-ROW('PT2 (FILTRAR)'!$E$5)+1,NA()),ROWS($B$5:B171)),COLUMNS($B$5:B171)),"")</f>
        <v/>
      </c>
      <c r="C171" s="127" t="str">
        <f t="array" ref="C171">IFERROR(INDEX(BD[],_xlfn.AGGREGATE(15,6,IF(BD[CLASIFICACIÓN]=$B$2,ROW(BD[CLASIFICACIÓN])-ROW('PT2 (FILTRAR)'!$E$5)+1,NA()),ROWS($B$5:C171)),COLUMNS($B$5:C171)),"")</f>
        <v/>
      </c>
      <c r="D171" s="142" t="str">
        <f t="array" ref="D171">IFERROR(INDEX(BD[],_xlfn.AGGREGATE(15,6,IF(BD[CLASIFICACIÓN]=$B$2,ROW(BD[CLASIFICACIÓN])-ROW('PT2 (FILTRAR)'!$E$5)+1,NA()),ROWS($B$5:D171)),COLUMNS($B$5:D171)),"")</f>
        <v/>
      </c>
      <c r="E171" s="126" t="str">
        <f t="array" ref="E171">IFERROR(INDEX(BD[],_xlfn.AGGREGATE(15,6,IF(BD[CLASIFICACIÓN]=$B$2,ROW(BD[CLASIFICACIÓN])-ROW('PT2 (FILTRAR)'!$E$5)+1,NA()),ROWS($B$5:E171)),COLUMNS($B$5:E171)),"")</f>
        <v/>
      </c>
    </row>
    <row r="172" spans="2:5" x14ac:dyDescent="0.3">
      <c r="B172" s="126" t="str">
        <f t="array" ref="B172">IFERROR(INDEX(BD[],_xlfn.AGGREGATE(15,6,IF(BD[CLASIFICACIÓN]=$B$2,ROW(BD[CLASIFICACIÓN])-ROW('PT2 (FILTRAR)'!$E$5)+1,NA()),ROWS($B$5:B172)),COLUMNS($B$5:B172)),"")</f>
        <v/>
      </c>
      <c r="C172" s="127" t="str">
        <f t="array" ref="C172">IFERROR(INDEX(BD[],_xlfn.AGGREGATE(15,6,IF(BD[CLASIFICACIÓN]=$B$2,ROW(BD[CLASIFICACIÓN])-ROW('PT2 (FILTRAR)'!$E$5)+1,NA()),ROWS($B$5:C172)),COLUMNS($B$5:C172)),"")</f>
        <v/>
      </c>
      <c r="D172" s="142" t="str">
        <f t="array" ref="D172">IFERROR(INDEX(BD[],_xlfn.AGGREGATE(15,6,IF(BD[CLASIFICACIÓN]=$B$2,ROW(BD[CLASIFICACIÓN])-ROW('PT2 (FILTRAR)'!$E$5)+1,NA()),ROWS($B$5:D172)),COLUMNS($B$5:D172)),"")</f>
        <v/>
      </c>
      <c r="E172" s="126" t="str">
        <f t="array" ref="E172">IFERROR(INDEX(BD[],_xlfn.AGGREGATE(15,6,IF(BD[CLASIFICACIÓN]=$B$2,ROW(BD[CLASIFICACIÓN])-ROW('PT2 (FILTRAR)'!$E$5)+1,NA()),ROWS($B$5:E172)),COLUMNS($B$5:E172)),"")</f>
        <v/>
      </c>
    </row>
    <row r="173" spans="2:5" x14ac:dyDescent="0.3">
      <c r="B173" s="126" t="str">
        <f t="array" ref="B173">IFERROR(INDEX(BD[],_xlfn.AGGREGATE(15,6,IF(BD[CLASIFICACIÓN]=$B$2,ROW(BD[CLASIFICACIÓN])-ROW('PT2 (FILTRAR)'!$E$5)+1,NA()),ROWS($B$5:B173)),COLUMNS($B$5:B173)),"")</f>
        <v/>
      </c>
      <c r="C173" s="127" t="str">
        <f t="array" ref="C173">IFERROR(INDEX(BD[],_xlfn.AGGREGATE(15,6,IF(BD[CLASIFICACIÓN]=$B$2,ROW(BD[CLASIFICACIÓN])-ROW('PT2 (FILTRAR)'!$E$5)+1,NA()),ROWS($B$5:C173)),COLUMNS($B$5:C173)),"")</f>
        <v/>
      </c>
      <c r="D173" s="142" t="str">
        <f t="array" ref="D173">IFERROR(INDEX(BD[],_xlfn.AGGREGATE(15,6,IF(BD[CLASIFICACIÓN]=$B$2,ROW(BD[CLASIFICACIÓN])-ROW('PT2 (FILTRAR)'!$E$5)+1,NA()),ROWS($B$5:D173)),COLUMNS($B$5:D173)),"")</f>
        <v/>
      </c>
      <c r="E173" s="126" t="str">
        <f t="array" ref="E173">IFERROR(INDEX(BD[],_xlfn.AGGREGATE(15,6,IF(BD[CLASIFICACIÓN]=$B$2,ROW(BD[CLASIFICACIÓN])-ROW('PT2 (FILTRAR)'!$E$5)+1,NA()),ROWS($B$5:E173)),COLUMNS($B$5:E173)),"")</f>
        <v/>
      </c>
    </row>
    <row r="174" spans="2:5" x14ac:dyDescent="0.3">
      <c r="B174" s="126" t="str">
        <f t="array" ref="B174">IFERROR(INDEX(BD[],_xlfn.AGGREGATE(15,6,IF(BD[CLASIFICACIÓN]=$B$2,ROW(BD[CLASIFICACIÓN])-ROW('PT2 (FILTRAR)'!$E$5)+1,NA()),ROWS($B$5:B174)),COLUMNS($B$5:B174)),"")</f>
        <v/>
      </c>
      <c r="C174" s="127" t="str">
        <f t="array" ref="C174">IFERROR(INDEX(BD[],_xlfn.AGGREGATE(15,6,IF(BD[CLASIFICACIÓN]=$B$2,ROW(BD[CLASIFICACIÓN])-ROW('PT2 (FILTRAR)'!$E$5)+1,NA()),ROWS($B$5:C174)),COLUMNS($B$5:C174)),"")</f>
        <v/>
      </c>
      <c r="D174" s="142" t="str">
        <f t="array" ref="D174">IFERROR(INDEX(BD[],_xlfn.AGGREGATE(15,6,IF(BD[CLASIFICACIÓN]=$B$2,ROW(BD[CLASIFICACIÓN])-ROW('PT2 (FILTRAR)'!$E$5)+1,NA()),ROWS($B$5:D174)),COLUMNS($B$5:D174)),"")</f>
        <v/>
      </c>
      <c r="E174" s="126" t="str">
        <f t="array" ref="E174">IFERROR(INDEX(BD[],_xlfn.AGGREGATE(15,6,IF(BD[CLASIFICACIÓN]=$B$2,ROW(BD[CLASIFICACIÓN])-ROW('PT2 (FILTRAR)'!$E$5)+1,NA()),ROWS($B$5:E174)),COLUMNS($B$5:E174)),"")</f>
        <v/>
      </c>
    </row>
    <row r="175" spans="2:5" x14ac:dyDescent="0.3">
      <c r="B175" s="126" t="str">
        <f t="array" ref="B175">IFERROR(INDEX(BD[],_xlfn.AGGREGATE(15,6,IF(BD[CLASIFICACIÓN]=$B$2,ROW(BD[CLASIFICACIÓN])-ROW('PT2 (FILTRAR)'!$E$5)+1,NA()),ROWS($B$5:B175)),COLUMNS($B$5:B175)),"")</f>
        <v/>
      </c>
      <c r="C175" s="127" t="str">
        <f t="array" ref="C175">IFERROR(INDEX(BD[],_xlfn.AGGREGATE(15,6,IF(BD[CLASIFICACIÓN]=$B$2,ROW(BD[CLASIFICACIÓN])-ROW('PT2 (FILTRAR)'!$E$5)+1,NA()),ROWS($B$5:C175)),COLUMNS($B$5:C175)),"")</f>
        <v/>
      </c>
      <c r="D175" s="142" t="str">
        <f t="array" ref="D175">IFERROR(INDEX(BD[],_xlfn.AGGREGATE(15,6,IF(BD[CLASIFICACIÓN]=$B$2,ROW(BD[CLASIFICACIÓN])-ROW('PT2 (FILTRAR)'!$E$5)+1,NA()),ROWS($B$5:D175)),COLUMNS($B$5:D175)),"")</f>
        <v/>
      </c>
      <c r="E175" s="126" t="str">
        <f t="array" ref="E175">IFERROR(INDEX(BD[],_xlfn.AGGREGATE(15,6,IF(BD[CLASIFICACIÓN]=$B$2,ROW(BD[CLASIFICACIÓN])-ROW('PT2 (FILTRAR)'!$E$5)+1,NA()),ROWS($B$5:E175)),COLUMNS($B$5:E175)),"")</f>
        <v/>
      </c>
    </row>
    <row r="176" spans="2:5" x14ac:dyDescent="0.3">
      <c r="B176" s="126" t="str">
        <f t="array" ref="B176">IFERROR(INDEX(BD[],_xlfn.AGGREGATE(15,6,IF(BD[CLASIFICACIÓN]=$B$2,ROW(BD[CLASIFICACIÓN])-ROW('PT2 (FILTRAR)'!$E$5)+1,NA()),ROWS($B$5:B176)),COLUMNS($B$5:B176)),"")</f>
        <v/>
      </c>
      <c r="C176" s="127" t="str">
        <f t="array" ref="C176">IFERROR(INDEX(BD[],_xlfn.AGGREGATE(15,6,IF(BD[CLASIFICACIÓN]=$B$2,ROW(BD[CLASIFICACIÓN])-ROW('PT2 (FILTRAR)'!$E$5)+1,NA()),ROWS($B$5:C176)),COLUMNS($B$5:C176)),"")</f>
        <v/>
      </c>
      <c r="D176" s="142" t="str">
        <f t="array" ref="D176">IFERROR(INDEX(BD[],_xlfn.AGGREGATE(15,6,IF(BD[CLASIFICACIÓN]=$B$2,ROW(BD[CLASIFICACIÓN])-ROW('PT2 (FILTRAR)'!$E$5)+1,NA()),ROWS($B$5:D176)),COLUMNS($B$5:D176)),"")</f>
        <v/>
      </c>
      <c r="E176" s="126" t="str">
        <f t="array" ref="E176">IFERROR(INDEX(BD[],_xlfn.AGGREGATE(15,6,IF(BD[CLASIFICACIÓN]=$B$2,ROW(BD[CLASIFICACIÓN])-ROW('PT2 (FILTRAR)'!$E$5)+1,NA()),ROWS($B$5:E176)),COLUMNS($B$5:E176)),"")</f>
        <v/>
      </c>
    </row>
    <row r="177" spans="2:5" x14ac:dyDescent="0.3">
      <c r="B177" s="126" t="str">
        <f t="array" ref="B177">IFERROR(INDEX(BD[],_xlfn.AGGREGATE(15,6,IF(BD[CLASIFICACIÓN]=$B$2,ROW(BD[CLASIFICACIÓN])-ROW('PT2 (FILTRAR)'!$E$5)+1,NA()),ROWS($B$5:B177)),COLUMNS($B$5:B177)),"")</f>
        <v/>
      </c>
      <c r="C177" s="127" t="str">
        <f t="array" ref="C177">IFERROR(INDEX(BD[],_xlfn.AGGREGATE(15,6,IF(BD[CLASIFICACIÓN]=$B$2,ROW(BD[CLASIFICACIÓN])-ROW('PT2 (FILTRAR)'!$E$5)+1,NA()),ROWS($B$5:C177)),COLUMNS($B$5:C177)),"")</f>
        <v/>
      </c>
      <c r="D177" s="142" t="str">
        <f t="array" ref="D177">IFERROR(INDEX(BD[],_xlfn.AGGREGATE(15,6,IF(BD[CLASIFICACIÓN]=$B$2,ROW(BD[CLASIFICACIÓN])-ROW('PT2 (FILTRAR)'!$E$5)+1,NA()),ROWS($B$5:D177)),COLUMNS($B$5:D177)),"")</f>
        <v/>
      </c>
      <c r="E177" s="126" t="str">
        <f t="array" ref="E177">IFERROR(INDEX(BD[],_xlfn.AGGREGATE(15,6,IF(BD[CLASIFICACIÓN]=$B$2,ROW(BD[CLASIFICACIÓN])-ROW('PT2 (FILTRAR)'!$E$5)+1,NA()),ROWS($B$5:E177)),COLUMNS($B$5:E177)),"")</f>
        <v/>
      </c>
    </row>
    <row r="178" spans="2:5" x14ac:dyDescent="0.3">
      <c r="B178" s="126" t="str">
        <f t="array" ref="B178">IFERROR(INDEX(BD[],_xlfn.AGGREGATE(15,6,IF(BD[CLASIFICACIÓN]=$B$2,ROW(BD[CLASIFICACIÓN])-ROW('PT2 (FILTRAR)'!$E$5)+1,NA()),ROWS($B$5:B178)),COLUMNS($B$5:B178)),"")</f>
        <v/>
      </c>
      <c r="C178" s="127" t="str">
        <f t="array" ref="C178">IFERROR(INDEX(BD[],_xlfn.AGGREGATE(15,6,IF(BD[CLASIFICACIÓN]=$B$2,ROW(BD[CLASIFICACIÓN])-ROW('PT2 (FILTRAR)'!$E$5)+1,NA()),ROWS($B$5:C178)),COLUMNS($B$5:C178)),"")</f>
        <v/>
      </c>
      <c r="D178" s="142" t="str">
        <f t="array" ref="D178">IFERROR(INDEX(BD[],_xlfn.AGGREGATE(15,6,IF(BD[CLASIFICACIÓN]=$B$2,ROW(BD[CLASIFICACIÓN])-ROW('PT2 (FILTRAR)'!$E$5)+1,NA()),ROWS($B$5:D178)),COLUMNS($B$5:D178)),"")</f>
        <v/>
      </c>
      <c r="E178" s="126" t="str">
        <f t="array" ref="E178">IFERROR(INDEX(BD[],_xlfn.AGGREGATE(15,6,IF(BD[CLASIFICACIÓN]=$B$2,ROW(BD[CLASIFICACIÓN])-ROW('PT2 (FILTRAR)'!$E$5)+1,NA()),ROWS($B$5:E178)),COLUMNS($B$5:E178)),"")</f>
        <v/>
      </c>
    </row>
    <row r="179" spans="2:5" x14ac:dyDescent="0.3">
      <c r="B179" s="126" t="str">
        <f t="array" ref="B179">IFERROR(INDEX(BD[],_xlfn.AGGREGATE(15,6,IF(BD[CLASIFICACIÓN]=$B$2,ROW(BD[CLASIFICACIÓN])-ROW('PT2 (FILTRAR)'!$E$5)+1,NA()),ROWS($B$5:B179)),COLUMNS($B$5:B179)),"")</f>
        <v/>
      </c>
      <c r="C179" s="127" t="str">
        <f t="array" ref="C179">IFERROR(INDEX(BD[],_xlfn.AGGREGATE(15,6,IF(BD[CLASIFICACIÓN]=$B$2,ROW(BD[CLASIFICACIÓN])-ROW('PT2 (FILTRAR)'!$E$5)+1,NA()),ROWS($B$5:C179)),COLUMNS($B$5:C179)),"")</f>
        <v/>
      </c>
      <c r="D179" s="142" t="str">
        <f t="array" ref="D179">IFERROR(INDEX(BD[],_xlfn.AGGREGATE(15,6,IF(BD[CLASIFICACIÓN]=$B$2,ROW(BD[CLASIFICACIÓN])-ROW('PT2 (FILTRAR)'!$E$5)+1,NA()),ROWS($B$5:D179)),COLUMNS($B$5:D179)),"")</f>
        <v/>
      </c>
      <c r="E179" s="126" t="str">
        <f t="array" ref="E179">IFERROR(INDEX(BD[],_xlfn.AGGREGATE(15,6,IF(BD[CLASIFICACIÓN]=$B$2,ROW(BD[CLASIFICACIÓN])-ROW('PT2 (FILTRAR)'!$E$5)+1,NA()),ROWS($B$5:E179)),COLUMNS($B$5:E179)),"")</f>
        <v/>
      </c>
    </row>
    <row r="180" spans="2:5" x14ac:dyDescent="0.3">
      <c r="B180" s="126" t="str">
        <f t="array" ref="B180">IFERROR(INDEX(BD[],_xlfn.AGGREGATE(15,6,IF(BD[CLASIFICACIÓN]=$B$2,ROW(BD[CLASIFICACIÓN])-ROW('PT2 (FILTRAR)'!$E$5)+1,NA()),ROWS($B$5:B180)),COLUMNS($B$5:B180)),"")</f>
        <v/>
      </c>
      <c r="C180" s="127" t="str">
        <f t="array" ref="C180">IFERROR(INDEX(BD[],_xlfn.AGGREGATE(15,6,IF(BD[CLASIFICACIÓN]=$B$2,ROW(BD[CLASIFICACIÓN])-ROW('PT2 (FILTRAR)'!$E$5)+1,NA()),ROWS($B$5:C180)),COLUMNS($B$5:C180)),"")</f>
        <v/>
      </c>
      <c r="D180" s="142" t="str">
        <f t="array" ref="D180">IFERROR(INDEX(BD[],_xlfn.AGGREGATE(15,6,IF(BD[CLASIFICACIÓN]=$B$2,ROW(BD[CLASIFICACIÓN])-ROW('PT2 (FILTRAR)'!$E$5)+1,NA()),ROWS($B$5:D180)),COLUMNS($B$5:D180)),"")</f>
        <v/>
      </c>
      <c r="E180" s="126" t="str">
        <f t="array" ref="E180">IFERROR(INDEX(BD[],_xlfn.AGGREGATE(15,6,IF(BD[CLASIFICACIÓN]=$B$2,ROW(BD[CLASIFICACIÓN])-ROW('PT2 (FILTRAR)'!$E$5)+1,NA()),ROWS($B$5:E180)),COLUMNS($B$5:E180)),"")</f>
        <v/>
      </c>
    </row>
    <row r="181" spans="2:5" x14ac:dyDescent="0.3">
      <c r="B181" s="126" t="str">
        <f t="array" ref="B181">IFERROR(INDEX(BD[],_xlfn.AGGREGATE(15,6,IF(BD[CLASIFICACIÓN]=$B$2,ROW(BD[CLASIFICACIÓN])-ROW('PT2 (FILTRAR)'!$E$5)+1,NA()),ROWS($B$5:B181)),COLUMNS($B$5:B181)),"")</f>
        <v/>
      </c>
      <c r="C181" s="127" t="str">
        <f t="array" ref="C181">IFERROR(INDEX(BD[],_xlfn.AGGREGATE(15,6,IF(BD[CLASIFICACIÓN]=$B$2,ROW(BD[CLASIFICACIÓN])-ROW('PT2 (FILTRAR)'!$E$5)+1,NA()),ROWS($B$5:C181)),COLUMNS($B$5:C181)),"")</f>
        <v/>
      </c>
      <c r="D181" s="142" t="str">
        <f t="array" ref="D181">IFERROR(INDEX(BD[],_xlfn.AGGREGATE(15,6,IF(BD[CLASIFICACIÓN]=$B$2,ROW(BD[CLASIFICACIÓN])-ROW('PT2 (FILTRAR)'!$E$5)+1,NA()),ROWS($B$5:D181)),COLUMNS($B$5:D181)),"")</f>
        <v/>
      </c>
      <c r="E181" s="126" t="str">
        <f t="array" ref="E181">IFERROR(INDEX(BD[],_xlfn.AGGREGATE(15,6,IF(BD[CLASIFICACIÓN]=$B$2,ROW(BD[CLASIFICACIÓN])-ROW('PT2 (FILTRAR)'!$E$5)+1,NA()),ROWS($B$5:E181)),COLUMNS($B$5:E181)),"")</f>
        <v/>
      </c>
    </row>
    <row r="182" spans="2:5" x14ac:dyDescent="0.3">
      <c r="B182" s="126" t="str">
        <f t="array" ref="B182">IFERROR(INDEX(BD[],_xlfn.AGGREGATE(15,6,IF(BD[CLASIFICACIÓN]=$B$2,ROW(BD[CLASIFICACIÓN])-ROW('PT2 (FILTRAR)'!$E$5)+1,NA()),ROWS($B$5:B182)),COLUMNS($B$5:B182)),"")</f>
        <v/>
      </c>
      <c r="C182" s="127" t="str">
        <f t="array" ref="C182">IFERROR(INDEX(BD[],_xlfn.AGGREGATE(15,6,IF(BD[CLASIFICACIÓN]=$B$2,ROW(BD[CLASIFICACIÓN])-ROW('PT2 (FILTRAR)'!$E$5)+1,NA()),ROWS($B$5:C182)),COLUMNS($B$5:C182)),"")</f>
        <v/>
      </c>
      <c r="D182" s="142" t="str">
        <f t="array" ref="D182">IFERROR(INDEX(BD[],_xlfn.AGGREGATE(15,6,IF(BD[CLASIFICACIÓN]=$B$2,ROW(BD[CLASIFICACIÓN])-ROW('PT2 (FILTRAR)'!$E$5)+1,NA()),ROWS($B$5:D182)),COLUMNS($B$5:D182)),"")</f>
        <v/>
      </c>
      <c r="E182" s="126" t="str">
        <f t="array" ref="E182">IFERROR(INDEX(BD[],_xlfn.AGGREGATE(15,6,IF(BD[CLASIFICACIÓN]=$B$2,ROW(BD[CLASIFICACIÓN])-ROW('PT2 (FILTRAR)'!$E$5)+1,NA()),ROWS($B$5:E182)),COLUMNS($B$5:E182)),"")</f>
        <v/>
      </c>
    </row>
    <row r="183" spans="2:5" x14ac:dyDescent="0.3">
      <c r="B183" s="126" t="str">
        <f t="array" ref="B183">IFERROR(INDEX(BD[],_xlfn.AGGREGATE(15,6,IF(BD[CLASIFICACIÓN]=$B$2,ROW(BD[CLASIFICACIÓN])-ROW('PT2 (FILTRAR)'!$E$5)+1,NA()),ROWS($B$5:B183)),COLUMNS($B$5:B183)),"")</f>
        <v/>
      </c>
      <c r="C183" s="127" t="str">
        <f t="array" ref="C183">IFERROR(INDEX(BD[],_xlfn.AGGREGATE(15,6,IF(BD[CLASIFICACIÓN]=$B$2,ROW(BD[CLASIFICACIÓN])-ROW('PT2 (FILTRAR)'!$E$5)+1,NA()),ROWS($B$5:C183)),COLUMNS($B$5:C183)),"")</f>
        <v/>
      </c>
      <c r="D183" s="142" t="str">
        <f t="array" ref="D183">IFERROR(INDEX(BD[],_xlfn.AGGREGATE(15,6,IF(BD[CLASIFICACIÓN]=$B$2,ROW(BD[CLASIFICACIÓN])-ROW('PT2 (FILTRAR)'!$E$5)+1,NA()),ROWS($B$5:D183)),COLUMNS($B$5:D183)),"")</f>
        <v/>
      </c>
      <c r="E183" s="126" t="str">
        <f t="array" ref="E183">IFERROR(INDEX(BD[],_xlfn.AGGREGATE(15,6,IF(BD[CLASIFICACIÓN]=$B$2,ROW(BD[CLASIFICACIÓN])-ROW('PT2 (FILTRAR)'!$E$5)+1,NA()),ROWS($B$5:E183)),COLUMNS($B$5:E183)),"")</f>
        <v/>
      </c>
    </row>
    <row r="184" spans="2:5" x14ac:dyDescent="0.3">
      <c r="B184" s="126" t="str">
        <f t="array" ref="B184">IFERROR(INDEX(BD[],_xlfn.AGGREGATE(15,6,IF(BD[CLASIFICACIÓN]=$B$2,ROW(BD[CLASIFICACIÓN])-ROW('PT2 (FILTRAR)'!$E$5)+1,NA()),ROWS($B$5:B184)),COLUMNS($B$5:B184)),"")</f>
        <v/>
      </c>
      <c r="C184" s="127" t="str">
        <f t="array" ref="C184">IFERROR(INDEX(BD[],_xlfn.AGGREGATE(15,6,IF(BD[CLASIFICACIÓN]=$B$2,ROW(BD[CLASIFICACIÓN])-ROW('PT2 (FILTRAR)'!$E$5)+1,NA()),ROWS($B$5:C184)),COLUMNS($B$5:C184)),"")</f>
        <v/>
      </c>
      <c r="D184" s="142" t="str">
        <f t="array" ref="D184">IFERROR(INDEX(BD[],_xlfn.AGGREGATE(15,6,IF(BD[CLASIFICACIÓN]=$B$2,ROW(BD[CLASIFICACIÓN])-ROW('PT2 (FILTRAR)'!$E$5)+1,NA()),ROWS($B$5:D184)),COLUMNS($B$5:D184)),"")</f>
        <v/>
      </c>
      <c r="E184" s="126" t="str">
        <f t="array" ref="E184">IFERROR(INDEX(BD[],_xlfn.AGGREGATE(15,6,IF(BD[CLASIFICACIÓN]=$B$2,ROW(BD[CLASIFICACIÓN])-ROW('PT2 (FILTRAR)'!$E$5)+1,NA()),ROWS($B$5:E184)),COLUMNS($B$5:E184)),"")</f>
        <v/>
      </c>
    </row>
    <row r="185" spans="2:5" x14ac:dyDescent="0.3">
      <c r="B185" s="126" t="str">
        <f t="array" ref="B185">IFERROR(INDEX(BD[],_xlfn.AGGREGATE(15,6,IF(BD[CLASIFICACIÓN]=$B$2,ROW(BD[CLASIFICACIÓN])-ROW('PT2 (FILTRAR)'!$E$5)+1,NA()),ROWS($B$5:B185)),COLUMNS($B$5:B185)),"")</f>
        <v/>
      </c>
      <c r="C185" s="127" t="str">
        <f t="array" ref="C185">IFERROR(INDEX(BD[],_xlfn.AGGREGATE(15,6,IF(BD[CLASIFICACIÓN]=$B$2,ROW(BD[CLASIFICACIÓN])-ROW('PT2 (FILTRAR)'!$E$5)+1,NA()),ROWS($B$5:C185)),COLUMNS($B$5:C185)),"")</f>
        <v/>
      </c>
      <c r="D185" s="142" t="str">
        <f t="array" ref="D185">IFERROR(INDEX(BD[],_xlfn.AGGREGATE(15,6,IF(BD[CLASIFICACIÓN]=$B$2,ROW(BD[CLASIFICACIÓN])-ROW('PT2 (FILTRAR)'!$E$5)+1,NA()),ROWS($B$5:D185)),COLUMNS($B$5:D185)),"")</f>
        <v/>
      </c>
      <c r="E185" s="126" t="str">
        <f t="array" ref="E185">IFERROR(INDEX(BD[],_xlfn.AGGREGATE(15,6,IF(BD[CLASIFICACIÓN]=$B$2,ROW(BD[CLASIFICACIÓN])-ROW('PT2 (FILTRAR)'!$E$5)+1,NA()),ROWS($B$5:E185)),COLUMNS($B$5:E185)),"")</f>
        <v/>
      </c>
    </row>
    <row r="186" spans="2:5" x14ac:dyDescent="0.3">
      <c r="B186" s="126" t="str">
        <f t="array" ref="B186">IFERROR(INDEX(BD[],_xlfn.AGGREGATE(15,6,IF(BD[CLASIFICACIÓN]=$B$2,ROW(BD[CLASIFICACIÓN])-ROW('PT2 (FILTRAR)'!$E$5)+1,NA()),ROWS($B$5:B186)),COLUMNS($B$5:B186)),"")</f>
        <v/>
      </c>
      <c r="C186" s="127" t="str">
        <f t="array" ref="C186">IFERROR(INDEX(BD[],_xlfn.AGGREGATE(15,6,IF(BD[CLASIFICACIÓN]=$B$2,ROW(BD[CLASIFICACIÓN])-ROW('PT2 (FILTRAR)'!$E$5)+1,NA()),ROWS($B$5:C186)),COLUMNS($B$5:C186)),"")</f>
        <v/>
      </c>
      <c r="D186" s="142" t="str">
        <f t="array" ref="D186">IFERROR(INDEX(BD[],_xlfn.AGGREGATE(15,6,IF(BD[CLASIFICACIÓN]=$B$2,ROW(BD[CLASIFICACIÓN])-ROW('PT2 (FILTRAR)'!$E$5)+1,NA()),ROWS($B$5:D186)),COLUMNS($B$5:D186)),"")</f>
        <v/>
      </c>
      <c r="E186" s="126" t="str">
        <f t="array" ref="E186">IFERROR(INDEX(BD[],_xlfn.AGGREGATE(15,6,IF(BD[CLASIFICACIÓN]=$B$2,ROW(BD[CLASIFICACIÓN])-ROW('PT2 (FILTRAR)'!$E$5)+1,NA()),ROWS($B$5:E186)),COLUMNS($B$5:E186)),"")</f>
        <v/>
      </c>
    </row>
    <row r="187" spans="2:5" x14ac:dyDescent="0.3">
      <c r="B187" s="126" t="str">
        <f t="array" ref="B187">IFERROR(INDEX(BD[],_xlfn.AGGREGATE(15,6,IF(BD[CLASIFICACIÓN]=$B$2,ROW(BD[CLASIFICACIÓN])-ROW('PT2 (FILTRAR)'!$E$5)+1,NA()),ROWS($B$5:B187)),COLUMNS($B$5:B187)),"")</f>
        <v/>
      </c>
      <c r="C187" s="127" t="str">
        <f t="array" ref="C187">IFERROR(INDEX(BD[],_xlfn.AGGREGATE(15,6,IF(BD[CLASIFICACIÓN]=$B$2,ROW(BD[CLASIFICACIÓN])-ROW('PT2 (FILTRAR)'!$E$5)+1,NA()),ROWS($B$5:C187)),COLUMNS($B$5:C187)),"")</f>
        <v/>
      </c>
      <c r="D187" s="142" t="str">
        <f t="array" ref="D187">IFERROR(INDEX(BD[],_xlfn.AGGREGATE(15,6,IF(BD[CLASIFICACIÓN]=$B$2,ROW(BD[CLASIFICACIÓN])-ROW('PT2 (FILTRAR)'!$E$5)+1,NA()),ROWS($B$5:D187)),COLUMNS($B$5:D187)),"")</f>
        <v/>
      </c>
      <c r="E187" s="126" t="str">
        <f t="array" ref="E187">IFERROR(INDEX(BD[],_xlfn.AGGREGATE(15,6,IF(BD[CLASIFICACIÓN]=$B$2,ROW(BD[CLASIFICACIÓN])-ROW('PT2 (FILTRAR)'!$E$5)+1,NA()),ROWS($B$5:E187)),COLUMNS($B$5:E187)),"")</f>
        <v/>
      </c>
    </row>
    <row r="188" spans="2:5" x14ac:dyDescent="0.3">
      <c r="B188" s="126" t="str">
        <f t="array" ref="B188">IFERROR(INDEX(BD[],_xlfn.AGGREGATE(15,6,IF(BD[CLASIFICACIÓN]=$B$2,ROW(BD[CLASIFICACIÓN])-ROW('PT2 (FILTRAR)'!$E$5)+1,NA()),ROWS($B$5:B188)),COLUMNS($B$5:B188)),"")</f>
        <v/>
      </c>
      <c r="C188" s="127" t="str">
        <f t="array" ref="C188">IFERROR(INDEX(BD[],_xlfn.AGGREGATE(15,6,IF(BD[CLASIFICACIÓN]=$B$2,ROW(BD[CLASIFICACIÓN])-ROW('PT2 (FILTRAR)'!$E$5)+1,NA()),ROWS($B$5:C188)),COLUMNS($B$5:C188)),"")</f>
        <v/>
      </c>
      <c r="D188" s="142" t="str">
        <f t="array" ref="D188">IFERROR(INDEX(BD[],_xlfn.AGGREGATE(15,6,IF(BD[CLASIFICACIÓN]=$B$2,ROW(BD[CLASIFICACIÓN])-ROW('PT2 (FILTRAR)'!$E$5)+1,NA()),ROWS($B$5:D188)),COLUMNS($B$5:D188)),"")</f>
        <v/>
      </c>
      <c r="E188" s="126" t="str">
        <f t="array" ref="E188">IFERROR(INDEX(BD[],_xlfn.AGGREGATE(15,6,IF(BD[CLASIFICACIÓN]=$B$2,ROW(BD[CLASIFICACIÓN])-ROW('PT2 (FILTRAR)'!$E$5)+1,NA()),ROWS($B$5:E188)),COLUMNS($B$5:E188)),"")</f>
        <v/>
      </c>
    </row>
    <row r="189" spans="2:5" x14ac:dyDescent="0.3">
      <c r="B189" s="126" t="str">
        <f t="array" ref="B189">IFERROR(INDEX(BD[],_xlfn.AGGREGATE(15,6,IF(BD[CLASIFICACIÓN]=$B$2,ROW(BD[CLASIFICACIÓN])-ROW('PT2 (FILTRAR)'!$E$5)+1,NA()),ROWS($B$5:B189)),COLUMNS($B$5:B189)),"")</f>
        <v/>
      </c>
      <c r="C189" s="127" t="str">
        <f t="array" ref="C189">IFERROR(INDEX(BD[],_xlfn.AGGREGATE(15,6,IF(BD[CLASIFICACIÓN]=$B$2,ROW(BD[CLASIFICACIÓN])-ROW('PT2 (FILTRAR)'!$E$5)+1,NA()),ROWS($B$5:C189)),COLUMNS($B$5:C189)),"")</f>
        <v/>
      </c>
      <c r="D189" s="142" t="str">
        <f t="array" ref="D189">IFERROR(INDEX(BD[],_xlfn.AGGREGATE(15,6,IF(BD[CLASIFICACIÓN]=$B$2,ROW(BD[CLASIFICACIÓN])-ROW('PT2 (FILTRAR)'!$E$5)+1,NA()),ROWS($B$5:D189)),COLUMNS($B$5:D189)),"")</f>
        <v/>
      </c>
      <c r="E189" s="126" t="str">
        <f t="array" ref="E189">IFERROR(INDEX(BD[],_xlfn.AGGREGATE(15,6,IF(BD[CLASIFICACIÓN]=$B$2,ROW(BD[CLASIFICACIÓN])-ROW('PT2 (FILTRAR)'!$E$5)+1,NA()),ROWS($B$5:E189)),COLUMNS($B$5:E189)),"")</f>
        <v/>
      </c>
    </row>
    <row r="190" spans="2:5" x14ac:dyDescent="0.3">
      <c r="B190" s="126" t="str">
        <f t="array" ref="B190">IFERROR(INDEX(BD[],_xlfn.AGGREGATE(15,6,IF(BD[CLASIFICACIÓN]=$B$2,ROW(BD[CLASIFICACIÓN])-ROW('PT2 (FILTRAR)'!$E$5)+1,NA()),ROWS($B$5:B190)),COLUMNS($B$5:B190)),"")</f>
        <v/>
      </c>
      <c r="C190" s="127" t="str">
        <f t="array" ref="C190">IFERROR(INDEX(BD[],_xlfn.AGGREGATE(15,6,IF(BD[CLASIFICACIÓN]=$B$2,ROW(BD[CLASIFICACIÓN])-ROW('PT2 (FILTRAR)'!$E$5)+1,NA()),ROWS($B$5:C190)),COLUMNS($B$5:C190)),"")</f>
        <v/>
      </c>
      <c r="D190" s="142" t="str">
        <f t="array" ref="D190">IFERROR(INDEX(BD[],_xlfn.AGGREGATE(15,6,IF(BD[CLASIFICACIÓN]=$B$2,ROW(BD[CLASIFICACIÓN])-ROW('PT2 (FILTRAR)'!$E$5)+1,NA()),ROWS($B$5:D190)),COLUMNS($B$5:D190)),"")</f>
        <v/>
      </c>
      <c r="E190" s="126" t="str">
        <f t="array" ref="E190">IFERROR(INDEX(BD[],_xlfn.AGGREGATE(15,6,IF(BD[CLASIFICACIÓN]=$B$2,ROW(BD[CLASIFICACIÓN])-ROW('PT2 (FILTRAR)'!$E$5)+1,NA()),ROWS($B$5:E190)),COLUMNS($B$5:E190)),"")</f>
        <v/>
      </c>
    </row>
    <row r="191" spans="2:5" x14ac:dyDescent="0.3">
      <c r="B191" s="126" t="str">
        <f t="array" ref="B191">IFERROR(INDEX(BD[],_xlfn.AGGREGATE(15,6,IF(BD[CLASIFICACIÓN]=$B$2,ROW(BD[CLASIFICACIÓN])-ROW('PT2 (FILTRAR)'!$E$5)+1,NA()),ROWS($B$5:B191)),COLUMNS($B$5:B191)),"")</f>
        <v/>
      </c>
      <c r="C191" s="127" t="str">
        <f t="array" ref="C191">IFERROR(INDEX(BD[],_xlfn.AGGREGATE(15,6,IF(BD[CLASIFICACIÓN]=$B$2,ROW(BD[CLASIFICACIÓN])-ROW('PT2 (FILTRAR)'!$E$5)+1,NA()),ROWS($B$5:C191)),COLUMNS($B$5:C191)),"")</f>
        <v/>
      </c>
      <c r="D191" s="142" t="str">
        <f t="array" ref="D191">IFERROR(INDEX(BD[],_xlfn.AGGREGATE(15,6,IF(BD[CLASIFICACIÓN]=$B$2,ROW(BD[CLASIFICACIÓN])-ROW('PT2 (FILTRAR)'!$E$5)+1,NA()),ROWS($B$5:D191)),COLUMNS($B$5:D191)),"")</f>
        <v/>
      </c>
      <c r="E191" s="126" t="str">
        <f t="array" ref="E191">IFERROR(INDEX(BD[],_xlfn.AGGREGATE(15,6,IF(BD[CLASIFICACIÓN]=$B$2,ROW(BD[CLASIFICACIÓN])-ROW('PT2 (FILTRAR)'!$E$5)+1,NA()),ROWS($B$5:E191)),COLUMNS($B$5:E191)),"")</f>
        <v/>
      </c>
    </row>
    <row r="192" spans="2:5" x14ac:dyDescent="0.3">
      <c r="B192" s="126" t="str">
        <f t="array" ref="B192">IFERROR(INDEX(BD[],_xlfn.AGGREGATE(15,6,IF(BD[CLASIFICACIÓN]=$B$2,ROW(BD[CLASIFICACIÓN])-ROW('PT2 (FILTRAR)'!$E$5)+1,NA()),ROWS($B$5:B192)),COLUMNS($B$5:B192)),"")</f>
        <v/>
      </c>
      <c r="C192" s="127" t="str">
        <f t="array" ref="C192">IFERROR(INDEX(BD[],_xlfn.AGGREGATE(15,6,IF(BD[CLASIFICACIÓN]=$B$2,ROW(BD[CLASIFICACIÓN])-ROW('PT2 (FILTRAR)'!$E$5)+1,NA()),ROWS($B$5:C192)),COLUMNS($B$5:C192)),"")</f>
        <v/>
      </c>
      <c r="D192" s="142" t="str">
        <f t="array" ref="D192">IFERROR(INDEX(BD[],_xlfn.AGGREGATE(15,6,IF(BD[CLASIFICACIÓN]=$B$2,ROW(BD[CLASIFICACIÓN])-ROW('PT2 (FILTRAR)'!$E$5)+1,NA()),ROWS($B$5:D192)),COLUMNS($B$5:D192)),"")</f>
        <v/>
      </c>
      <c r="E192" s="126" t="str">
        <f t="array" ref="E192">IFERROR(INDEX(BD[],_xlfn.AGGREGATE(15,6,IF(BD[CLASIFICACIÓN]=$B$2,ROW(BD[CLASIFICACIÓN])-ROW('PT2 (FILTRAR)'!$E$5)+1,NA()),ROWS($B$5:E192)),COLUMNS($B$5:E192)),"")</f>
        <v/>
      </c>
    </row>
    <row r="193" spans="2:5" x14ac:dyDescent="0.3">
      <c r="B193" s="126" t="str">
        <f t="array" ref="B193">IFERROR(INDEX(BD[],_xlfn.AGGREGATE(15,6,IF(BD[CLASIFICACIÓN]=$B$2,ROW(BD[CLASIFICACIÓN])-ROW('PT2 (FILTRAR)'!$E$5)+1,NA()),ROWS($B$5:B193)),COLUMNS($B$5:B193)),"")</f>
        <v/>
      </c>
      <c r="C193" s="127" t="str">
        <f t="array" ref="C193">IFERROR(INDEX(BD[],_xlfn.AGGREGATE(15,6,IF(BD[CLASIFICACIÓN]=$B$2,ROW(BD[CLASIFICACIÓN])-ROW('PT2 (FILTRAR)'!$E$5)+1,NA()),ROWS($B$5:C193)),COLUMNS($B$5:C193)),"")</f>
        <v/>
      </c>
      <c r="D193" s="142" t="str">
        <f t="array" ref="D193">IFERROR(INDEX(BD[],_xlfn.AGGREGATE(15,6,IF(BD[CLASIFICACIÓN]=$B$2,ROW(BD[CLASIFICACIÓN])-ROW('PT2 (FILTRAR)'!$E$5)+1,NA()),ROWS($B$5:D193)),COLUMNS($B$5:D193)),"")</f>
        <v/>
      </c>
      <c r="E193" s="126" t="str">
        <f t="array" ref="E193">IFERROR(INDEX(BD[],_xlfn.AGGREGATE(15,6,IF(BD[CLASIFICACIÓN]=$B$2,ROW(BD[CLASIFICACIÓN])-ROW('PT2 (FILTRAR)'!$E$5)+1,NA()),ROWS($B$5:E193)),COLUMNS($B$5:E193)),"")</f>
        <v/>
      </c>
    </row>
    <row r="194" spans="2:5" x14ac:dyDescent="0.3">
      <c r="B194" s="126" t="str">
        <f t="array" ref="B194">IFERROR(INDEX(BD[],_xlfn.AGGREGATE(15,6,IF(BD[CLASIFICACIÓN]=$B$2,ROW(BD[CLASIFICACIÓN])-ROW('PT2 (FILTRAR)'!$E$5)+1,NA()),ROWS($B$5:B194)),COLUMNS($B$5:B194)),"")</f>
        <v/>
      </c>
      <c r="C194" s="127" t="str">
        <f t="array" ref="C194">IFERROR(INDEX(BD[],_xlfn.AGGREGATE(15,6,IF(BD[CLASIFICACIÓN]=$B$2,ROW(BD[CLASIFICACIÓN])-ROW('PT2 (FILTRAR)'!$E$5)+1,NA()),ROWS($B$5:C194)),COLUMNS($B$5:C194)),"")</f>
        <v/>
      </c>
      <c r="D194" s="142" t="str">
        <f t="array" ref="D194">IFERROR(INDEX(BD[],_xlfn.AGGREGATE(15,6,IF(BD[CLASIFICACIÓN]=$B$2,ROW(BD[CLASIFICACIÓN])-ROW('PT2 (FILTRAR)'!$E$5)+1,NA()),ROWS($B$5:D194)),COLUMNS($B$5:D194)),"")</f>
        <v/>
      </c>
      <c r="E194" s="126" t="str">
        <f t="array" ref="E194">IFERROR(INDEX(BD[],_xlfn.AGGREGATE(15,6,IF(BD[CLASIFICACIÓN]=$B$2,ROW(BD[CLASIFICACIÓN])-ROW('PT2 (FILTRAR)'!$E$5)+1,NA()),ROWS($B$5:E194)),COLUMNS($B$5:E194)),"")</f>
        <v/>
      </c>
    </row>
    <row r="195" spans="2:5" x14ac:dyDescent="0.3">
      <c r="B195" s="126" t="str">
        <f t="array" ref="B195">IFERROR(INDEX(BD[],_xlfn.AGGREGATE(15,6,IF(BD[CLASIFICACIÓN]=$B$2,ROW(BD[CLASIFICACIÓN])-ROW('PT2 (FILTRAR)'!$E$5)+1,NA()),ROWS($B$5:B195)),COLUMNS($B$5:B195)),"")</f>
        <v/>
      </c>
      <c r="C195" s="127" t="str">
        <f t="array" ref="C195">IFERROR(INDEX(BD[],_xlfn.AGGREGATE(15,6,IF(BD[CLASIFICACIÓN]=$B$2,ROW(BD[CLASIFICACIÓN])-ROW('PT2 (FILTRAR)'!$E$5)+1,NA()),ROWS($B$5:C195)),COLUMNS($B$5:C195)),"")</f>
        <v/>
      </c>
      <c r="D195" s="142" t="str">
        <f t="array" ref="D195">IFERROR(INDEX(BD[],_xlfn.AGGREGATE(15,6,IF(BD[CLASIFICACIÓN]=$B$2,ROW(BD[CLASIFICACIÓN])-ROW('PT2 (FILTRAR)'!$E$5)+1,NA()),ROWS($B$5:D195)),COLUMNS($B$5:D195)),"")</f>
        <v/>
      </c>
      <c r="E195" s="126" t="str">
        <f t="array" ref="E195">IFERROR(INDEX(BD[],_xlfn.AGGREGATE(15,6,IF(BD[CLASIFICACIÓN]=$B$2,ROW(BD[CLASIFICACIÓN])-ROW('PT2 (FILTRAR)'!$E$5)+1,NA()),ROWS($B$5:E195)),COLUMNS($B$5:E195)),"")</f>
        <v/>
      </c>
    </row>
    <row r="196" spans="2:5" x14ac:dyDescent="0.3">
      <c r="B196" s="126" t="str">
        <f t="array" ref="B196">IFERROR(INDEX(BD[],_xlfn.AGGREGATE(15,6,IF(BD[CLASIFICACIÓN]=$B$2,ROW(BD[CLASIFICACIÓN])-ROW('PT2 (FILTRAR)'!$E$5)+1,NA()),ROWS($B$5:B196)),COLUMNS($B$5:B196)),"")</f>
        <v/>
      </c>
      <c r="C196" s="127" t="str">
        <f t="array" ref="C196">IFERROR(INDEX(BD[],_xlfn.AGGREGATE(15,6,IF(BD[CLASIFICACIÓN]=$B$2,ROW(BD[CLASIFICACIÓN])-ROW('PT2 (FILTRAR)'!$E$5)+1,NA()),ROWS($B$5:C196)),COLUMNS($B$5:C196)),"")</f>
        <v/>
      </c>
      <c r="D196" s="142" t="str">
        <f t="array" ref="D196">IFERROR(INDEX(BD[],_xlfn.AGGREGATE(15,6,IF(BD[CLASIFICACIÓN]=$B$2,ROW(BD[CLASIFICACIÓN])-ROW('PT2 (FILTRAR)'!$E$5)+1,NA()),ROWS($B$5:D196)),COLUMNS($B$5:D196)),"")</f>
        <v/>
      </c>
      <c r="E196" s="126" t="str">
        <f t="array" ref="E196">IFERROR(INDEX(BD[],_xlfn.AGGREGATE(15,6,IF(BD[CLASIFICACIÓN]=$B$2,ROW(BD[CLASIFICACIÓN])-ROW('PT2 (FILTRAR)'!$E$5)+1,NA()),ROWS($B$5:E196)),COLUMNS($B$5:E196)),"")</f>
        <v/>
      </c>
    </row>
    <row r="197" spans="2:5" x14ac:dyDescent="0.3">
      <c r="B197" s="126" t="str">
        <f t="array" ref="B197">IFERROR(INDEX(BD[],_xlfn.AGGREGATE(15,6,IF(BD[CLASIFICACIÓN]=$B$2,ROW(BD[CLASIFICACIÓN])-ROW('PT2 (FILTRAR)'!$E$5)+1,NA()),ROWS($B$5:B197)),COLUMNS($B$5:B197)),"")</f>
        <v/>
      </c>
      <c r="C197" s="127" t="str">
        <f t="array" ref="C197">IFERROR(INDEX(BD[],_xlfn.AGGREGATE(15,6,IF(BD[CLASIFICACIÓN]=$B$2,ROW(BD[CLASIFICACIÓN])-ROW('PT2 (FILTRAR)'!$E$5)+1,NA()),ROWS($B$5:C197)),COLUMNS($B$5:C197)),"")</f>
        <v/>
      </c>
      <c r="D197" s="142" t="str">
        <f t="array" ref="D197">IFERROR(INDEX(BD[],_xlfn.AGGREGATE(15,6,IF(BD[CLASIFICACIÓN]=$B$2,ROW(BD[CLASIFICACIÓN])-ROW('PT2 (FILTRAR)'!$E$5)+1,NA()),ROWS($B$5:D197)),COLUMNS($B$5:D197)),"")</f>
        <v/>
      </c>
      <c r="E197" s="126" t="str">
        <f t="array" ref="E197">IFERROR(INDEX(BD[],_xlfn.AGGREGATE(15,6,IF(BD[CLASIFICACIÓN]=$B$2,ROW(BD[CLASIFICACIÓN])-ROW('PT2 (FILTRAR)'!$E$5)+1,NA()),ROWS($B$5:E197)),COLUMNS($B$5:E197)),"")</f>
        <v/>
      </c>
    </row>
    <row r="198" spans="2:5" x14ac:dyDescent="0.3">
      <c r="B198" s="126" t="str">
        <f t="array" ref="B198">IFERROR(INDEX(BD[],_xlfn.AGGREGATE(15,6,IF(BD[CLASIFICACIÓN]=$B$2,ROW(BD[CLASIFICACIÓN])-ROW('PT2 (FILTRAR)'!$E$5)+1,NA()),ROWS($B$5:B198)),COLUMNS($B$5:B198)),"")</f>
        <v/>
      </c>
      <c r="C198" s="127" t="str">
        <f t="array" ref="C198">IFERROR(INDEX(BD[],_xlfn.AGGREGATE(15,6,IF(BD[CLASIFICACIÓN]=$B$2,ROW(BD[CLASIFICACIÓN])-ROW('PT2 (FILTRAR)'!$E$5)+1,NA()),ROWS($B$5:C198)),COLUMNS($B$5:C198)),"")</f>
        <v/>
      </c>
      <c r="D198" s="142" t="str">
        <f t="array" ref="D198">IFERROR(INDEX(BD[],_xlfn.AGGREGATE(15,6,IF(BD[CLASIFICACIÓN]=$B$2,ROW(BD[CLASIFICACIÓN])-ROW('PT2 (FILTRAR)'!$E$5)+1,NA()),ROWS($B$5:D198)),COLUMNS($B$5:D198)),"")</f>
        <v/>
      </c>
      <c r="E198" s="126" t="str">
        <f t="array" ref="E198">IFERROR(INDEX(BD[],_xlfn.AGGREGATE(15,6,IF(BD[CLASIFICACIÓN]=$B$2,ROW(BD[CLASIFICACIÓN])-ROW('PT2 (FILTRAR)'!$E$5)+1,NA()),ROWS($B$5:E198)),COLUMNS($B$5:E198)),"")</f>
        <v/>
      </c>
    </row>
    <row r="199" spans="2:5" x14ac:dyDescent="0.3">
      <c r="B199" s="126" t="str">
        <f t="array" ref="B199">IFERROR(INDEX(BD[],_xlfn.AGGREGATE(15,6,IF(BD[CLASIFICACIÓN]=$B$2,ROW(BD[CLASIFICACIÓN])-ROW('PT2 (FILTRAR)'!$E$5)+1,NA()),ROWS($B$5:B199)),COLUMNS($B$5:B199)),"")</f>
        <v/>
      </c>
      <c r="C199" s="127" t="str">
        <f t="array" ref="C199">IFERROR(INDEX(BD[],_xlfn.AGGREGATE(15,6,IF(BD[CLASIFICACIÓN]=$B$2,ROW(BD[CLASIFICACIÓN])-ROW('PT2 (FILTRAR)'!$E$5)+1,NA()),ROWS($B$5:C199)),COLUMNS($B$5:C199)),"")</f>
        <v/>
      </c>
      <c r="D199" s="142" t="str">
        <f t="array" ref="D199">IFERROR(INDEX(BD[],_xlfn.AGGREGATE(15,6,IF(BD[CLASIFICACIÓN]=$B$2,ROW(BD[CLASIFICACIÓN])-ROW('PT2 (FILTRAR)'!$E$5)+1,NA()),ROWS($B$5:D199)),COLUMNS($B$5:D199)),"")</f>
        <v/>
      </c>
      <c r="E199" s="126" t="str">
        <f t="array" ref="E199">IFERROR(INDEX(BD[],_xlfn.AGGREGATE(15,6,IF(BD[CLASIFICACIÓN]=$B$2,ROW(BD[CLASIFICACIÓN])-ROW('PT2 (FILTRAR)'!$E$5)+1,NA()),ROWS($B$5:E199)),COLUMNS($B$5:E199)),"")</f>
        <v/>
      </c>
    </row>
    <row r="200" spans="2:5" x14ac:dyDescent="0.3">
      <c r="B200" s="126" t="str">
        <f t="array" ref="B200">IFERROR(INDEX(BD[],_xlfn.AGGREGATE(15,6,IF(BD[CLASIFICACIÓN]=$B$2,ROW(BD[CLASIFICACIÓN])-ROW('PT2 (FILTRAR)'!$E$5)+1,NA()),ROWS($B$5:B200)),COLUMNS($B$5:B200)),"")</f>
        <v/>
      </c>
      <c r="C200" s="127" t="str">
        <f t="array" ref="C200">IFERROR(INDEX(BD[],_xlfn.AGGREGATE(15,6,IF(BD[CLASIFICACIÓN]=$B$2,ROW(BD[CLASIFICACIÓN])-ROW('PT2 (FILTRAR)'!$E$5)+1,NA()),ROWS($B$5:C200)),COLUMNS($B$5:C200)),"")</f>
        <v/>
      </c>
      <c r="D200" s="142" t="str">
        <f t="array" ref="D200">IFERROR(INDEX(BD[],_xlfn.AGGREGATE(15,6,IF(BD[CLASIFICACIÓN]=$B$2,ROW(BD[CLASIFICACIÓN])-ROW('PT2 (FILTRAR)'!$E$5)+1,NA()),ROWS($B$5:D200)),COLUMNS($B$5:D200)),"")</f>
        <v/>
      </c>
      <c r="E200" s="126" t="str">
        <f t="array" ref="E200">IFERROR(INDEX(BD[],_xlfn.AGGREGATE(15,6,IF(BD[CLASIFICACIÓN]=$B$2,ROW(BD[CLASIFICACIÓN])-ROW('PT2 (FILTRAR)'!$E$5)+1,NA()),ROWS($B$5:E200)),COLUMNS($B$5:E200)),"")</f>
        <v/>
      </c>
    </row>
    <row r="201" spans="2:5" x14ac:dyDescent="0.3">
      <c r="B201" s="126" t="str">
        <f t="array" ref="B201">IFERROR(INDEX(BD[],_xlfn.AGGREGATE(15,6,IF(BD[CLASIFICACIÓN]=$B$2,ROW(BD[CLASIFICACIÓN])-ROW('PT2 (FILTRAR)'!$E$5)+1,NA()),ROWS($B$5:B201)),COLUMNS($B$5:B201)),"")</f>
        <v/>
      </c>
      <c r="C201" s="127" t="str">
        <f t="array" ref="C201">IFERROR(INDEX(BD[],_xlfn.AGGREGATE(15,6,IF(BD[CLASIFICACIÓN]=$B$2,ROW(BD[CLASIFICACIÓN])-ROW('PT2 (FILTRAR)'!$E$5)+1,NA()),ROWS($B$5:C201)),COLUMNS($B$5:C201)),"")</f>
        <v/>
      </c>
      <c r="D201" s="142" t="str">
        <f t="array" ref="D201">IFERROR(INDEX(BD[],_xlfn.AGGREGATE(15,6,IF(BD[CLASIFICACIÓN]=$B$2,ROW(BD[CLASIFICACIÓN])-ROW('PT2 (FILTRAR)'!$E$5)+1,NA()),ROWS($B$5:D201)),COLUMNS($B$5:D201)),"")</f>
        <v/>
      </c>
      <c r="E201" s="126" t="str">
        <f t="array" ref="E201">IFERROR(INDEX(BD[],_xlfn.AGGREGATE(15,6,IF(BD[CLASIFICACIÓN]=$B$2,ROW(BD[CLASIFICACIÓN])-ROW('PT2 (FILTRAR)'!$E$5)+1,NA()),ROWS($B$5:E201)),COLUMNS($B$5:E201)),"")</f>
        <v/>
      </c>
    </row>
    <row r="202" spans="2:5" x14ac:dyDescent="0.3">
      <c r="B202" s="126" t="str">
        <f t="array" ref="B202">IFERROR(INDEX(BD[],_xlfn.AGGREGATE(15,6,IF(BD[CLASIFICACIÓN]=$B$2,ROW(BD[CLASIFICACIÓN])-ROW('PT2 (FILTRAR)'!$E$5)+1,NA()),ROWS($B$5:B202)),COLUMNS($B$5:B202)),"")</f>
        <v/>
      </c>
      <c r="C202" s="127" t="str">
        <f t="array" ref="C202">IFERROR(INDEX(BD[],_xlfn.AGGREGATE(15,6,IF(BD[CLASIFICACIÓN]=$B$2,ROW(BD[CLASIFICACIÓN])-ROW('PT2 (FILTRAR)'!$E$5)+1,NA()),ROWS($B$5:C202)),COLUMNS($B$5:C202)),"")</f>
        <v/>
      </c>
      <c r="D202" s="142" t="str">
        <f t="array" ref="D202">IFERROR(INDEX(BD[],_xlfn.AGGREGATE(15,6,IF(BD[CLASIFICACIÓN]=$B$2,ROW(BD[CLASIFICACIÓN])-ROW('PT2 (FILTRAR)'!$E$5)+1,NA()),ROWS($B$5:D202)),COLUMNS($B$5:D202)),"")</f>
        <v/>
      </c>
      <c r="E202" s="126" t="str">
        <f t="array" ref="E202">IFERROR(INDEX(BD[],_xlfn.AGGREGATE(15,6,IF(BD[CLASIFICACIÓN]=$B$2,ROW(BD[CLASIFICACIÓN])-ROW('PT2 (FILTRAR)'!$E$5)+1,NA()),ROWS($B$5:E202)),COLUMNS($B$5:E202)),"")</f>
        <v/>
      </c>
    </row>
    <row r="203" spans="2:5" x14ac:dyDescent="0.3">
      <c r="B203" s="126" t="str">
        <f t="array" ref="B203">IFERROR(INDEX(BD[],_xlfn.AGGREGATE(15,6,IF(BD[CLASIFICACIÓN]=$B$2,ROW(BD[CLASIFICACIÓN])-ROW('PT2 (FILTRAR)'!$E$5)+1,NA()),ROWS($B$5:B203)),COLUMNS($B$5:B203)),"")</f>
        <v/>
      </c>
      <c r="C203" s="127" t="str">
        <f t="array" ref="C203">IFERROR(INDEX(BD[],_xlfn.AGGREGATE(15,6,IF(BD[CLASIFICACIÓN]=$B$2,ROW(BD[CLASIFICACIÓN])-ROW('PT2 (FILTRAR)'!$E$5)+1,NA()),ROWS($B$5:C203)),COLUMNS($B$5:C203)),"")</f>
        <v/>
      </c>
      <c r="D203" s="142" t="str">
        <f t="array" ref="D203">IFERROR(INDEX(BD[],_xlfn.AGGREGATE(15,6,IF(BD[CLASIFICACIÓN]=$B$2,ROW(BD[CLASIFICACIÓN])-ROW('PT2 (FILTRAR)'!$E$5)+1,NA()),ROWS($B$5:D203)),COLUMNS($B$5:D203)),"")</f>
        <v/>
      </c>
      <c r="E203" s="126" t="str">
        <f t="array" ref="E203">IFERROR(INDEX(BD[],_xlfn.AGGREGATE(15,6,IF(BD[CLASIFICACIÓN]=$B$2,ROW(BD[CLASIFICACIÓN])-ROW('PT2 (FILTRAR)'!$E$5)+1,NA()),ROWS($B$5:E203)),COLUMNS($B$5:E203)),"")</f>
        <v/>
      </c>
    </row>
    <row r="204" spans="2:5" x14ac:dyDescent="0.3">
      <c r="B204" s="126" t="str">
        <f t="array" ref="B204">IFERROR(INDEX(BD[],_xlfn.AGGREGATE(15,6,IF(BD[CLASIFICACIÓN]=$B$2,ROW(BD[CLASIFICACIÓN])-ROW('PT2 (FILTRAR)'!$E$5)+1,NA()),ROWS($B$5:B204)),COLUMNS($B$5:B204)),"")</f>
        <v/>
      </c>
      <c r="C204" s="127" t="str">
        <f t="array" ref="C204">IFERROR(INDEX(BD[],_xlfn.AGGREGATE(15,6,IF(BD[CLASIFICACIÓN]=$B$2,ROW(BD[CLASIFICACIÓN])-ROW('PT2 (FILTRAR)'!$E$5)+1,NA()),ROWS($B$5:C204)),COLUMNS($B$5:C204)),"")</f>
        <v/>
      </c>
      <c r="D204" s="142" t="str">
        <f t="array" ref="D204">IFERROR(INDEX(BD[],_xlfn.AGGREGATE(15,6,IF(BD[CLASIFICACIÓN]=$B$2,ROW(BD[CLASIFICACIÓN])-ROW('PT2 (FILTRAR)'!$E$5)+1,NA()),ROWS($B$5:D204)),COLUMNS($B$5:D204)),"")</f>
        <v/>
      </c>
      <c r="E204" s="126" t="str">
        <f t="array" ref="E204">IFERROR(INDEX(BD[],_xlfn.AGGREGATE(15,6,IF(BD[CLASIFICACIÓN]=$B$2,ROW(BD[CLASIFICACIÓN])-ROW('PT2 (FILTRAR)'!$E$5)+1,NA()),ROWS($B$5:E204)),COLUMNS($B$5:E204)),"")</f>
        <v/>
      </c>
    </row>
    <row r="205" spans="2:5" x14ac:dyDescent="0.3">
      <c r="B205" s="126" t="str">
        <f t="array" ref="B205">IFERROR(INDEX(BD[],_xlfn.AGGREGATE(15,6,IF(BD[CLASIFICACIÓN]=$B$2,ROW(BD[CLASIFICACIÓN])-ROW('PT2 (FILTRAR)'!$E$5)+1,NA()),ROWS($B$5:B205)),COLUMNS($B$5:B205)),"")</f>
        <v/>
      </c>
      <c r="C205" s="127" t="str">
        <f t="array" ref="C205">IFERROR(INDEX(BD[],_xlfn.AGGREGATE(15,6,IF(BD[CLASIFICACIÓN]=$B$2,ROW(BD[CLASIFICACIÓN])-ROW('PT2 (FILTRAR)'!$E$5)+1,NA()),ROWS($B$5:C205)),COLUMNS($B$5:C205)),"")</f>
        <v/>
      </c>
      <c r="D205" s="142" t="str">
        <f t="array" ref="D205">IFERROR(INDEX(BD[],_xlfn.AGGREGATE(15,6,IF(BD[CLASIFICACIÓN]=$B$2,ROW(BD[CLASIFICACIÓN])-ROW('PT2 (FILTRAR)'!$E$5)+1,NA()),ROWS($B$5:D205)),COLUMNS($B$5:D205)),"")</f>
        <v/>
      </c>
      <c r="E205" s="126" t="str">
        <f t="array" ref="E205">IFERROR(INDEX(BD[],_xlfn.AGGREGATE(15,6,IF(BD[CLASIFICACIÓN]=$B$2,ROW(BD[CLASIFICACIÓN])-ROW('PT2 (FILTRAR)'!$E$5)+1,NA()),ROWS($B$5:E205)),COLUMNS($B$5:E205)),"")</f>
        <v/>
      </c>
    </row>
    <row r="206" spans="2:5" x14ac:dyDescent="0.3">
      <c r="B206" s="126" t="str">
        <f t="array" ref="B206">IFERROR(INDEX(BD[],_xlfn.AGGREGATE(15,6,IF(BD[CLASIFICACIÓN]=$B$2,ROW(BD[CLASIFICACIÓN])-ROW('PT2 (FILTRAR)'!$E$5)+1,NA()),ROWS($B$5:B206)),COLUMNS($B$5:B206)),"")</f>
        <v/>
      </c>
      <c r="C206" s="127" t="str">
        <f t="array" ref="C206">IFERROR(INDEX(BD[],_xlfn.AGGREGATE(15,6,IF(BD[CLASIFICACIÓN]=$B$2,ROW(BD[CLASIFICACIÓN])-ROW('PT2 (FILTRAR)'!$E$5)+1,NA()),ROWS($B$5:C206)),COLUMNS($B$5:C206)),"")</f>
        <v/>
      </c>
      <c r="D206" s="142" t="str">
        <f t="array" ref="D206">IFERROR(INDEX(BD[],_xlfn.AGGREGATE(15,6,IF(BD[CLASIFICACIÓN]=$B$2,ROW(BD[CLASIFICACIÓN])-ROW('PT2 (FILTRAR)'!$E$5)+1,NA()),ROWS($B$5:D206)),COLUMNS($B$5:D206)),"")</f>
        <v/>
      </c>
      <c r="E206" s="126" t="str">
        <f t="array" ref="E206">IFERROR(INDEX(BD[],_xlfn.AGGREGATE(15,6,IF(BD[CLASIFICACIÓN]=$B$2,ROW(BD[CLASIFICACIÓN])-ROW('PT2 (FILTRAR)'!$E$5)+1,NA()),ROWS($B$5:E206)),COLUMNS($B$5:E206)),"")</f>
        <v/>
      </c>
    </row>
    <row r="207" spans="2:5" x14ac:dyDescent="0.3">
      <c r="B207" s="126" t="str">
        <f t="array" ref="B207">IFERROR(INDEX(BD[],_xlfn.AGGREGATE(15,6,IF(BD[CLASIFICACIÓN]=$B$2,ROW(BD[CLASIFICACIÓN])-ROW('PT2 (FILTRAR)'!$E$5)+1,NA()),ROWS($B$5:B207)),COLUMNS($B$5:B207)),"")</f>
        <v/>
      </c>
      <c r="C207" s="127" t="str">
        <f t="array" ref="C207">IFERROR(INDEX(BD[],_xlfn.AGGREGATE(15,6,IF(BD[CLASIFICACIÓN]=$B$2,ROW(BD[CLASIFICACIÓN])-ROW('PT2 (FILTRAR)'!$E$5)+1,NA()),ROWS($B$5:C207)),COLUMNS($B$5:C207)),"")</f>
        <v/>
      </c>
      <c r="D207" s="142" t="str">
        <f t="array" ref="D207">IFERROR(INDEX(BD[],_xlfn.AGGREGATE(15,6,IF(BD[CLASIFICACIÓN]=$B$2,ROW(BD[CLASIFICACIÓN])-ROW('PT2 (FILTRAR)'!$E$5)+1,NA()),ROWS($B$5:D207)),COLUMNS($B$5:D207)),"")</f>
        <v/>
      </c>
      <c r="E207" s="126" t="str">
        <f t="array" ref="E207">IFERROR(INDEX(BD[],_xlfn.AGGREGATE(15,6,IF(BD[CLASIFICACIÓN]=$B$2,ROW(BD[CLASIFICACIÓN])-ROW('PT2 (FILTRAR)'!$E$5)+1,NA()),ROWS($B$5:E207)),COLUMNS($B$5:E207)),"")</f>
        <v/>
      </c>
    </row>
    <row r="208" spans="2:5" x14ac:dyDescent="0.3">
      <c r="B208" s="126" t="str">
        <f t="array" ref="B208">IFERROR(INDEX(BD[],_xlfn.AGGREGATE(15,6,IF(BD[CLASIFICACIÓN]=$B$2,ROW(BD[CLASIFICACIÓN])-ROW('PT2 (FILTRAR)'!$E$5)+1,NA()),ROWS($B$5:B208)),COLUMNS($B$5:B208)),"")</f>
        <v/>
      </c>
      <c r="C208" s="127" t="str">
        <f t="array" ref="C208">IFERROR(INDEX(BD[],_xlfn.AGGREGATE(15,6,IF(BD[CLASIFICACIÓN]=$B$2,ROW(BD[CLASIFICACIÓN])-ROW('PT2 (FILTRAR)'!$E$5)+1,NA()),ROWS($B$5:C208)),COLUMNS($B$5:C208)),"")</f>
        <v/>
      </c>
      <c r="D208" s="142" t="str">
        <f t="array" ref="D208">IFERROR(INDEX(BD[],_xlfn.AGGREGATE(15,6,IF(BD[CLASIFICACIÓN]=$B$2,ROW(BD[CLASIFICACIÓN])-ROW('PT2 (FILTRAR)'!$E$5)+1,NA()),ROWS($B$5:D208)),COLUMNS($B$5:D208)),"")</f>
        <v/>
      </c>
      <c r="E208" s="126" t="str">
        <f t="array" ref="E208">IFERROR(INDEX(BD[],_xlfn.AGGREGATE(15,6,IF(BD[CLASIFICACIÓN]=$B$2,ROW(BD[CLASIFICACIÓN])-ROW('PT2 (FILTRAR)'!$E$5)+1,NA()),ROWS($B$5:E208)),COLUMNS($B$5:E208)),"")</f>
        <v/>
      </c>
    </row>
    <row r="209" spans="2:5" x14ac:dyDescent="0.3">
      <c r="B209" s="126" t="str">
        <f t="array" ref="B209">IFERROR(INDEX(BD[],_xlfn.AGGREGATE(15,6,IF(BD[CLASIFICACIÓN]=$B$2,ROW(BD[CLASIFICACIÓN])-ROW('PT2 (FILTRAR)'!$E$5)+1,NA()),ROWS($B$5:B209)),COLUMNS($B$5:B209)),"")</f>
        <v/>
      </c>
      <c r="C209" s="127" t="str">
        <f t="array" ref="C209">IFERROR(INDEX(BD[],_xlfn.AGGREGATE(15,6,IF(BD[CLASIFICACIÓN]=$B$2,ROW(BD[CLASIFICACIÓN])-ROW('PT2 (FILTRAR)'!$E$5)+1,NA()),ROWS($B$5:C209)),COLUMNS($B$5:C209)),"")</f>
        <v/>
      </c>
      <c r="D209" s="142" t="str">
        <f t="array" ref="D209">IFERROR(INDEX(BD[],_xlfn.AGGREGATE(15,6,IF(BD[CLASIFICACIÓN]=$B$2,ROW(BD[CLASIFICACIÓN])-ROW('PT2 (FILTRAR)'!$E$5)+1,NA()),ROWS($B$5:D209)),COLUMNS($B$5:D209)),"")</f>
        <v/>
      </c>
      <c r="E209" s="126" t="str">
        <f t="array" ref="E209">IFERROR(INDEX(BD[],_xlfn.AGGREGATE(15,6,IF(BD[CLASIFICACIÓN]=$B$2,ROW(BD[CLASIFICACIÓN])-ROW('PT2 (FILTRAR)'!$E$5)+1,NA()),ROWS($B$5:E209)),COLUMNS($B$5:E209)),"")</f>
        <v/>
      </c>
    </row>
    <row r="210" spans="2:5" x14ac:dyDescent="0.3">
      <c r="B210" s="126" t="str">
        <f t="array" ref="B210">IFERROR(INDEX(BD[],_xlfn.AGGREGATE(15,6,IF(BD[CLASIFICACIÓN]=$B$2,ROW(BD[CLASIFICACIÓN])-ROW('PT2 (FILTRAR)'!$E$5)+1,NA()),ROWS($B$5:B210)),COLUMNS($B$5:B210)),"")</f>
        <v/>
      </c>
      <c r="C210" s="127" t="str">
        <f t="array" ref="C210">IFERROR(INDEX(BD[],_xlfn.AGGREGATE(15,6,IF(BD[CLASIFICACIÓN]=$B$2,ROW(BD[CLASIFICACIÓN])-ROW('PT2 (FILTRAR)'!$E$5)+1,NA()),ROWS($B$5:C210)),COLUMNS($B$5:C210)),"")</f>
        <v/>
      </c>
      <c r="D210" s="142" t="str">
        <f t="array" ref="D210">IFERROR(INDEX(BD[],_xlfn.AGGREGATE(15,6,IF(BD[CLASIFICACIÓN]=$B$2,ROW(BD[CLASIFICACIÓN])-ROW('PT2 (FILTRAR)'!$E$5)+1,NA()),ROWS($B$5:D210)),COLUMNS($B$5:D210)),"")</f>
        <v/>
      </c>
      <c r="E210" s="126" t="str">
        <f t="array" ref="E210">IFERROR(INDEX(BD[],_xlfn.AGGREGATE(15,6,IF(BD[CLASIFICACIÓN]=$B$2,ROW(BD[CLASIFICACIÓN])-ROW('PT2 (FILTRAR)'!$E$5)+1,NA()),ROWS($B$5:E210)),COLUMNS($B$5:E210)),"")</f>
        <v/>
      </c>
    </row>
    <row r="211" spans="2:5" x14ac:dyDescent="0.3">
      <c r="B211" s="126" t="str">
        <f t="array" ref="B211">IFERROR(INDEX(BD[],_xlfn.AGGREGATE(15,6,IF(BD[CLASIFICACIÓN]=$B$2,ROW(BD[CLASIFICACIÓN])-ROW('PT2 (FILTRAR)'!$E$5)+1,NA()),ROWS($B$5:B211)),COLUMNS($B$5:B211)),"")</f>
        <v/>
      </c>
      <c r="C211" s="127" t="str">
        <f t="array" ref="C211">IFERROR(INDEX(BD[],_xlfn.AGGREGATE(15,6,IF(BD[CLASIFICACIÓN]=$B$2,ROW(BD[CLASIFICACIÓN])-ROW('PT2 (FILTRAR)'!$E$5)+1,NA()),ROWS($B$5:C211)),COLUMNS($B$5:C211)),"")</f>
        <v/>
      </c>
      <c r="D211" s="142" t="str">
        <f t="array" ref="D211">IFERROR(INDEX(BD[],_xlfn.AGGREGATE(15,6,IF(BD[CLASIFICACIÓN]=$B$2,ROW(BD[CLASIFICACIÓN])-ROW('PT2 (FILTRAR)'!$E$5)+1,NA()),ROWS($B$5:D211)),COLUMNS($B$5:D211)),"")</f>
        <v/>
      </c>
      <c r="E211" s="126" t="str">
        <f t="array" ref="E211">IFERROR(INDEX(BD[],_xlfn.AGGREGATE(15,6,IF(BD[CLASIFICACIÓN]=$B$2,ROW(BD[CLASIFICACIÓN])-ROW('PT2 (FILTRAR)'!$E$5)+1,NA()),ROWS($B$5:E211)),COLUMNS($B$5:E211)),"")</f>
        <v/>
      </c>
    </row>
    <row r="212" spans="2:5" x14ac:dyDescent="0.3">
      <c r="B212" s="126" t="str">
        <f t="array" ref="B212">IFERROR(INDEX(BD[],_xlfn.AGGREGATE(15,6,IF(BD[CLASIFICACIÓN]=$B$2,ROW(BD[CLASIFICACIÓN])-ROW('PT2 (FILTRAR)'!$E$5)+1,NA()),ROWS($B$5:B212)),COLUMNS($B$5:B212)),"")</f>
        <v/>
      </c>
      <c r="C212" s="127" t="str">
        <f t="array" ref="C212">IFERROR(INDEX(BD[],_xlfn.AGGREGATE(15,6,IF(BD[CLASIFICACIÓN]=$B$2,ROW(BD[CLASIFICACIÓN])-ROW('PT2 (FILTRAR)'!$E$5)+1,NA()),ROWS($B$5:C212)),COLUMNS($B$5:C212)),"")</f>
        <v/>
      </c>
      <c r="D212" s="142" t="str">
        <f t="array" ref="D212">IFERROR(INDEX(BD[],_xlfn.AGGREGATE(15,6,IF(BD[CLASIFICACIÓN]=$B$2,ROW(BD[CLASIFICACIÓN])-ROW('PT2 (FILTRAR)'!$E$5)+1,NA()),ROWS($B$5:D212)),COLUMNS($B$5:D212)),"")</f>
        <v/>
      </c>
      <c r="E212" s="126" t="str">
        <f t="array" ref="E212">IFERROR(INDEX(BD[],_xlfn.AGGREGATE(15,6,IF(BD[CLASIFICACIÓN]=$B$2,ROW(BD[CLASIFICACIÓN])-ROW('PT2 (FILTRAR)'!$E$5)+1,NA()),ROWS($B$5:E212)),COLUMNS($B$5:E212)),"")</f>
        <v/>
      </c>
    </row>
    <row r="213" spans="2:5" x14ac:dyDescent="0.3">
      <c r="B213" s="126" t="str">
        <f t="array" ref="B213">IFERROR(INDEX(BD[],_xlfn.AGGREGATE(15,6,IF(BD[CLASIFICACIÓN]=$B$2,ROW(BD[CLASIFICACIÓN])-ROW('PT2 (FILTRAR)'!$E$5)+1,NA()),ROWS($B$5:B213)),COLUMNS($B$5:B213)),"")</f>
        <v/>
      </c>
      <c r="C213" s="127" t="str">
        <f t="array" ref="C213">IFERROR(INDEX(BD[],_xlfn.AGGREGATE(15,6,IF(BD[CLASIFICACIÓN]=$B$2,ROW(BD[CLASIFICACIÓN])-ROW('PT2 (FILTRAR)'!$E$5)+1,NA()),ROWS($B$5:C213)),COLUMNS($B$5:C213)),"")</f>
        <v/>
      </c>
      <c r="D213" s="142" t="str">
        <f t="array" ref="D213">IFERROR(INDEX(BD[],_xlfn.AGGREGATE(15,6,IF(BD[CLASIFICACIÓN]=$B$2,ROW(BD[CLASIFICACIÓN])-ROW('PT2 (FILTRAR)'!$E$5)+1,NA()),ROWS($B$5:D213)),COLUMNS($B$5:D213)),"")</f>
        <v/>
      </c>
      <c r="E213" s="126" t="str">
        <f t="array" ref="E213">IFERROR(INDEX(BD[],_xlfn.AGGREGATE(15,6,IF(BD[CLASIFICACIÓN]=$B$2,ROW(BD[CLASIFICACIÓN])-ROW('PT2 (FILTRAR)'!$E$5)+1,NA()),ROWS($B$5:E213)),COLUMNS($B$5:E213)),"")</f>
        <v/>
      </c>
    </row>
    <row r="214" spans="2:5" x14ac:dyDescent="0.3">
      <c r="B214" s="126" t="str">
        <f t="array" ref="B214">IFERROR(INDEX(BD[],_xlfn.AGGREGATE(15,6,IF(BD[CLASIFICACIÓN]=$B$2,ROW(BD[CLASIFICACIÓN])-ROW('PT2 (FILTRAR)'!$E$5)+1,NA()),ROWS($B$5:B214)),COLUMNS($B$5:B214)),"")</f>
        <v/>
      </c>
      <c r="C214" s="127" t="str">
        <f t="array" ref="C214">IFERROR(INDEX(BD[],_xlfn.AGGREGATE(15,6,IF(BD[CLASIFICACIÓN]=$B$2,ROW(BD[CLASIFICACIÓN])-ROW('PT2 (FILTRAR)'!$E$5)+1,NA()),ROWS($B$5:C214)),COLUMNS($B$5:C214)),"")</f>
        <v/>
      </c>
      <c r="D214" s="142" t="str">
        <f t="array" ref="D214">IFERROR(INDEX(BD[],_xlfn.AGGREGATE(15,6,IF(BD[CLASIFICACIÓN]=$B$2,ROW(BD[CLASIFICACIÓN])-ROW('PT2 (FILTRAR)'!$E$5)+1,NA()),ROWS($B$5:D214)),COLUMNS($B$5:D214)),"")</f>
        <v/>
      </c>
      <c r="E214" s="126" t="str">
        <f t="array" ref="E214">IFERROR(INDEX(BD[],_xlfn.AGGREGATE(15,6,IF(BD[CLASIFICACIÓN]=$B$2,ROW(BD[CLASIFICACIÓN])-ROW('PT2 (FILTRAR)'!$E$5)+1,NA()),ROWS($B$5:E214)),COLUMNS($B$5:E214)),"")</f>
        <v/>
      </c>
    </row>
    <row r="215" spans="2:5" x14ac:dyDescent="0.3">
      <c r="B215" s="126" t="str">
        <f t="array" ref="B215">IFERROR(INDEX(BD[],_xlfn.AGGREGATE(15,6,IF(BD[CLASIFICACIÓN]=$B$2,ROW(BD[CLASIFICACIÓN])-ROW('PT2 (FILTRAR)'!$E$5)+1,NA()),ROWS($B$5:B215)),COLUMNS($B$5:B215)),"")</f>
        <v/>
      </c>
      <c r="C215" s="127" t="str">
        <f t="array" ref="C215">IFERROR(INDEX(BD[],_xlfn.AGGREGATE(15,6,IF(BD[CLASIFICACIÓN]=$B$2,ROW(BD[CLASIFICACIÓN])-ROW('PT2 (FILTRAR)'!$E$5)+1,NA()),ROWS($B$5:C215)),COLUMNS($B$5:C215)),"")</f>
        <v/>
      </c>
      <c r="D215" s="142" t="str">
        <f t="array" ref="D215">IFERROR(INDEX(BD[],_xlfn.AGGREGATE(15,6,IF(BD[CLASIFICACIÓN]=$B$2,ROW(BD[CLASIFICACIÓN])-ROW('PT2 (FILTRAR)'!$E$5)+1,NA()),ROWS($B$5:D215)),COLUMNS($B$5:D215)),"")</f>
        <v/>
      </c>
      <c r="E215" s="126" t="str">
        <f t="array" ref="E215">IFERROR(INDEX(BD[],_xlfn.AGGREGATE(15,6,IF(BD[CLASIFICACIÓN]=$B$2,ROW(BD[CLASIFICACIÓN])-ROW('PT2 (FILTRAR)'!$E$5)+1,NA()),ROWS($B$5:E215)),COLUMNS($B$5:E215)),"")</f>
        <v/>
      </c>
    </row>
    <row r="216" spans="2:5" x14ac:dyDescent="0.3">
      <c r="B216" s="126" t="str">
        <f t="array" ref="B216">IFERROR(INDEX(BD[],_xlfn.AGGREGATE(15,6,IF(BD[CLASIFICACIÓN]=$B$2,ROW(BD[CLASIFICACIÓN])-ROW('PT2 (FILTRAR)'!$E$5)+1,NA()),ROWS($B$5:B216)),COLUMNS($B$5:B216)),"")</f>
        <v/>
      </c>
      <c r="C216" s="127" t="str">
        <f t="array" ref="C216">IFERROR(INDEX(BD[],_xlfn.AGGREGATE(15,6,IF(BD[CLASIFICACIÓN]=$B$2,ROW(BD[CLASIFICACIÓN])-ROW('PT2 (FILTRAR)'!$E$5)+1,NA()),ROWS($B$5:C216)),COLUMNS($B$5:C216)),"")</f>
        <v/>
      </c>
      <c r="D216" s="142" t="str">
        <f t="array" ref="D216">IFERROR(INDEX(BD[],_xlfn.AGGREGATE(15,6,IF(BD[CLASIFICACIÓN]=$B$2,ROW(BD[CLASIFICACIÓN])-ROW('PT2 (FILTRAR)'!$E$5)+1,NA()),ROWS($B$5:D216)),COLUMNS($B$5:D216)),"")</f>
        <v/>
      </c>
      <c r="E216" s="126" t="str">
        <f t="array" ref="E216">IFERROR(INDEX(BD[],_xlfn.AGGREGATE(15,6,IF(BD[CLASIFICACIÓN]=$B$2,ROW(BD[CLASIFICACIÓN])-ROW('PT2 (FILTRAR)'!$E$5)+1,NA()),ROWS($B$5:E216)),COLUMNS($B$5:E216)),"")</f>
        <v/>
      </c>
    </row>
    <row r="217" spans="2:5" x14ac:dyDescent="0.3">
      <c r="B217" s="126" t="str">
        <f t="array" ref="B217">IFERROR(INDEX(BD[],_xlfn.AGGREGATE(15,6,IF(BD[CLASIFICACIÓN]=$B$2,ROW(BD[CLASIFICACIÓN])-ROW('PT2 (FILTRAR)'!$E$5)+1,NA()),ROWS($B$5:B217)),COLUMNS($B$5:B217)),"")</f>
        <v/>
      </c>
      <c r="C217" s="127" t="str">
        <f t="array" ref="C217">IFERROR(INDEX(BD[],_xlfn.AGGREGATE(15,6,IF(BD[CLASIFICACIÓN]=$B$2,ROW(BD[CLASIFICACIÓN])-ROW('PT2 (FILTRAR)'!$E$5)+1,NA()),ROWS($B$5:C217)),COLUMNS($B$5:C217)),"")</f>
        <v/>
      </c>
      <c r="D217" s="142" t="str">
        <f t="array" ref="D217">IFERROR(INDEX(BD[],_xlfn.AGGREGATE(15,6,IF(BD[CLASIFICACIÓN]=$B$2,ROW(BD[CLASIFICACIÓN])-ROW('PT2 (FILTRAR)'!$E$5)+1,NA()),ROWS($B$5:D217)),COLUMNS($B$5:D217)),"")</f>
        <v/>
      </c>
      <c r="E217" s="126" t="str">
        <f t="array" ref="E217">IFERROR(INDEX(BD[],_xlfn.AGGREGATE(15,6,IF(BD[CLASIFICACIÓN]=$B$2,ROW(BD[CLASIFICACIÓN])-ROW('PT2 (FILTRAR)'!$E$5)+1,NA()),ROWS($B$5:E217)),COLUMNS($B$5:E217)),"")</f>
        <v/>
      </c>
    </row>
    <row r="218" spans="2:5" x14ac:dyDescent="0.3">
      <c r="B218" s="126" t="str">
        <f t="array" ref="B218">IFERROR(INDEX(BD[],_xlfn.AGGREGATE(15,6,IF(BD[CLASIFICACIÓN]=$B$2,ROW(BD[CLASIFICACIÓN])-ROW('PT2 (FILTRAR)'!$E$5)+1,NA()),ROWS($B$5:B218)),COLUMNS($B$5:B218)),"")</f>
        <v/>
      </c>
      <c r="C218" s="127" t="str">
        <f t="array" ref="C218">IFERROR(INDEX(BD[],_xlfn.AGGREGATE(15,6,IF(BD[CLASIFICACIÓN]=$B$2,ROW(BD[CLASIFICACIÓN])-ROW('PT2 (FILTRAR)'!$E$5)+1,NA()),ROWS($B$5:C218)),COLUMNS($B$5:C218)),"")</f>
        <v/>
      </c>
      <c r="D218" s="142" t="str">
        <f t="array" ref="D218">IFERROR(INDEX(BD[],_xlfn.AGGREGATE(15,6,IF(BD[CLASIFICACIÓN]=$B$2,ROW(BD[CLASIFICACIÓN])-ROW('PT2 (FILTRAR)'!$E$5)+1,NA()),ROWS($B$5:D218)),COLUMNS($B$5:D218)),"")</f>
        <v/>
      </c>
      <c r="E218" s="126" t="str">
        <f t="array" ref="E218">IFERROR(INDEX(BD[],_xlfn.AGGREGATE(15,6,IF(BD[CLASIFICACIÓN]=$B$2,ROW(BD[CLASIFICACIÓN])-ROW('PT2 (FILTRAR)'!$E$5)+1,NA()),ROWS($B$5:E218)),COLUMNS($B$5:E218)),"")</f>
        <v/>
      </c>
    </row>
    <row r="219" spans="2:5" x14ac:dyDescent="0.3">
      <c r="B219" s="126" t="str">
        <f t="array" ref="B219">IFERROR(INDEX(BD[],_xlfn.AGGREGATE(15,6,IF(BD[CLASIFICACIÓN]=$B$2,ROW(BD[CLASIFICACIÓN])-ROW('PT2 (FILTRAR)'!$E$5)+1,NA()),ROWS($B$5:B219)),COLUMNS($B$5:B219)),"")</f>
        <v/>
      </c>
      <c r="C219" s="127" t="str">
        <f t="array" ref="C219">IFERROR(INDEX(BD[],_xlfn.AGGREGATE(15,6,IF(BD[CLASIFICACIÓN]=$B$2,ROW(BD[CLASIFICACIÓN])-ROW('PT2 (FILTRAR)'!$E$5)+1,NA()),ROWS($B$5:C219)),COLUMNS($B$5:C219)),"")</f>
        <v/>
      </c>
      <c r="D219" s="142" t="str">
        <f t="array" ref="D219">IFERROR(INDEX(BD[],_xlfn.AGGREGATE(15,6,IF(BD[CLASIFICACIÓN]=$B$2,ROW(BD[CLASIFICACIÓN])-ROW('PT2 (FILTRAR)'!$E$5)+1,NA()),ROWS($B$5:D219)),COLUMNS($B$5:D219)),"")</f>
        <v/>
      </c>
      <c r="E219" s="126" t="str">
        <f t="array" ref="E219">IFERROR(INDEX(BD[],_xlfn.AGGREGATE(15,6,IF(BD[CLASIFICACIÓN]=$B$2,ROW(BD[CLASIFICACIÓN])-ROW('PT2 (FILTRAR)'!$E$5)+1,NA()),ROWS($B$5:E219)),COLUMNS($B$5:E219)),"")</f>
        <v/>
      </c>
    </row>
    <row r="220" spans="2:5" x14ac:dyDescent="0.3">
      <c r="B220" s="126" t="str">
        <f t="array" ref="B220">IFERROR(INDEX(BD[],_xlfn.AGGREGATE(15,6,IF(BD[CLASIFICACIÓN]=$B$2,ROW(BD[CLASIFICACIÓN])-ROW('PT2 (FILTRAR)'!$E$5)+1,NA()),ROWS($B$5:B220)),COLUMNS($B$5:B220)),"")</f>
        <v/>
      </c>
      <c r="C220" s="127" t="str">
        <f t="array" ref="C220">IFERROR(INDEX(BD[],_xlfn.AGGREGATE(15,6,IF(BD[CLASIFICACIÓN]=$B$2,ROW(BD[CLASIFICACIÓN])-ROW('PT2 (FILTRAR)'!$E$5)+1,NA()),ROWS($B$5:C220)),COLUMNS($B$5:C220)),"")</f>
        <v/>
      </c>
      <c r="D220" s="142" t="str">
        <f t="array" ref="D220">IFERROR(INDEX(BD[],_xlfn.AGGREGATE(15,6,IF(BD[CLASIFICACIÓN]=$B$2,ROW(BD[CLASIFICACIÓN])-ROW('PT2 (FILTRAR)'!$E$5)+1,NA()),ROWS($B$5:D220)),COLUMNS($B$5:D220)),"")</f>
        <v/>
      </c>
      <c r="E220" s="126" t="str">
        <f t="array" ref="E220">IFERROR(INDEX(BD[],_xlfn.AGGREGATE(15,6,IF(BD[CLASIFICACIÓN]=$B$2,ROW(BD[CLASIFICACIÓN])-ROW('PT2 (FILTRAR)'!$E$5)+1,NA()),ROWS($B$5:E220)),COLUMNS($B$5:E220)),"")</f>
        <v/>
      </c>
    </row>
    <row r="221" spans="2:5" x14ac:dyDescent="0.3">
      <c r="B221" s="126" t="str">
        <f t="array" ref="B221">IFERROR(INDEX(BD[],_xlfn.AGGREGATE(15,6,IF(BD[CLASIFICACIÓN]=$B$2,ROW(BD[CLASIFICACIÓN])-ROW('PT2 (FILTRAR)'!$E$5)+1,NA()),ROWS($B$5:B221)),COLUMNS($B$5:B221)),"")</f>
        <v/>
      </c>
      <c r="C221" s="127" t="str">
        <f t="array" ref="C221">IFERROR(INDEX(BD[],_xlfn.AGGREGATE(15,6,IF(BD[CLASIFICACIÓN]=$B$2,ROW(BD[CLASIFICACIÓN])-ROW('PT2 (FILTRAR)'!$E$5)+1,NA()),ROWS($B$5:C221)),COLUMNS($B$5:C221)),"")</f>
        <v/>
      </c>
      <c r="D221" s="142" t="str">
        <f t="array" ref="D221">IFERROR(INDEX(BD[],_xlfn.AGGREGATE(15,6,IF(BD[CLASIFICACIÓN]=$B$2,ROW(BD[CLASIFICACIÓN])-ROW('PT2 (FILTRAR)'!$E$5)+1,NA()),ROWS($B$5:D221)),COLUMNS($B$5:D221)),"")</f>
        <v/>
      </c>
      <c r="E221" s="126" t="str">
        <f t="array" ref="E221">IFERROR(INDEX(BD[],_xlfn.AGGREGATE(15,6,IF(BD[CLASIFICACIÓN]=$B$2,ROW(BD[CLASIFICACIÓN])-ROW('PT2 (FILTRAR)'!$E$5)+1,NA()),ROWS($B$5:E221)),COLUMNS($B$5:E221)),"")</f>
        <v/>
      </c>
    </row>
    <row r="222" spans="2:5" x14ac:dyDescent="0.3">
      <c r="B222" s="126" t="str">
        <f t="array" ref="B222">IFERROR(INDEX(BD[],_xlfn.AGGREGATE(15,6,IF(BD[CLASIFICACIÓN]=$B$2,ROW(BD[CLASIFICACIÓN])-ROW('PT2 (FILTRAR)'!$E$5)+1,NA()),ROWS($B$5:B222)),COLUMNS($B$5:B222)),"")</f>
        <v/>
      </c>
      <c r="C222" s="127" t="str">
        <f t="array" ref="C222">IFERROR(INDEX(BD[],_xlfn.AGGREGATE(15,6,IF(BD[CLASIFICACIÓN]=$B$2,ROW(BD[CLASIFICACIÓN])-ROW('PT2 (FILTRAR)'!$E$5)+1,NA()),ROWS($B$5:C222)),COLUMNS($B$5:C222)),"")</f>
        <v/>
      </c>
      <c r="D222" s="142" t="str">
        <f t="array" ref="D222">IFERROR(INDEX(BD[],_xlfn.AGGREGATE(15,6,IF(BD[CLASIFICACIÓN]=$B$2,ROW(BD[CLASIFICACIÓN])-ROW('PT2 (FILTRAR)'!$E$5)+1,NA()),ROWS($B$5:D222)),COLUMNS($B$5:D222)),"")</f>
        <v/>
      </c>
      <c r="E222" s="126" t="str">
        <f t="array" ref="E222">IFERROR(INDEX(BD[],_xlfn.AGGREGATE(15,6,IF(BD[CLASIFICACIÓN]=$B$2,ROW(BD[CLASIFICACIÓN])-ROW('PT2 (FILTRAR)'!$E$5)+1,NA()),ROWS($B$5:E222)),COLUMNS($B$5:E222)),"")</f>
        <v/>
      </c>
    </row>
    <row r="223" spans="2:5" x14ac:dyDescent="0.3">
      <c r="B223" s="126" t="str">
        <f t="array" ref="B223">IFERROR(INDEX(BD[],_xlfn.AGGREGATE(15,6,IF(BD[CLASIFICACIÓN]=$B$2,ROW(BD[CLASIFICACIÓN])-ROW('PT2 (FILTRAR)'!$E$5)+1,NA()),ROWS($B$5:B223)),COLUMNS($B$5:B223)),"")</f>
        <v/>
      </c>
      <c r="C223" s="127" t="str">
        <f t="array" ref="C223">IFERROR(INDEX(BD[],_xlfn.AGGREGATE(15,6,IF(BD[CLASIFICACIÓN]=$B$2,ROW(BD[CLASIFICACIÓN])-ROW('PT2 (FILTRAR)'!$E$5)+1,NA()),ROWS($B$5:C223)),COLUMNS($B$5:C223)),"")</f>
        <v/>
      </c>
      <c r="D223" s="142" t="str">
        <f t="array" ref="D223">IFERROR(INDEX(BD[],_xlfn.AGGREGATE(15,6,IF(BD[CLASIFICACIÓN]=$B$2,ROW(BD[CLASIFICACIÓN])-ROW('PT2 (FILTRAR)'!$E$5)+1,NA()),ROWS($B$5:D223)),COLUMNS($B$5:D223)),"")</f>
        <v/>
      </c>
      <c r="E223" s="126" t="str">
        <f t="array" ref="E223">IFERROR(INDEX(BD[],_xlfn.AGGREGATE(15,6,IF(BD[CLASIFICACIÓN]=$B$2,ROW(BD[CLASIFICACIÓN])-ROW('PT2 (FILTRAR)'!$E$5)+1,NA()),ROWS($B$5:E223)),COLUMNS($B$5:E223)),"")</f>
        <v/>
      </c>
    </row>
    <row r="224" spans="2:5" x14ac:dyDescent="0.3">
      <c r="B224" s="126" t="str">
        <f t="array" ref="B224">IFERROR(INDEX(BD[],_xlfn.AGGREGATE(15,6,IF(BD[CLASIFICACIÓN]=$B$2,ROW(BD[CLASIFICACIÓN])-ROW('PT2 (FILTRAR)'!$E$5)+1,NA()),ROWS($B$5:B224)),COLUMNS($B$5:B224)),"")</f>
        <v/>
      </c>
      <c r="C224" s="127" t="str">
        <f t="array" ref="C224">IFERROR(INDEX(BD[],_xlfn.AGGREGATE(15,6,IF(BD[CLASIFICACIÓN]=$B$2,ROW(BD[CLASIFICACIÓN])-ROW('PT2 (FILTRAR)'!$E$5)+1,NA()),ROWS($B$5:C224)),COLUMNS($B$5:C224)),"")</f>
        <v/>
      </c>
      <c r="D224" s="142" t="str">
        <f t="array" ref="D224">IFERROR(INDEX(BD[],_xlfn.AGGREGATE(15,6,IF(BD[CLASIFICACIÓN]=$B$2,ROW(BD[CLASIFICACIÓN])-ROW('PT2 (FILTRAR)'!$E$5)+1,NA()),ROWS($B$5:D224)),COLUMNS($B$5:D224)),"")</f>
        <v/>
      </c>
      <c r="E224" s="126" t="str">
        <f t="array" ref="E224">IFERROR(INDEX(BD[],_xlfn.AGGREGATE(15,6,IF(BD[CLASIFICACIÓN]=$B$2,ROW(BD[CLASIFICACIÓN])-ROW('PT2 (FILTRAR)'!$E$5)+1,NA()),ROWS($B$5:E224)),COLUMNS($B$5:E224)),"")</f>
        <v/>
      </c>
    </row>
    <row r="225" spans="2:5" x14ac:dyDescent="0.3">
      <c r="B225" s="126" t="str">
        <f t="array" ref="B225">IFERROR(INDEX(BD[],_xlfn.AGGREGATE(15,6,IF(BD[CLASIFICACIÓN]=$B$2,ROW(BD[CLASIFICACIÓN])-ROW('PT2 (FILTRAR)'!$E$5)+1,NA()),ROWS($B$5:B225)),COLUMNS($B$5:B225)),"")</f>
        <v/>
      </c>
      <c r="C225" s="127" t="str">
        <f t="array" ref="C225">IFERROR(INDEX(BD[],_xlfn.AGGREGATE(15,6,IF(BD[CLASIFICACIÓN]=$B$2,ROW(BD[CLASIFICACIÓN])-ROW('PT2 (FILTRAR)'!$E$5)+1,NA()),ROWS($B$5:C225)),COLUMNS($B$5:C225)),"")</f>
        <v/>
      </c>
      <c r="D225" s="142" t="str">
        <f t="array" ref="D225">IFERROR(INDEX(BD[],_xlfn.AGGREGATE(15,6,IF(BD[CLASIFICACIÓN]=$B$2,ROW(BD[CLASIFICACIÓN])-ROW('PT2 (FILTRAR)'!$E$5)+1,NA()),ROWS($B$5:D225)),COLUMNS($B$5:D225)),"")</f>
        <v/>
      </c>
      <c r="E225" s="126" t="str">
        <f t="array" ref="E225">IFERROR(INDEX(BD[],_xlfn.AGGREGATE(15,6,IF(BD[CLASIFICACIÓN]=$B$2,ROW(BD[CLASIFICACIÓN])-ROW('PT2 (FILTRAR)'!$E$5)+1,NA()),ROWS($B$5:E225)),COLUMNS($B$5:E225)),"")</f>
        <v/>
      </c>
    </row>
    <row r="226" spans="2:5" x14ac:dyDescent="0.3">
      <c r="B226" s="126" t="str">
        <f t="array" ref="B226">IFERROR(INDEX(BD[],_xlfn.AGGREGATE(15,6,IF(BD[CLASIFICACIÓN]=$B$2,ROW(BD[CLASIFICACIÓN])-ROW('PT2 (FILTRAR)'!$E$5)+1,NA()),ROWS($B$5:B226)),COLUMNS($B$5:B226)),"")</f>
        <v/>
      </c>
      <c r="C226" s="127" t="str">
        <f t="array" ref="C226">IFERROR(INDEX(BD[],_xlfn.AGGREGATE(15,6,IF(BD[CLASIFICACIÓN]=$B$2,ROW(BD[CLASIFICACIÓN])-ROW('PT2 (FILTRAR)'!$E$5)+1,NA()),ROWS($B$5:C226)),COLUMNS($B$5:C226)),"")</f>
        <v/>
      </c>
      <c r="D226" s="142" t="str">
        <f t="array" ref="D226">IFERROR(INDEX(BD[],_xlfn.AGGREGATE(15,6,IF(BD[CLASIFICACIÓN]=$B$2,ROW(BD[CLASIFICACIÓN])-ROW('PT2 (FILTRAR)'!$E$5)+1,NA()),ROWS($B$5:D226)),COLUMNS($B$5:D226)),"")</f>
        <v/>
      </c>
      <c r="E226" s="126" t="str">
        <f t="array" ref="E226">IFERROR(INDEX(BD[],_xlfn.AGGREGATE(15,6,IF(BD[CLASIFICACIÓN]=$B$2,ROW(BD[CLASIFICACIÓN])-ROW('PT2 (FILTRAR)'!$E$5)+1,NA()),ROWS($B$5:E226)),COLUMNS($B$5:E226)),"")</f>
        <v/>
      </c>
    </row>
    <row r="227" spans="2:5" x14ac:dyDescent="0.3">
      <c r="B227" s="126" t="str">
        <f t="array" ref="B227">IFERROR(INDEX(BD[],_xlfn.AGGREGATE(15,6,IF(BD[CLASIFICACIÓN]=$B$2,ROW(BD[CLASIFICACIÓN])-ROW('PT2 (FILTRAR)'!$E$5)+1,NA()),ROWS($B$5:B227)),COLUMNS($B$5:B227)),"")</f>
        <v/>
      </c>
      <c r="C227" s="127" t="str">
        <f t="array" ref="C227">IFERROR(INDEX(BD[],_xlfn.AGGREGATE(15,6,IF(BD[CLASIFICACIÓN]=$B$2,ROW(BD[CLASIFICACIÓN])-ROW('PT2 (FILTRAR)'!$E$5)+1,NA()),ROWS($B$5:C227)),COLUMNS($B$5:C227)),"")</f>
        <v/>
      </c>
      <c r="D227" s="142" t="str">
        <f t="array" ref="D227">IFERROR(INDEX(BD[],_xlfn.AGGREGATE(15,6,IF(BD[CLASIFICACIÓN]=$B$2,ROW(BD[CLASIFICACIÓN])-ROW('PT2 (FILTRAR)'!$E$5)+1,NA()),ROWS($B$5:D227)),COLUMNS($B$5:D227)),"")</f>
        <v/>
      </c>
      <c r="E227" s="126" t="str">
        <f t="array" ref="E227">IFERROR(INDEX(BD[],_xlfn.AGGREGATE(15,6,IF(BD[CLASIFICACIÓN]=$B$2,ROW(BD[CLASIFICACIÓN])-ROW('PT2 (FILTRAR)'!$E$5)+1,NA()),ROWS($B$5:E227)),COLUMNS($B$5:E227)),"")</f>
        <v/>
      </c>
    </row>
    <row r="228" spans="2:5" x14ac:dyDescent="0.3">
      <c r="B228" s="126" t="str">
        <f t="array" ref="B228">IFERROR(INDEX(BD[],_xlfn.AGGREGATE(15,6,IF(BD[CLASIFICACIÓN]=$B$2,ROW(BD[CLASIFICACIÓN])-ROW('PT2 (FILTRAR)'!$E$5)+1,NA()),ROWS($B$5:B228)),COLUMNS($B$5:B228)),"")</f>
        <v/>
      </c>
      <c r="C228" s="127" t="str">
        <f t="array" ref="C228">IFERROR(INDEX(BD[],_xlfn.AGGREGATE(15,6,IF(BD[CLASIFICACIÓN]=$B$2,ROW(BD[CLASIFICACIÓN])-ROW('PT2 (FILTRAR)'!$E$5)+1,NA()),ROWS($B$5:C228)),COLUMNS($B$5:C228)),"")</f>
        <v/>
      </c>
      <c r="D228" s="142" t="str">
        <f t="array" ref="D228">IFERROR(INDEX(BD[],_xlfn.AGGREGATE(15,6,IF(BD[CLASIFICACIÓN]=$B$2,ROW(BD[CLASIFICACIÓN])-ROW('PT2 (FILTRAR)'!$E$5)+1,NA()),ROWS($B$5:D228)),COLUMNS($B$5:D228)),"")</f>
        <v/>
      </c>
      <c r="E228" s="126" t="str">
        <f t="array" ref="E228">IFERROR(INDEX(BD[],_xlfn.AGGREGATE(15,6,IF(BD[CLASIFICACIÓN]=$B$2,ROW(BD[CLASIFICACIÓN])-ROW('PT2 (FILTRAR)'!$E$5)+1,NA()),ROWS($B$5:E228)),COLUMNS($B$5:E228)),"")</f>
        <v/>
      </c>
    </row>
    <row r="229" spans="2:5" x14ac:dyDescent="0.3">
      <c r="B229" s="126" t="str">
        <f t="array" ref="B229">IFERROR(INDEX(BD[],_xlfn.AGGREGATE(15,6,IF(BD[CLASIFICACIÓN]=$B$2,ROW(BD[CLASIFICACIÓN])-ROW('PT2 (FILTRAR)'!$E$5)+1,NA()),ROWS($B$5:B229)),COLUMNS($B$5:B229)),"")</f>
        <v/>
      </c>
      <c r="C229" s="127" t="str">
        <f t="array" ref="C229">IFERROR(INDEX(BD[],_xlfn.AGGREGATE(15,6,IF(BD[CLASIFICACIÓN]=$B$2,ROW(BD[CLASIFICACIÓN])-ROW('PT2 (FILTRAR)'!$E$5)+1,NA()),ROWS($B$5:C229)),COLUMNS($B$5:C229)),"")</f>
        <v/>
      </c>
      <c r="D229" s="142" t="str">
        <f t="array" ref="D229">IFERROR(INDEX(BD[],_xlfn.AGGREGATE(15,6,IF(BD[CLASIFICACIÓN]=$B$2,ROW(BD[CLASIFICACIÓN])-ROW('PT2 (FILTRAR)'!$E$5)+1,NA()),ROWS($B$5:D229)),COLUMNS($B$5:D229)),"")</f>
        <v/>
      </c>
      <c r="E229" s="126" t="str">
        <f t="array" ref="E229">IFERROR(INDEX(BD[],_xlfn.AGGREGATE(15,6,IF(BD[CLASIFICACIÓN]=$B$2,ROW(BD[CLASIFICACIÓN])-ROW('PT2 (FILTRAR)'!$E$5)+1,NA()),ROWS($B$5:E229)),COLUMNS($B$5:E229)),"")</f>
        <v/>
      </c>
    </row>
    <row r="230" spans="2:5" x14ac:dyDescent="0.3">
      <c r="B230" s="126" t="str">
        <f t="array" ref="B230">IFERROR(INDEX(BD[],_xlfn.AGGREGATE(15,6,IF(BD[CLASIFICACIÓN]=$B$2,ROW(BD[CLASIFICACIÓN])-ROW('PT2 (FILTRAR)'!$E$5)+1,NA()),ROWS($B$5:B230)),COLUMNS($B$5:B230)),"")</f>
        <v/>
      </c>
      <c r="C230" s="127" t="str">
        <f t="array" ref="C230">IFERROR(INDEX(BD[],_xlfn.AGGREGATE(15,6,IF(BD[CLASIFICACIÓN]=$B$2,ROW(BD[CLASIFICACIÓN])-ROW('PT2 (FILTRAR)'!$E$5)+1,NA()),ROWS($B$5:C230)),COLUMNS($B$5:C230)),"")</f>
        <v/>
      </c>
      <c r="D230" s="142" t="str">
        <f t="array" ref="D230">IFERROR(INDEX(BD[],_xlfn.AGGREGATE(15,6,IF(BD[CLASIFICACIÓN]=$B$2,ROW(BD[CLASIFICACIÓN])-ROW('PT2 (FILTRAR)'!$E$5)+1,NA()),ROWS($B$5:D230)),COLUMNS($B$5:D230)),"")</f>
        <v/>
      </c>
      <c r="E230" s="126" t="str">
        <f t="array" ref="E230">IFERROR(INDEX(BD[],_xlfn.AGGREGATE(15,6,IF(BD[CLASIFICACIÓN]=$B$2,ROW(BD[CLASIFICACIÓN])-ROW('PT2 (FILTRAR)'!$E$5)+1,NA()),ROWS($B$5:E230)),COLUMNS($B$5:E230)),"")</f>
        <v/>
      </c>
    </row>
    <row r="231" spans="2:5" x14ac:dyDescent="0.3">
      <c r="B231" s="126" t="str">
        <f t="array" ref="B231">IFERROR(INDEX(BD[],_xlfn.AGGREGATE(15,6,IF(BD[CLASIFICACIÓN]=$B$2,ROW(BD[CLASIFICACIÓN])-ROW('PT2 (FILTRAR)'!$E$5)+1,NA()),ROWS($B$5:B231)),COLUMNS($B$5:B231)),"")</f>
        <v/>
      </c>
      <c r="C231" s="127" t="str">
        <f t="array" ref="C231">IFERROR(INDEX(BD[],_xlfn.AGGREGATE(15,6,IF(BD[CLASIFICACIÓN]=$B$2,ROW(BD[CLASIFICACIÓN])-ROW('PT2 (FILTRAR)'!$E$5)+1,NA()),ROWS($B$5:C231)),COLUMNS($B$5:C231)),"")</f>
        <v/>
      </c>
      <c r="D231" s="142" t="str">
        <f t="array" ref="D231">IFERROR(INDEX(BD[],_xlfn.AGGREGATE(15,6,IF(BD[CLASIFICACIÓN]=$B$2,ROW(BD[CLASIFICACIÓN])-ROW('PT2 (FILTRAR)'!$E$5)+1,NA()),ROWS($B$5:D231)),COLUMNS($B$5:D231)),"")</f>
        <v/>
      </c>
      <c r="E231" s="126" t="str">
        <f t="array" ref="E231">IFERROR(INDEX(BD[],_xlfn.AGGREGATE(15,6,IF(BD[CLASIFICACIÓN]=$B$2,ROW(BD[CLASIFICACIÓN])-ROW('PT2 (FILTRAR)'!$E$5)+1,NA()),ROWS($B$5:E231)),COLUMNS($B$5:E231)),"")</f>
        <v/>
      </c>
    </row>
    <row r="232" spans="2:5" x14ac:dyDescent="0.3">
      <c r="B232" s="126" t="str">
        <f t="array" ref="B232">IFERROR(INDEX(BD[],_xlfn.AGGREGATE(15,6,IF(BD[CLASIFICACIÓN]=$B$2,ROW(BD[CLASIFICACIÓN])-ROW('PT2 (FILTRAR)'!$E$5)+1,NA()),ROWS($B$5:B232)),COLUMNS($B$5:B232)),"")</f>
        <v/>
      </c>
      <c r="C232" s="127" t="str">
        <f t="array" ref="C232">IFERROR(INDEX(BD[],_xlfn.AGGREGATE(15,6,IF(BD[CLASIFICACIÓN]=$B$2,ROW(BD[CLASIFICACIÓN])-ROW('PT2 (FILTRAR)'!$E$5)+1,NA()),ROWS($B$5:C232)),COLUMNS($B$5:C232)),"")</f>
        <v/>
      </c>
      <c r="D232" s="142" t="str">
        <f t="array" ref="D232">IFERROR(INDEX(BD[],_xlfn.AGGREGATE(15,6,IF(BD[CLASIFICACIÓN]=$B$2,ROW(BD[CLASIFICACIÓN])-ROW('PT2 (FILTRAR)'!$E$5)+1,NA()),ROWS($B$5:D232)),COLUMNS($B$5:D232)),"")</f>
        <v/>
      </c>
      <c r="E232" s="126" t="str">
        <f t="array" ref="E232">IFERROR(INDEX(BD[],_xlfn.AGGREGATE(15,6,IF(BD[CLASIFICACIÓN]=$B$2,ROW(BD[CLASIFICACIÓN])-ROW('PT2 (FILTRAR)'!$E$5)+1,NA()),ROWS($B$5:E232)),COLUMNS($B$5:E232)),"")</f>
        <v/>
      </c>
    </row>
    <row r="233" spans="2:5" x14ac:dyDescent="0.3">
      <c r="B233" s="126" t="str">
        <f t="array" ref="B233">IFERROR(INDEX(BD[],_xlfn.AGGREGATE(15,6,IF(BD[CLASIFICACIÓN]=$B$2,ROW(BD[CLASIFICACIÓN])-ROW('PT2 (FILTRAR)'!$E$5)+1,NA()),ROWS($B$5:B233)),COLUMNS($B$5:B233)),"")</f>
        <v/>
      </c>
      <c r="C233" s="127" t="str">
        <f t="array" ref="C233">IFERROR(INDEX(BD[],_xlfn.AGGREGATE(15,6,IF(BD[CLASIFICACIÓN]=$B$2,ROW(BD[CLASIFICACIÓN])-ROW('PT2 (FILTRAR)'!$E$5)+1,NA()),ROWS($B$5:C233)),COLUMNS($B$5:C233)),"")</f>
        <v/>
      </c>
      <c r="D233" s="142" t="str">
        <f t="array" ref="D233">IFERROR(INDEX(BD[],_xlfn.AGGREGATE(15,6,IF(BD[CLASIFICACIÓN]=$B$2,ROW(BD[CLASIFICACIÓN])-ROW('PT2 (FILTRAR)'!$E$5)+1,NA()),ROWS($B$5:D233)),COLUMNS($B$5:D233)),"")</f>
        <v/>
      </c>
      <c r="E233" s="126" t="str">
        <f t="array" ref="E233">IFERROR(INDEX(BD[],_xlfn.AGGREGATE(15,6,IF(BD[CLASIFICACIÓN]=$B$2,ROW(BD[CLASIFICACIÓN])-ROW('PT2 (FILTRAR)'!$E$5)+1,NA()),ROWS($B$5:E233)),COLUMNS($B$5:E233)),"")</f>
        <v/>
      </c>
    </row>
    <row r="234" spans="2:5" x14ac:dyDescent="0.3">
      <c r="B234" s="126" t="str">
        <f t="array" ref="B234">IFERROR(INDEX(BD[],_xlfn.AGGREGATE(15,6,IF(BD[CLASIFICACIÓN]=$B$2,ROW(BD[CLASIFICACIÓN])-ROW('PT2 (FILTRAR)'!$E$5)+1,NA()),ROWS($B$5:B234)),COLUMNS($B$5:B234)),"")</f>
        <v/>
      </c>
      <c r="C234" s="127" t="str">
        <f t="array" ref="C234">IFERROR(INDEX(BD[],_xlfn.AGGREGATE(15,6,IF(BD[CLASIFICACIÓN]=$B$2,ROW(BD[CLASIFICACIÓN])-ROW('PT2 (FILTRAR)'!$E$5)+1,NA()),ROWS($B$5:C234)),COLUMNS($B$5:C234)),"")</f>
        <v/>
      </c>
      <c r="D234" s="142" t="str">
        <f t="array" ref="D234">IFERROR(INDEX(BD[],_xlfn.AGGREGATE(15,6,IF(BD[CLASIFICACIÓN]=$B$2,ROW(BD[CLASIFICACIÓN])-ROW('PT2 (FILTRAR)'!$E$5)+1,NA()),ROWS($B$5:D234)),COLUMNS($B$5:D234)),"")</f>
        <v/>
      </c>
      <c r="E234" s="126" t="str">
        <f t="array" ref="E234">IFERROR(INDEX(BD[],_xlfn.AGGREGATE(15,6,IF(BD[CLASIFICACIÓN]=$B$2,ROW(BD[CLASIFICACIÓN])-ROW('PT2 (FILTRAR)'!$E$5)+1,NA()),ROWS($B$5:E234)),COLUMNS($B$5:E234)),"")</f>
        <v/>
      </c>
    </row>
    <row r="235" spans="2:5" x14ac:dyDescent="0.3">
      <c r="B235" s="126" t="str">
        <f t="array" ref="B235">IFERROR(INDEX(BD[],_xlfn.AGGREGATE(15,6,IF(BD[CLASIFICACIÓN]=$B$2,ROW(BD[CLASIFICACIÓN])-ROW('PT2 (FILTRAR)'!$E$5)+1,NA()),ROWS($B$5:B235)),COLUMNS($B$5:B235)),"")</f>
        <v/>
      </c>
      <c r="C235" s="127" t="str">
        <f t="array" ref="C235">IFERROR(INDEX(BD[],_xlfn.AGGREGATE(15,6,IF(BD[CLASIFICACIÓN]=$B$2,ROW(BD[CLASIFICACIÓN])-ROW('PT2 (FILTRAR)'!$E$5)+1,NA()),ROWS($B$5:C235)),COLUMNS($B$5:C235)),"")</f>
        <v/>
      </c>
      <c r="D235" s="142" t="str">
        <f t="array" ref="D235">IFERROR(INDEX(BD[],_xlfn.AGGREGATE(15,6,IF(BD[CLASIFICACIÓN]=$B$2,ROW(BD[CLASIFICACIÓN])-ROW('PT2 (FILTRAR)'!$E$5)+1,NA()),ROWS($B$5:D235)),COLUMNS($B$5:D235)),"")</f>
        <v/>
      </c>
      <c r="E235" s="126" t="str">
        <f t="array" ref="E235">IFERROR(INDEX(BD[],_xlfn.AGGREGATE(15,6,IF(BD[CLASIFICACIÓN]=$B$2,ROW(BD[CLASIFICACIÓN])-ROW('PT2 (FILTRAR)'!$E$5)+1,NA()),ROWS($B$5:E235)),COLUMNS($B$5:E235)),"")</f>
        <v/>
      </c>
    </row>
    <row r="236" spans="2:5" x14ac:dyDescent="0.3">
      <c r="B236" s="126" t="str">
        <f t="array" ref="B236">IFERROR(INDEX(BD[],_xlfn.AGGREGATE(15,6,IF(BD[CLASIFICACIÓN]=$B$2,ROW(BD[CLASIFICACIÓN])-ROW('PT2 (FILTRAR)'!$E$5)+1,NA()),ROWS($B$5:B236)),COLUMNS($B$5:B236)),"")</f>
        <v/>
      </c>
      <c r="C236" s="127" t="str">
        <f t="array" ref="C236">IFERROR(INDEX(BD[],_xlfn.AGGREGATE(15,6,IF(BD[CLASIFICACIÓN]=$B$2,ROW(BD[CLASIFICACIÓN])-ROW('PT2 (FILTRAR)'!$E$5)+1,NA()),ROWS($B$5:C236)),COLUMNS($B$5:C236)),"")</f>
        <v/>
      </c>
      <c r="D236" s="142" t="str">
        <f t="array" ref="D236">IFERROR(INDEX(BD[],_xlfn.AGGREGATE(15,6,IF(BD[CLASIFICACIÓN]=$B$2,ROW(BD[CLASIFICACIÓN])-ROW('PT2 (FILTRAR)'!$E$5)+1,NA()),ROWS($B$5:D236)),COLUMNS($B$5:D236)),"")</f>
        <v/>
      </c>
      <c r="E236" s="126" t="str">
        <f t="array" ref="E236">IFERROR(INDEX(BD[],_xlfn.AGGREGATE(15,6,IF(BD[CLASIFICACIÓN]=$B$2,ROW(BD[CLASIFICACIÓN])-ROW('PT2 (FILTRAR)'!$E$5)+1,NA()),ROWS($B$5:E236)),COLUMNS($B$5:E236)),"")</f>
        <v/>
      </c>
    </row>
    <row r="237" spans="2:5" x14ac:dyDescent="0.3">
      <c r="B237" s="126" t="str">
        <f t="array" ref="B237">IFERROR(INDEX(BD[],_xlfn.AGGREGATE(15,6,IF(BD[CLASIFICACIÓN]=$B$2,ROW(BD[CLASIFICACIÓN])-ROW('PT2 (FILTRAR)'!$E$5)+1,NA()),ROWS($B$5:B237)),COLUMNS($B$5:B237)),"")</f>
        <v/>
      </c>
      <c r="C237" s="127" t="str">
        <f t="array" ref="C237">IFERROR(INDEX(BD[],_xlfn.AGGREGATE(15,6,IF(BD[CLASIFICACIÓN]=$B$2,ROW(BD[CLASIFICACIÓN])-ROW('PT2 (FILTRAR)'!$E$5)+1,NA()),ROWS($B$5:C237)),COLUMNS($B$5:C237)),"")</f>
        <v/>
      </c>
      <c r="D237" s="142" t="str">
        <f t="array" ref="D237">IFERROR(INDEX(BD[],_xlfn.AGGREGATE(15,6,IF(BD[CLASIFICACIÓN]=$B$2,ROW(BD[CLASIFICACIÓN])-ROW('PT2 (FILTRAR)'!$E$5)+1,NA()),ROWS($B$5:D237)),COLUMNS($B$5:D237)),"")</f>
        <v/>
      </c>
      <c r="E237" s="126" t="str">
        <f t="array" ref="E237">IFERROR(INDEX(BD[],_xlfn.AGGREGATE(15,6,IF(BD[CLASIFICACIÓN]=$B$2,ROW(BD[CLASIFICACIÓN])-ROW('PT2 (FILTRAR)'!$E$5)+1,NA()),ROWS($B$5:E237)),COLUMNS($B$5:E237)),"")</f>
        <v/>
      </c>
    </row>
    <row r="238" spans="2:5" x14ac:dyDescent="0.3">
      <c r="B238" s="126" t="str">
        <f t="array" ref="B238">IFERROR(INDEX(BD[],_xlfn.AGGREGATE(15,6,IF(BD[CLASIFICACIÓN]=$B$2,ROW(BD[CLASIFICACIÓN])-ROW('PT2 (FILTRAR)'!$E$5)+1,NA()),ROWS($B$5:B238)),COLUMNS($B$5:B238)),"")</f>
        <v/>
      </c>
      <c r="C238" s="127" t="str">
        <f t="array" ref="C238">IFERROR(INDEX(BD[],_xlfn.AGGREGATE(15,6,IF(BD[CLASIFICACIÓN]=$B$2,ROW(BD[CLASIFICACIÓN])-ROW('PT2 (FILTRAR)'!$E$5)+1,NA()),ROWS($B$5:C238)),COLUMNS($B$5:C238)),"")</f>
        <v/>
      </c>
      <c r="D238" s="142" t="str">
        <f t="array" ref="D238">IFERROR(INDEX(BD[],_xlfn.AGGREGATE(15,6,IF(BD[CLASIFICACIÓN]=$B$2,ROW(BD[CLASIFICACIÓN])-ROW('PT2 (FILTRAR)'!$E$5)+1,NA()),ROWS($B$5:D238)),COLUMNS($B$5:D238)),"")</f>
        <v/>
      </c>
      <c r="E238" s="126" t="str">
        <f t="array" ref="E238">IFERROR(INDEX(BD[],_xlfn.AGGREGATE(15,6,IF(BD[CLASIFICACIÓN]=$B$2,ROW(BD[CLASIFICACIÓN])-ROW('PT2 (FILTRAR)'!$E$5)+1,NA()),ROWS($B$5:E238)),COLUMNS($B$5:E238)),"")</f>
        <v/>
      </c>
    </row>
    <row r="239" spans="2:5" x14ac:dyDescent="0.3">
      <c r="B239" s="126" t="str">
        <f t="array" ref="B239">IFERROR(INDEX(BD[],_xlfn.AGGREGATE(15,6,IF(BD[CLASIFICACIÓN]=$B$2,ROW(BD[CLASIFICACIÓN])-ROW('PT2 (FILTRAR)'!$E$5)+1,NA()),ROWS($B$5:B239)),COLUMNS($B$5:B239)),"")</f>
        <v/>
      </c>
      <c r="C239" s="127" t="str">
        <f t="array" ref="C239">IFERROR(INDEX(BD[],_xlfn.AGGREGATE(15,6,IF(BD[CLASIFICACIÓN]=$B$2,ROW(BD[CLASIFICACIÓN])-ROW('PT2 (FILTRAR)'!$E$5)+1,NA()),ROWS($B$5:C239)),COLUMNS($B$5:C239)),"")</f>
        <v/>
      </c>
      <c r="D239" s="142" t="str">
        <f t="array" ref="D239">IFERROR(INDEX(BD[],_xlfn.AGGREGATE(15,6,IF(BD[CLASIFICACIÓN]=$B$2,ROW(BD[CLASIFICACIÓN])-ROW('PT2 (FILTRAR)'!$E$5)+1,NA()),ROWS($B$5:D239)),COLUMNS($B$5:D239)),"")</f>
        <v/>
      </c>
      <c r="E239" s="126" t="str">
        <f t="array" ref="E239">IFERROR(INDEX(BD[],_xlfn.AGGREGATE(15,6,IF(BD[CLASIFICACIÓN]=$B$2,ROW(BD[CLASIFICACIÓN])-ROW('PT2 (FILTRAR)'!$E$5)+1,NA()),ROWS($B$5:E239)),COLUMNS($B$5:E239)),"")</f>
        <v/>
      </c>
    </row>
    <row r="240" spans="2:5" x14ac:dyDescent="0.3">
      <c r="B240" s="126" t="str">
        <f t="array" ref="B240">IFERROR(INDEX(BD[],_xlfn.AGGREGATE(15,6,IF(BD[CLASIFICACIÓN]=$B$2,ROW(BD[CLASIFICACIÓN])-ROW('PT2 (FILTRAR)'!$E$5)+1,NA()),ROWS($B$5:B240)),COLUMNS($B$5:B240)),"")</f>
        <v/>
      </c>
      <c r="C240" s="127" t="str">
        <f t="array" ref="C240">IFERROR(INDEX(BD[],_xlfn.AGGREGATE(15,6,IF(BD[CLASIFICACIÓN]=$B$2,ROW(BD[CLASIFICACIÓN])-ROW('PT2 (FILTRAR)'!$E$5)+1,NA()),ROWS($B$5:C240)),COLUMNS($B$5:C240)),"")</f>
        <v/>
      </c>
      <c r="D240" s="142" t="str">
        <f t="array" ref="D240">IFERROR(INDEX(BD[],_xlfn.AGGREGATE(15,6,IF(BD[CLASIFICACIÓN]=$B$2,ROW(BD[CLASIFICACIÓN])-ROW('PT2 (FILTRAR)'!$E$5)+1,NA()),ROWS($B$5:D240)),COLUMNS($B$5:D240)),"")</f>
        <v/>
      </c>
      <c r="E240" s="126" t="str">
        <f t="array" ref="E240">IFERROR(INDEX(BD[],_xlfn.AGGREGATE(15,6,IF(BD[CLASIFICACIÓN]=$B$2,ROW(BD[CLASIFICACIÓN])-ROW('PT2 (FILTRAR)'!$E$5)+1,NA()),ROWS($B$5:E240)),COLUMNS($B$5:E240)),"")</f>
        <v/>
      </c>
    </row>
    <row r="241" spans="2:5" x14ac:dyDescent="0.3">
      <c r="B241" s="126" t="str">
        <f t="array" ref="B241">IFERROR(INDEX(BD[],_xlfn.AGGREGATE(15,6,IF(BD[CLASIFICACIÓN]=$B$2,ROW(BD[CLASIFICACIÓN])-ROW('PT2 (FILTRAR)'!$E$5)+1,NA()),ROWS($B$5:B241)),COLUMNS($B$5:B241)),"")</f>
        <v/>
      </c>
      <c r="C241" s="127" t="str">
        <f t="array" ref="C241">IFERROR(INDEX(BD[],_xlfn.AGGREGATE(15,6,IF(BD[CLASIFICACIÓN]=$B$2,ROW(BD[CLASIFICACIÓN])-ROW('PT2 (FILTRAR)'!$E$5)+1,NA()),ROWS($B$5:C241)),COLUMNS($B$5:C241)),"")</f>
        <v/>
      </c>
      <c r="D241" s="142" t="str">
        <f t="array" ref="D241">IFERROR(INDEX(BD[],_xlfn.AGGREGATE(15,6,IF(BD[CLASIFICACIÓN]=$B$2,ROW(BD[CLASIFICACIÓN])-ROW('PT2 (FILTRAR)'!$E$5)+1,NA()),ROWS($B$5:D241)),COLUMNS($B$5:D241)),"")</f>
        <v/>
      </c>
      <c r="E241" s="126" t="str">
        <f t="array" ref="E241">IFERROR(INDEX(BD[],_xlfn.AGGREGATE(15,6,IF(BD[CLASIFICACIÓN]=$B$2,ROW(BD[CLASIFICACIÓN])-ROW('PT2 (FILTRAR)'!$E$5)+1,NA()),ROWS($B$5:E241)),COLUMNS($B$5:E241)),"")</f>
        <v/>
      </c>
    </row>
    <row r="242" spans="2:5" x14ac:dyDescent="0.3">
      <c r="B242" s="126" t="str">
        <f t="array" ref="B242">IFERROR(INDEX(BD[],_xlfn.AGGREGATE(15,6,IF(BD[CLASIFICACIÓN]=$B$2,ROW(BD[CLASIFICACIÓN])-ROW('PT2 (FILTRAR)'!$E$5)+1,NA()),ROWS($B$5:B242)),COLUMNS($B$5:B242)),"")</f>
        <v/>
      </c>
      <c r="C242" s="127" t="str">
        <f t="array" ref="C242">IFERROR(INDEX(BD[],_xlfn.AGGREGATE(15,6,IF(BD[CLASIFICACIÓN]=$B$2,ROW(BD[CLASIFICACIÓN])-ROW('PT2 (FILTRAR)'!$E$5)+1,NA()),ROWS($B$5:C242)),COLUMNS($B$5:C242)),"")</f>
        <v/>
      </c>
      <c r="D242" s="142" t="str">
        <f t="array" ref="D242">IFERROR(INDEX(BD[],_xlfn.AGGREGATE(15,6,IF(BD[CLASIFICACIÓN]=$B$2,ROW(BD[CLASIFICACIÓN])-ROW('PT2 (FILTRAR)'!$E$5)+1,NA()),ROWS($B$5:D242)),COLUMNS($B$5:D242)),"")</f>
        <v/>
      </c>
      <c r="E242" s="126" t="str">
        <f t="array" ref="E242">IFERROR(INDEX(BD[],_xlfn.AGGREGATE(15,6,IF(BD[CLASIFICACIÓN]=$B$2,ROW(BD[CLASIFICACIÓN])-ROW('PT2 (FILTRAR)'!$E$5)+1,NA()),ROWS($B$5:E242)),COLUMNS($B$5:E242)),"")</f>
        <v/>
      </c>
    </row>
    <row r="243" spans="2:5" x14ac:dyDescent="0.3">
      <c r="B243" s="126" t="str">
        <f t="array" ref="B243">IFERROR(INDEX(BD[],_xlfn.AGGREGATE(15,6,IF(BD[CLASIFICACIÓN]=$B$2,ROW(BD[CLASIFICACIÓN])-ROW('PT2 (FILTRAR)'!$E$5)+1,NA()),ROWS($B$5:B243)),COLUMNS($B$5:B243)),"")</f>
        <v/>
      </c>
      <c r="C243" s="127" t="str">
        <f t="array" ref="C243">IFERROR(INDEX(BD[],_xlfn.AGGREGATE(15,6,IF(BD[CLASIFICACIÓN]=$B$2,ROW(BD[CLASIFICACIÓN])-ROW('PT2 (FILTRAR)'!$E$5)+1,NA()),ROWS($B$5:C243)),COLUMNS($B$5:C243)),"")</f>
        <v/>
      </c>
      <c r="D243" s="142" t="str">
        <f t="array" ref="D243">IFERROR(INDEX(BD[],_xlfn.AGGREGATE(15,6,IF(BD[CLASIFICACIÓN]=$B$2,ROW(BD[CLASIFICACIÓN])-ROW('PT2 (FILTRAR)'!$E$5)+1,NA()),ROWS($B$5:D243)),COLUMNS($B$5:D243)),"")</f>
        <v/>
      </c>
      <c r="E243" s="126" t="str">
        <f t="array" ref="E243">IFERROR(INDEX(BD[],_xlfn.AGGREGATE(15,6,IF(BD[CLASIFICACIÓN]=$B$2,ROW(BD[CLASIFICACIÓN])-ROW('PT2 (FILTRAR)'!$E$5)+1,NA()),ROWS($B$5:E243)),COLUMNS($B$5:E243)),"")</f>
        <v/>
      </c>
    </row>
    <row r="244" spans="2:5" x14ac:dyDescent="0.3">
      <c r="B244" s="126" t="str">
        <f t="array" ref="B244">IFERROR(INDEX(BD[],_xlfn.AGGREGATE(15,6,IF(BD[CLASIFICACIÓN]=$B$2,ROW(BD[CLASIFICACIÓN])-ROW('PT2 (FILTRAR)'!$E$5)+1,NA()),ROWS($B$5:B244)),COLUMNS($B$5:B244)),"")</f>
        <v/>
      </c>
      <c r="C244" s="127" t="str">
        <f t="array" ref="C244">IFERROR(INDEX(BD[],_xlfn.AGGREGATE(15,6,IF(BD[CLASIFICACIÓN]=$B$2,ROW(BD[CLASIFICACIÓN])-ROW('PT2 (FILTRAR)'!$E$5)+1,NA()),ROWS($B$5:C244)),COLUMNS($B$5:C244)),"")</f>
        <v/>
      </c>
      <c r="D244" s="142" t="str">
        <f t="array" ref="D244">IFERROR(INDEX(BD[],_xlfn.AGGREGATE(15,6,IF(BD[CLASIFICACIÓN]=$B$2,ROW(BD[CLASIFICACIÓN])-ROW('PT2 (FILTRAR)'!$E$5)+1,NA()),ROWS($B$5:D244)),COLUMNS($B$5:D244)),"")</f>
        <v/>
      </c>
      <c r="E244" s="126" t="str">
        <f t="array" ref="E244">IFERROR(INDEX(BD[],_xlfn.AGGREGATE(15,6,IF(BD[CLASIFICACIÓN]=$B$2,ROW(BD[CLASIFICACIÓN])-ROW('PT2 (FILTRAR)'!$E$5)+1,NA()),ROWS($B$5:E244)),COLUMNS($B$5:E244)),"")</f>
        <v/>
      </c>
    </row>
    <row r="245" spans="2:5" x14ac:dyDescent="0.3">
      <c r="B245" s="126" t="str">
        <f t="array" ref="B245">IFERROR(INDEX(BD[],_xlfn.AGGREGATE(15,6,IF(BD[CLASIFICACIÓN]=$B$2,ROW(BD[CLASIFICACIÓN])-ROW('PT2 (FILTRAR)'!$E$5)+1,NA()),ROWS($B$5:B245)),COLUMNS($B$5:B245)),"")</f>
        <v/>
      </c>
      <c r="C245" s="127" t="str">
        <f t="array" ref="C245">IFERROR(INDEX(BD[],_xlfn.AGGREGATE(15,6,IF(BD[CLASIFICACIÓN]=$B$2,ROW(BD[CLASIFICACIÓN])-ROW('PT2 (FILTRAR)'!$E$5)+1,NA()),ROWS($B$5:C245)),COLUMNS($B$5:C245)),"")</f>
        <v/>
      </c>
      <c r="D245" s="142" t="str">
        <f t="array" ref="D245">IFERROR(INDEX(BD[],_xlfn.AGGREGATE(15,6,IF(BD[CLASIFICACIÓN]=$B$2,ROW(BD[CLASIFICACIÓN])-ROW('PT2 (FILTRAR)'!$E$5)+1,NA()),ROWS($B$5:D245)),COLUMNS($B$5:D245)),"")</f>
        <v/>
      </c>
      <c r="E245" s="126" t="str">
        <f t="array" ref="E245">IFERROR(INDEX(BD[],_xlfn.AGGREGATE(15,6,IF(BD[CLASIFICACIÓN]=$B$2,ROW(BD[CLASIFICACIÓN])-ROW('PT2 (FILTRAR)'!$E$5)+1,NA()),ROWS($B$5:E245)),COLUMNS($B$5:E245)),"")</f>
        <v/>
      </c>
    </row>
    <row r="246" spans="2:5" x14ac:dyDescent="0.3">
      <c r="B246" s="126" t="str">
        <f t="array" ref="B246">IFERROR(INDEX(BD[],_xlfn.AGGREGATE(15,6,IF(BD[CLASIFICACIÓN]=$B$2,ROW(BD[CLASIFICACIÓN])-ROW('PT2 (FILTRAR)'!$E$5)+1,NA()),ROWS($B$5:B246)),COLUMNS($B$5:B246)),"")</f>
        <v/>
      </c>
      <c r="C246" s="127" t="str">
        <f t="array" ref="C246">IFERROR(INDEX(BD[],_xlfn.AGGREGATE(15,6,IF(BD[CLASIFICACIÓN]=$B$2,ROW(BD[CLASIFICACIÓN])-ROW('PT2 (FILTRAR)'!$E$5)+1,NA()),ROWS($B$5:C246)),COLUMNS($B$5:C246)),"")</f>
        <v/>
      </c>
      <c r="D246" s="142" t="str">
        <f t="array" ref="D246">IFERROR(INDEX(BD[],_xlfn.AGGREGATE(15,6,IF(BD[CLASIFICACIÓN]=$B$2,ROW(BD[CLASIFICACIÓN])-ROW('PT2 (FILTRAR)'!$E$5)+1,NA()),ROWS($B$5:D246)),COLUMNS($B$5:D246)),"")</f>
        <v/>
      </c>
      <c r="E246" s="126" t="str">
        <f t="array" ref="E246">IFERROR(INDEX(BD[],_xlfn.AGGREGATE(15,6,IF(BD[CLASIFICACIÓN]=$B$2,ROW(BD[CLASIFICACIÓN])-ROW('PT2 (FILTRAR)'!$E$5)+1,NA()),ROWS($B$5:E246)),COLUMNS($B$5:E246)),"")</f>
        <v/>
      </c>
    </row>
    <row r="247" spans="2:5" x14ac:dyDescent="0.3">
      <c r="B247" s="126" t="str">
        <f t="array" ref="B247">IFERROR(INDEX(BD[],_xlfn.AGGREGATE(15,6,IF(BD[CLASIFICACIÓN]=$B$2,ROW(BD[CLASIFICACIÓN])-ROW('PT2 (FILTRAR)'!$E$5)+1,NA()),ROWS($B$5:B247)),COLUMNS($B$5:B247)),"")</f>
        <v/>
      </c>
      <c r="C247" s="127" t="str">
        <f t="array" ref="C247">IFERROR(INDEX(BD[],_xlfn.AGGREGATE(15,6,IF(BD[CLASIFICACIÓN]=$B$2,ROW(BD[CLASIFICACIÓN])-ROW('PT2 (FILTRAR)'!$E$5)+1,NA()),ROWS($B$5:C247)),COLUMNS($B$5:C247)),"")</f>
        <v/>
      </c>
      <c r="D247" s="142" t="str">
        <f t="array" ref="D247">IFERROR(INDEX(BD[],_xlfn.AGGREGATE(15,6,IF(BD[CLASIFICACIÓN]=$B$2,ROW(BD[CLASIFICACIÓN])-ROW('PT2 (FILTRAR)'!$E$5)+1,NA()),ROWS($B$5:D247)),COLUMNS($B$5:D247)),"")</f>
        <v/>
      </c>
      <c r="E247" s="126" t="str">
        <f t="array" ref="E247">IFERROR(INDEX(BD[],_xlfn.AGGREGATE(15,6,IF(BD[CLASIFICACIÓN]=$B$2,ROW(BD[CLASIFICACIÓN])-ROW('PT2 (FILTRAR)'!$E$5)+1,NA()),ROWS($B$5:E247)),COLUMNS($B$5:E247)),"")</f>
        <v/>
      </c>
    </row>
    <row r="248" spans="2:5" x14ac:dyDescent="0.3">
      <c r="B248" s="126" t="str">
        <f t="array" ref="B248">IFERROR(INDEX(BD[],_xlfn.AGGREGATE(15,6,IF(BD[CLASIFICACIÓN]=$B$2,ROW(BD[CLASIFICACIÓN])-ROW('PT2 (FILTRAR)'!$E$5)+1,NA()),ROWS($B$5:B248)),COLUMNS($B$5:B248)),"")</f>
        <v/>
      </c>
      <c r="C248" s="127" t="str">
        <f t="array" ref="C248">IFERROR(INDEX(BD[],_xlfn.AGGREGATE(15,6,IF(BD[CLASIFICACIÓN]=$B$2,ROW(BD[CLASIFICACIÓN])-ROW('PT2 (FILTRAR)'!$E$5)+1,NA()),ROWS($B$5:C248)),COLUMNS($B$5:C248)),"")</f>
        <v/>
      </c>
      <c r="D248" s="142" t="str">
        <f t="array" ref="D248">IFERROR(INDEX(BD[],_xlfn.AGGREGATE(15,6,IF(BD[CLASIFICACIÓN]=$B$2,ROW(BD[CLASIFICACIÓN])-ROW('PT2 (FILTRAR)'!$E$5)+1,NA()),ROWS($B$5:D248)),COLUMNS($B$5:D248)),"")</f>
        <v/>
      </c>
      <c r="E248" s="126" t="str">
        <f t="array" ref="E248">IFERROR(INDEX(BD[],_xlfn.AGGREGATE(15,6,IF(BD[CLASIFICACIÓN]=$B$2,ROW(BD[CLASIFICACIÓN])-ROW('PT2 (FILTRAR)'!$E$5)+1,NA()),ROWS($B$5:E248)),COLUMNS($B$5:E248)),"")</f>
        <v/>
      </c>
    </row>
    <row r="249" spans="2:5" x14ac:dyDescent="0.3">
      <c r="B249" s="126" t="str">
        <f t="array" ref="B249">IFERROR(INDEX(BD[],_xlfn.AGGREGATE(15,6,IF(BD[CLASIFICACIÓN]=$B$2,ROW(BD[CLASIFICACIÓN])-ROW('PT2 (FILTRAR)'!$E$5)+1,NA()),ROWS($B$5:B249)),COLUMNS($B$5:B249)),"")</f>
        <v/>
      </c>
      <c r="C249" s="127" t="str">
        <f t="array" ref="C249">IFERROR(INDEX(BD[],_xlfn.AGGREGATE(15,6,IF(BD[CLASIFICACIÓN]=$B$2,ROW(BD[CLASIFICACIÓN])-ROW('PT2 (FILTRAR)'!$E$5)+1,NA()),ROWS($B$5:C249)),COLUMNS($B$5:C249)),"")</f>
        <v/>
      </c>
      <c r="D249" s="142" t="str">
        <f t="array" ref="D249">IFERROR(INDEX(BD[],_xlfn.AGGREGATE(15,6,IF(BD[CLASIFICACIÓN]=$B$2,ROW(BD[CLASIFICACIÓN])-ROW('PT2 (FILTRAR)'!$E$5)+1,NA()),ROWS($B$5:D249)),COLUMNS($B$5:D249)),"")</f>
        <v/>
      </c>
      <c r="E249" s="126" t="str">
        <f t="array" ref="E249">IFERROR(INDEX(BD[],_xlfn.AGGREGATE(15,6,IF(BD[CLASIFICACIÓN]=$B$2,ROW(BD[CLASIFICACIÓN])-ROW('PT2 (FILTRAR)'!$E$5)+1,NA()),ROWS($B$5:E249)),COLUMNS($B$5:E249)),"")</f>
        <v/>
      </c>
    </row>
    <row r="250" spans="2:5" x14ac:dyDescent="0.3">
      <c r="B250" s="126" t="str">
        <f t="array" ref="B250">IFERROR(INDEX(BD[],_xlfn.AGGREGATE(15,6,IF(BD[CLASIFICACIÓN]=$B$2,ROW(BD[CLASIFICACIÓN])-ROW('PT2 (FILTRAR)'!$E$5)+1,NA()),ROWS($B$5:B250)),COLUMNS($B$5:B250)),"")</f>
        <v/>
      </c>
      <c r="C250" s="127" t="str">
        <f t="array" ref="C250">IFERROR(INDEX(BD[],_xlfn.AGGREGATE(15,6,IF(BD[CLASIFICACIÓN]=$B$2,ROW(BD[CLASIFICACIÓN])-ROW('PT2 (FILTRAR)'!$E$5)+1,NA()),ROWS($B$5:C250)),COLUMNS($B$5:C250)),"")</f>
        <v/>
      </c>
      <c r="D250" s="142" t="str">
        <f t="array" ref="D250">IFERROR(INDEX(BD[],_xlfn.AGGREGATE(15,6,IF(BD[CLASIFICACIÓN]=$B$2,ROW(BD[CLASIFICACIÓN])-ROW('PT2 (FILTRAR)'!$E$5)+1,NA()),ROWS($B$5:D250)),COLUMNS($B$5:D250)),"")</f>
        <v/>
      </c>
      <c r="E250" s="126" t="str">
        <f t="array" ref="E250">IFERROR(INDEX(BD[],_xlfn.AGGREGATE(15,6,IF(BD[CLASIFICACIÓN]=$B$2,ROW(BD[CLASIFICACIÓN])-ROW('PT2 (FILTRAR)'!$E$5)+1,NA()),ROWS($B$5:E250)),COLUMNS($B$5:E250)),"")</f>
        <v/>
      </c>
    </row>
    <row r="251" spans="2:5" x14ac:dyDescent="0.3">
      <c r="B251" s="126" t="str">
        <f t="array" ref="B251">IFERROR(INDEX(BD[],_xlfn.AGGREGATE(15,6,IF(BD[CLASIFICACIÓN]=$B$2,ROW(BD[CLASIFICACIÓN])-ROW('PT2 (FILTRAR)'!$E$5)+1,NA()),ROWS($B$5:B251)),COLUMNS($B$5:B251)),"")</f>
        <v/>
      </c>
      <c r="C251" s="127" t="str">
        <f t="array" ref="C251">IFERROR(INDEX(BD[],_xlfn.AGGREGATE(15,6,IF(BD[CLASIFICACIÓN]=$B$2,ROW(BD[CLASIFICACIÓN])-ROW('PT2 (FILTRAR)'!$E$5)+1,NA()),ROWS($B$5:C251)),COLUMNS($B$5:C251)),"")</f>
        <v/>
      </c>
      <c r="D251" s="142" t="str">
        <f t="array" ref="D251">IFERROR(INDEX(BD[],_xlfn.AGGREGATE(15,6,IF(BD[CLASIFICACIÓN]=$B$2,ROW(BD[CLASIFICACIÓN])-ROW('PT2 (FILTRAR)'!$E$5)+1,NA()),ROWS($B$5:D251)),COLUMNS($B$5:D251)),"")</f>
        <v/>
      </c>
      <c r="E251" s="126" t="str">
        <f t="array" ref="E251">IFERROR(INDEX(BD[],_xlfn.AGGREGATE(15,6,IF(BD[CLASIFICACIÓN]=$B$2,ROW(BD[CLASIFICACIÓN])-ROW('PT2 (FILTRAR)'!$E$5)+1,NA()),ROWS($B$5:E251)),COLUMNS($B$5:E251)),"")</f>
        <v/>
      </c>
    </row>
    <row r="252" spans="2:5" x14ac:dyDescent="0.3">
      <c r="B252" s="126" t="str">
        <f t="array" ref="B252">IFERROR(INDEX(BD[],_xlfn.AGGREGATE(15,6,IF(BD[CLASIFICACIÓN]=$B$2,ROW(BD[CLASIFICACIÓN])-ROW('PT2 (FILTRAR)'!$E$5)+1,NA()),ROWS($B$5:B252)),COLUMNS($B$5:B252)),"")</f>
        <v/>
      </c>
      <c r="C252" s="127" t="str">
        <f t="array" ref="C252">IFERROR(INDEX(BD[],_xlfn.AGGREGATE(15,6,IF(BD[CLASIFICACIÓN]=$B$2,ROW(BD[CLASIFICACIÓN])-ROW('PT2 (FILTRAR)'!$E$5)+1,NA()),ROWS($B$5:C252)),COLUMNS($B$5:C252)),"")</f>
        <v/>
      </c>
      <c r="D252" s="142" t="str">
        <f t="array" ref="D252">IFERROR(INDEX(BD[],_xlfn.AGGREGATE(15,6,IF(BD[CLASIFICACIÓN]=$B$2,ROW(BD[CLASIFICACIÓN])-ROW('PT2 (FILTRAR)'!$E$5)+1,NA()),ROWS($B$5:D252)),COLUMNS($B$5:D252)),"")</f>
        <v/>
      </c>
      <c r="E252" s="126" t="str">
        <f t="array" ref="E252">IFERROR(INDEX(BD[],_xlfn.AGGREGATE(15,6,IF(BD[CLASIFICACIÓN]=$B$2,ROW(BD[CLASIFICACIÓN])-ROW('PT2 (FILTRAR)'!$E$5)+1,NA()),ROWS($B$5:E252)),COLUMNS($B$5:E252)),"")</f>
        <v/>
      </c>
    </row>
    <row r="253" spans="2:5" x14ac:dyDescent="0.3">
      <c r="B253" s="126" t="str">
        <f t="array" ref="B253">IFERROR(INDEX(BD[],_xlfn.AGGREGATE(15,6,IF(BD[CLASIFICACIÓN]=$B$2,ROW(BD[CLASIFICACIÓN])-ROW('PT2 (FILTRAR)'!$E$5)+1,NA()),ROWS($B$5:B253)),COLUMNS($B$5:B253)),"")</f>
        <v/>
      </c>
      <c r="C253" s="127" t="str">
        <f t="array" ref="C253">IFERROR(INDEX(BD[],_xlfn.AGGREGATE(15,6,IF(BD[CLASIFICACIÓN]=$B$2,ROW(BD[CLASIFICACIÓN])-ROW('PT2 (FILTRAR)'!$E$5)+1,NA()),ROWS($B$5:C253)),COLUMNS($B$5:C253)),"")</f>
        <v/>
      </c>
      <c r="D253" s="142" t="str">
        <f t="array" ref="D253">IFERROR(INDEX(BD[],_xlfn.AGGREGATE(15,6,IF(BD[CLASIFICACIÓN]=$B$2,ROW(BD[CLASIFICACIÓN])-ROW('PT2 (FILTRAR)'!$E$5)+1,NA()),ROWS($B$5:D253)),COLUMNS($B$5:D253)),"")</f>
        <v/>
      </c>
      <c r="E253" s="126" t="str">
        <f t="array" ref="E253">IFERROR(INDEX(BD[],_xlfn.AGGREGATE(15,6,IF(BD[CLASIFICACIÓN]=$B$2,ROW(BD[CLASIFICACIÓN])-ROW('PT2 (FILTRAR)'!$E$5)+1,NA()),ROWS($B$5:E253)),COLUMNS($B$5:E253)),"")</f>
        <v/>
      </c>
    </row>
    <row r="254" spans="2:5" x14ac:dyDescent="0.3">
      <c r="B254" s="126" t="str">
        <f t="array" ref="B254">IFERROR(INDEX(BD[],_xlfn.AGGREGATE(15,6,IF(BD[CLASIFICACIÓN]=$B$2,ROW(BD[CLASIFICACIÓN])-ROW('PT2 (FILTRAR)'!$E$5)+1,NA()),ROWS($B$5:B254)),COLUMNS($B$5:B254)),"")</f>
        <v/>
      </c>
      <c r="C254" s="127" t="str">
        <f t="array" ref="C254">IFERROR(INDEX(BD[],_xlfn.AGGREGATE(15,6,IF(BD[CLASIFICACIÓN]=$B$2,ROW(BD[CLASIFICACIÓN])-ROW('PT2 (FILTRAR)'!$E$5)+1,NA()),ROWS($B$5:C254)),COLUMNS($B$5:C254)),"")</f>
        <v/>
      </c>
      <c r="D254" s="142" t="str">
        <f t="array" ref="D254">IFERROR(INDEX(BD[],_xlfn.AGGREGATE(15,6,IF(BD[CLASIFICACIÓN]=$B$2,ROW(BD[CLASIFICACIÓN])-ROW('PT2 (FILTRAR)'!$E$5)+1,NA()),ROWS($B$5:D254)),COLUMNS($B$5:D254)),"")</f>
        <v/>
      </c>
      <c r="E254" s="126" t="str">
        <f t="array" ref="E254">IFERROR(INDEX(BD[],_xlfn.AGGREGATE(15,6,IF(BD[CLASIFICACIÓN]=$B$2,ROW(BD[CLASIFICACIÓN])-ROW('PT2 (FILTRAR)'!$E$5)+1,NA()),ROWS($B$5:E254)),COLUMNS($B$5:E254)),"")</f>
        <v/>
      </c>
    </row>
    <row r="255" spans="2:5" x14ac:dyDescent="0.3">
      <c r="B255" s="126" t="str">
        <f t="array" ref="B255">IFERROR(INDEX(BD[],_xlfn.AGGREGATE(15,6,IF(BD[CLASIFICACIÓN]=$B$2,ROW(BD[CLASIFICACIÓN])-ROW('PT2 (FILTRAR)'!$E$5)+1,NA()),ROWS($B$5:B255)),COLUMNS($B$5:B255)),"")</f>
        <v/>
      </c>
      <c r="C255" s="127" t="str">
        <f t="array" ref="C255">IFERROR(INDEX(BD[],_xlfn.AGGREGATE(15,6,IF(BD[CLASIFICACIÓN]=$B$2,ROW(BD[CLASIFICACIÓN])-ROW('PT2 (FILTRAR)'!$E$5)+1,NA()),ROWS($B$5:C255)),COLUMNS($B$5:C255)),"")</f>
        <v/>
      </c>
      <c r="D255" s="142" t="str">
        <f t="array" ref="D255">IFERROR(INDEX(BD[],_xlfn.AGGREGATE(15,6,IF(BD[CLASIFICACIÓN]=$B$2,ROW(BD[CLASIFICACIÓN])-ROW('PT2 (FILTRAR)'!$E$5)+1,NA()),ROWS($B$5:D255)),COLUMNS($B$5:D255)),"")</f>
        <v/>
      </c>
      <c r="E255" s="126" t="str">
        <f t="array" ref="E255">IFERROR(INDEX(BD[],_xlfn.AGGREGATE(15,6,IF(BD[CLASIFICACIÓN]=$B$2,ROW(BD[CLASIFICACIÓN])-ROW('PT2 (FILTRAR)'!$E$5)+1,NA()),ROWS($B$5:E255)),COLUMNS($B$5:E255)),"")</f>
        <v/>
      </c>
    </row>
    <row r="256" spans="2:5" x14ac:dyDescent="0.3">
      <c r="B256" s="126" t="str">
        <f t="array" ref="B256">IFERROR(INDEX(BD[],_xlfn.AGGREGATE(15,6,IF(BD[CLASIFICACIÓN]=$B$2,ROW(BD[CLASIFICACIÓN])-ROW('PT2 (FILTRAR)'!$E$5)+1,NA()),ROWS($B$5:B256)),COLUMNS($B$5:B256)),"")</f>
        <v/>
      </c>
      <c r="C256" s="127" t="str">
        <f t="array" ref="C256">IFERROR(INDEX(BD[],_xlfn.AGGREGATE(15,6,IF(BD[CLASIFICACIÓN]=$B$2,ROW(BD[CLASIFICACIÓN])-ROW('PT2 (FILTRAR)'!$E$5)+1,NA()),ROWS($B$5:C256)),COLUMNS($B$5:C256)),"")</f>
        <v/>
      </c>
      <c r="D256" s="142" t="str">
        <f t="array" ref="D256">IFERROR(INDEX(BD[],_xlfn.AGGREGATE(15,6,IF(BD[CLASIFICACIÓN]=$B$2,ROW(BD[CLASIFICACIÓN])-ROW('PT2 (FILTRAR)'!$E$5)+1,NA()),ROWS($B$5:D256)),COLUMNS($B$5:D256)),"")</f>
        <v/>
      </c>
      <c r="E256" s="126" t="str">
        <f t="array" ref="E256">IFERROR(INDEX(BD[],_xlfn.AGGREGATE(15,6,IF(BD[CLASIFICACIÓN]=$B$2,ROW(BD[CLASIFICACIÓN])-ROW('PT2 (FILTRAR)'!$E$5)+1,NA()),ROWS($B$5:E256)),COLUMNS($B$5:E256)),"")</f>
        <v/>
      </c>
    </row>
    <row r="257" spans="2:5" x14ac:dyDescent="0.3">
      <c r="B257" s="126" t="str">
        <f t="array" ref="B257">IFERROR(INDEX(BD[],_xlfn.AGGREGATE(15,6,IF(BD[CLASIFICACIÓN]=$B$2,ROW(BD[CLASIFICACIÓN])-ROW('PT2 (FILTRAR)'!$E$5)+1,NA()),ROWS($B$5:B257)),COLUMNS($B$5:B257)),"")</f>
        <v/>
      </c>
      <c r="C257" s="127" t="str">
        <f t="array" ref="C257">IFERROR(INDEX(BD[],_xlfn.AGGREGATE(15,6,IF(BD[CLASIFICACIÓN]=$B$2,ROW(BD[CLASIFICACIÓN])-ROW('PT2 (FILTRAR)'!$E$5)+1,NA()),ROWS($B$5:C257)),COLUMNS($B$5:C257)),"")</f>
        <v/>
      </c>
      <c r="D257" s="142" t="str">
        <f t="array" ref="D257">IFERROR(INDEX(BD[],_xlfn.AGGREGATE(15,6,IF(BD[CLASIFICACIÓN]=$B$2,ROW(BD[CLASIFICACIÓN])-ROW('PT2 (FILTRAR)'!$E$5)+1,NA()),ROWS($B$5:D257)),COLUMNS($B$5:D257)),"")</f>
        <v/>
      </c>
      <c r="E257" s="126" t="str">
        <f t="array" ref="E257">IFERROR(INDEX(BD[],_xlfn.AGGREGATE(15,6,IF(BD[CLASIFICACIÓN]=$B$2,ROW(BD[CLASIFICACIÓN])-ROW('PT2 (FILTRAR)'!$E$5)+1,NA()),ROWS($B$5:E257)),COLUMNS($B$5:E257)),"")</f>
        <v/>
      </c>
    </row>
    <row r="258" spans="2:5" x14ac:dyDescent="0.3">
      <c r="B258" s="126" t="str">
        <f t="array" ref="B258">IFERROR(INDEX(BD[],_xlfn.AGGREGATE(15,6,IF(BD[CLASIFICACIÓN]=$B$2,ROW(BD[CLASIFICACIÓN])-ROW('PT2 (FILTRAR)'!$E$5)+1,NA()),ROWS($B$5:B258)),COLUMNS($B$5:B258)),"")</f>
        <v/>
      </c>
      <c r="C258" s="127" t="str">
        <f t="array" ref="C258">IFERROR(INDEX(BD[],_xlfn.AGGREGATE(15,6,IF(BD[CLASIFICACIÓN]=$B$2,ROW(BD[CLASIFICACIÓN])-ROW('PT2 (FILTRAR)'!$E$5)+1,NA()),ROWS($B$5:C258)),COLUMNS($B$5:C258)),"")</f>
        <v/>
      </c>
      <c r="D258" s="142" t="str">
        <f t="array" ref="D258">IFERROR(INDEX(BD[],_xlfn.AGGREGATE(15,6,IF(BD[CLASIFICACIÓN]=$B$2,ROW(BD[CLASIFICACIÓN])-ROW('PT2 (FILTRAR)'!$E$5)+1,NA()),ROWS($B$5:D258)),COLUMNS($B$5:D258)),"")</f>
        <v/>
      </c>
      <c r="E258" s="126" t="str">
        <f t="array" ref="E258">IFERROR(INDEX(BD[],_xlfn.AGGREGATE(15,6,IF(BD[CLASIFICACIÓN]=$B$2,ROW(BD[CLASIFICACIÓN])-ROW('PT2 (FILTRAR)'!$E$5)+1,NA()),ROWS($B$5:E258)),COLUMNS($B$5:E258)),"")</f>
        <v/>
      </c>
    </row>
    <row r="259" spans="2:5" x14ac:dyDescent="0.3">
      <c r="B259" s="126" t="str">
        <f t="array" ref="B259">IFERROR(INDEX(BD[],_xlfn.AGGREGATE(15,6,IF(BD[CLASIFICACIÓN]=$B$2,ROW(BD[CLASIFICACIÓN])-ROW('PT2 (FILTRAR)'!$E$5)+1,NA()),ROWS($B$5:B259)),COLUMNS($B$5:B259)),"")</f>
        <v/>
      </c>
      <c r="C259" s="127" t="str">
        <f t="array" ref="C259">IFERROR(INDEX(BD[],_xlfn.AGGREGATE(15,6,IF(BD[CLASIFICACIÓN]=$B$2,ROW(BD[CLASIFICACIÓN])-ROW('PT2 (FILTRAR)'!$E$5)+1,NA()),ROWS($B$5:C259)),COLUMNS($B$5:C259)),"")</f>
        <v/>
      </c>
      <c r="D259" s="142" t="str">
        <f t="array" ref="D259">IFERROR(INDEX(BD[],_xlfn.AGGREGATE(15,6,IF(BD[CLASIFICACIÓN]=$B$2,ROW(BD[CLASIFICACIÓN])-ROW('PT2 (FILTRAR)'!$E$5)+1,NA()),ROWS($B$5:D259)),COLUMNS($B$5:D259)),"")</f>
        <v/>
      </c>
      <c r="E259" s="126" t="str">
        <f t="array" ref="E259">IFERROR(INDEX(BD[],_xlfn.AGGREGATE(15,6,IF(BD[CLASIFICACIÓN]=$B$2,ROW(BD[CLASIFICACIÓN])-ROW('PT2 (FILTRAR)'!$E$5)+1,NA()),ROWS($B$5:E259)),COLUMNS($B$5:E259)),"")</f>
        <v/>
      </c>
    </row>
    <row r="260" spans="2:5" x14ac:dyDescent="0.3">
      <c r="B260" s="126" t="str">
        <f t="array" ref="B260">IFERROR(INDEX(BD[],_xlfn.AGGREGATE(15,6,IF(BD[CLASIFICACIÓN]=$B$2,ROW(BD[CLASIFICACIÓN])-ROW('PT2 (FILTRAR)'!$E$5)+1,NA()),ROWS($B$5:B260)),COLUMNS($B$5:B260)),"")</f>
        <v/>
      </c>
      <c r="C260" s="127" t="str">
        <f t="array" ref="C260">IFERROR(INDEX(BD[],_xlfn.AGGREGATE(15,6,IF(BD[CLASIFICACIÓN]=$B$2,ROW(BD[CLASIFICACIÓN])-ROW('PT2 (FILTRAR)'!$E$5)+1,NA()),ROWS($B$5:C260)),COLUMNS($B$5:C260)),"")</f>
        <v/>
      </c>
      <c r="D260" s="142" t="str">
        <f t="array" ref="D260">IFERROR(INDEX(BD[],_xlfn.AGGREGATE(15,6,IF(BD[CLASIFICACIÓN]=$B$2,ROW(BD[CLASIFICACIÓN])-ROW('PT2 (FILTRAR)'!$E$5)+1,NA()),ROWS($B$5:D260)),COLUMNS($B$5:D260)),"")</f>
        <v/>
      </c>
      <c r="E260" s="126" t="str">
        <f t="array" ref="E260">IFERROR(INDEX(BD[],_xlfn.AGGREGATE(15,6,IF(BD[CLASIFICACIÓN]=$B$2,ROW(BD[CLASIFICACIÓN])-ROW('PT2 (FILTRAR)'!$E$5)+1,NA()),ROWS($B$5:E260)),COLUMNS($B$5:E260)),"")</f>
        <v/>
      </c>
    </row>
    <row r="261" spans="2:5" x14ac:dyDescent="0.3">
      <c r="B261" s="126" t="str">
        <f t="array" ref="B261">IFERROR(INDEX(BD[],_xlfn.AGGREGATE(15,6,IF(BD[CLASIFICACIÓN]=$B$2,ROW(BD[CLASIFICACIÓN])-ROW('PT2 (FILTRAR)'!$E$5)+1,NA()),ROWS($B$5:B261)),COLUMNS($B$5:B261)),"")</f>
        <v/>
      </c>
      <c r="C261" s="127" t="str">
        <f t="array" ref="C261">IFERROR(INDEX(BD[],_xlfn.AGGREGATE(15,6,IF(BD[CLASIFICACIÓN]=$B$2,ROW(BD[CLASIFICACIÓN])-ROW('PT2 (FILTRAR)'!$E$5)+1,NA()),ROWS($B$5:C261)),COLUMNS($B$5:C261)),"")</f>
        <v/>
      </c>
      <c r="D261" s="142" t="str">
        <f t="array" ref="D261">IFERROR(INDEX(BD[],_xlfn.AGGREGATE(15,6,IF(BD[CLASIFICACIÓN]=$B$2,ROW(BD[CLASIFICACIÓN])-ROW('PT2 (FILTRAR)'!$E$5)+1,NA()),ROWS($B$5:D261)),COLUMNS($B$5:D261)),"")</f>
        <v/>
      </c>
      <c r="E261" s="126" t="str">
        <f t="array" ref="E261">IFERROR(INDEX(BD[],_xlfn.AGGREGATE(15,6,IF(BD[CLASIFICACIÓN]=$B$2,ROW(BD[CLASIFICACIÓN])-ROW('PT2 (FILTRAR)'!$E$5)+1,NA()),ROWS($B$5:E261)),COLUMNS($B$5:E261)),"")</f>
        <v/>
      </c>
    </row>
    <row r="262" spans="2:5" x14ac:dyDescent="0.3">
      <c r="B262" s="126" t="str">
        <f t="array" ref="B262">IFERROR(INDEX(BD[],_xlfn.AGGREGATE(15,6,IF(BD[CLASIFICACIÓN]=$B$2,ROW(BD[CLASIFICACIÓN])-ROW('PT2 (FILTRAR)'!$E$5)+1,NA()),ROWS($B$5:B262)),COLUMNS($B$5:B262)),"")</f>
        <v/>
      </c>
      <c r="C262" s="127" t="str">
        <f t="array" ref="C262">IFERROR(INDEX(BD[],_xlfn.AGGREGATE(15,6,IF(BD[CLASIFICACIÓN]=$B$2,ROW(BD[CLASIFICACIÓN])-ROW('PT2 (FILTRAR)'!$E$5)+1,NA()),ROWS($B$5:C262)),COLUMNS($B$5:C262)),"")</f>
        <v/>
      </c>
      <c r="D262" s="142" t="str">
        <f t="array" ref="D262">IFERROR(INDEX(BD[],_xlfn.AGGREGATE(15,6,IF(BD[CLASIFICACIÓN]=$B$2,ROW(BD[CLASIFICACIÓN])-ROW('PT2 (FILTRAR)'!$E$5)+1,NA()),ROWS($B$5:D262)),COLUMNS($B$5:D262)),"")</f>
        <v/>
      </c>
      <c r="E262" s="126" t="str">
        <f t="array" ref="E262">IFERROR(INDEX(BD[],_xlfn.AGGREGATE(15,6,IF(BD[CLASIFICACIÓN]=$B$2,ROW(BD[CLASIFICACIÓN])-ROW('PT2 (FILTRAR)'!$E$5)+1,NA()),ROWS($B$5:E262)),COLUMNS($B$5:E262)),"")</f>
        <v/>
      </c>
    </row>
    <row r="263" spans="2:5" x14ac:dyDescent="0.3">
      <c r="B263" s="126" t="str">
        <f t="array" ref="B263">IFERROR(INDEX(BD[],_xlfn.AGGREGATE(15,6,IF(BD[CLASIFICACIÓN]=$B$2,ROW(BD[CLASIFICACIÓN])-ROW('PT2 (FILTRAR)'!$E$5)+1,NA()),ROWS($B$5:B263)),COLUMNS($B$5:B263)),"")</f>
        <v/>
      </c>
      <c r="C263" s="127" t="str">
        <f t="array" ref="C263">IFERROR(INDEX(BD[],_xlfn.AGGREGATE(15,6,IF(BD[CLASIFICACIÓN]=$B$2,ROW(BD[CLASIFICACIÓN])-ROW('PT2 (FILTRAR)'!$E$5)+1,NA()),ROWS($B$5:C263)),COLUMNS($B$5:C263)),"")</f>
        <v/>
      </c>
      <c r="D263" s="142" t="str">
        <f t="array" ref="D263">IFERROR(INDEX(BD[],_xlfn.AGGREGATE(15,6,IF(BD[CLASIFICACIÓN]=$B$2,ROW(BD[CLASIFICACIÓN])-ROW('PT2 (FILTRAR)'!$E$5)+1,NA()),ROWS($B$5:D263)),COLUMNS($B$5:D263)),"")</f>
        <v/>
      </c>
      <c r="E263" s="126" t="str">
        <f t="array" ref="E263">IFERROR(INDEX(BD[],_xlfn.AGGREGATE(15,6,IF(BD[CLASIFICACIÓN]=$B$2,ROW(BD[CLASIFICACIÓN])-ROW('PT2 (FILTRAR)'!$E$5)+1,NA()),ROWS($B$5:E263)),COLUMNS($B$5:E263)),"")</f>
        <v/>
      </c>
    </row>
    <row r="264" spans="2:5" x14ac:dyDescent="0.3">
      <c r="B264" s="126" t="str">
        <f t="array" ref="B264">IFERROR(INDEX(BD[],_xlfn.AGGREGATE(15,6,IF(BD[CLASIFICACIÓN]=$B$2,ROW(BD[CLASIFICACIÓN])-ROW('PT2 (FILTRAR)'!$E$5)+1,NA()),ROWS($B$5:B264)),COLUMNS($B$5:B264)),"")</f>
        <v/>
      </c>
      <c r="C264" s="127" t="str">
        <f t="array" ref="C264">IFERROR(INDEX(BD[],_xlfn.AGGREGATE(15,6,IF(BD[CLASIFICACIÓN]=$B$2,ROW(BD[CLASIFICACIÓN])-ROW('PT2 (FILTRAR)'!$E$5)+1,NA()),ROWS($B$5:C264)),COLUMNS($B$5:C264)),"")</f>
        <v/>
      </c>
      <c r="D264" s="142" t="str">
        <f t="array" ref="D264">IFERROR(INDEX(BD[],_xlfn.AGGREGATE(15,6,IF(BD[CLASIFICACIÓN]=$B$2,ROW(BD[CLASIFICACIÓN])-ROW('PT2 (FILTRAR)'!$E$5)+1,NA()),ROWS($B$5:D264)),COLUMNS($B$5:D264)),"")</f>
        <v/>
      </c>
      <c r="E264" s="126" t="str">
        <f t="array" ref="E264">IFERROR(INDEX(BD[],_xlfn.AGGREGATE(15,6,IF(BD[CLASIFICACIÓN]=$B$2,ROW(BD[CLASIFICACIÓN])-ROW('PT2 (FILTRAR)'!$E$5)+1,NA()),ROWS($B$5:E264)),COLUMNS($B$5:E264)),"")</f>
        <v/>
      </c>
    </row>
    <row r="265" spans="2:5" x14ac:dyDescent="0.3">
      <c r="B265" s="126" t="str">
        <f t="array" ref="B265">IFERROR(INDEX(BD[],_xlfn.AGGREGATE(15,6,IF(BD[CLASIFICACIÓN]=$B$2,ROW(BD[CLASIFICACIÓN])-ROW('PT2 (FILTRAR)'!$E$5)+1,NA()),ROWS($B$5:B265)),COLUMNS($B$5:B265)),"")</f>
        <v/>
      </c>
      <c r="C265" s="127" t="str">
        <f t="array" ref="C265">IFERROR(INDEX(BD[],_xlfn.AGGREGATE(15,6,IF(BD[CLASIFICACIÓN]=$B$2,ROW(BD[CLASIFICACIÓN])-ROW('PT2 (FILTRAR)'!$E$5)+1,NA()),ROWS($B$5:C265)),COLUMNS($B$5:C265)),"")</f>
        <v/>
      </c>
      <c r="D265" s="142" t="str">
        <f t="array" ref="D265">IFERROR(INDEX(BD[],_xlfn.AGGREGATE(15,6,IF(BD[CLASIFICACIÓN]=$B$2,ROW(BD[CLASIFICACIÓN])-ROW('PT2 (FILTRAR)'!$E$5)+1,NA()),ROWS($B$5:D265)),COLUMNS($B$5:D265)),"")</f>
        <v/>
      </c>
      <c r="E265" s="126" t="str">
        <f t="array" ref="E265">IFERROR(INDEX(BD[],_xlfn.AGGREGATE(15,6,IF(BD[CLASIFICACIÓN]=$B$2,ROW(BD[CLASIFICACIÓN])-ROW('PT2 (FILTRAR)'!$E$5)+1,NA()),ROWS($B$5:E265)),COLUMNS($B$5:E265)),"")</f>
        <v/>
      </c>
    </row>
    <row r="266" spans="2:5" x14ac:dyDescent="0.3">
      <c r="B266" s="126" t="str">
        <f t="array" ref="B266">IFERROR(INDEX(BD[],_xlfn.AGGREGATE(15,6,IF(BD[CLASIFICACIÓN]=$B$2,ROW(BD[CLASIFICACIÓN])-ROW('PT2 (FILTRAR)'!$E$5)+1,NA()),ROWS($B$5:B266)),COLUMNS($B$5:B266)),"")</f>
        <v/>
      </c>
      <c r="C266" s="127" t="str">
        <f t="array" ref="C266">IFERROR(INDEX(BD[],_xlfn.AGGREGATE(15,6,IF(BD[CLASIFICACIÓN]=$B$2,ROW(BD[CLASIFICACIÓN])-ROW('PT2 (FILTRAR)'!$E$5)+1,NA()),ROWS($B$5:C266)),COLUMNS($B$5:C266)),"")</f>
        <v/>
      </c>
      <c r="D266" s="142" t="str">
        <f t="array" ref="D266">IFERROR(INDEX(BD[],_xlfn.AGGREGATE(15,6,IF(BD[CLASIFICACIÓN]=$B$2,ROW(BD[CLASIFICACIÓN])-ROW('PT2 (FILTRAR)'!$E$5)+1,NA()),ROWS($B$5:D266)),COLUMNS($B$5:D266)),"")</f>
        <v/>
      </c>
      <c r="E266" s="126" t="str">
        <f t="array" ref="E266">IFERROR(INDEX(BD[],_xlfn.AGGREGATE(15,6,IF(BD[CLASIFICACIÓN]=$B$2,ROW(BD[CLASIFICACIÓN])-ROW('PT2 (FILTRAR)'!$E$5)+1,NA()),ROWS($B$5:E266)),COLUMNS($B$5:E266)),"")</f>
        <v/>
      </c>
    </row>
    <row r="267" spans="2:5" x14ac:dyDescent="0.3">
      <c r="B267" s="126" t="str">
        <f t="array" ref="B267">IFERROR(INDEX(BD[],_xlfn.AGGREGATE(15,6,IF(BD[CLASIFICACIÓN]=$B$2,ROW(BD[CLASIFICACIÓN])-ROW('PT2 (FILTRAR)'!$E$5)+1,NA()),ROWS($B$5:B267)),COLUMNS($B$5:B267)),"")</f>
        <v/>
      </c>
      <c r="C267" s="127" t="str">
        <f t="array" ref="C267">IFERROR(INDEX(BD[],_xlfn.AGGREGATE(15,6,IF(BD[CLASIFICACIÓN]=$B$2,ROW(BD[CLASIFICACIÓN])-ROW('PT2 (FILTRAR)'!$E$5)+1,NA()),ROWS($B$5:C267)),COLUMNS($B$5:C267)),"")</f>
        <v/>
      </c>
      <c r="D267" s="142" t="str">
        <f t="array" ref="D267">IFERROR(INDEX(BD[],_xlfn.AGGREGATE(15,6,IF(BD[CLASIFICACIÓN]=$B$2,ROW(BD[CLASIFICACIÓN])-ROW('PT2 (FILTRAR)'!$E$5)+1,NA()),ROWS($B$5:D267)),COLUMNS($B$5:D267)),"")</f>
        <v/>
      </c>
      <c r="E267" s="126" t="str">
        <f t="array" ref="E267">IFERROR(INDEX(BD[],_xlfn.AGGREGATE(15,6,IF(BD[CLASIFICACIÓN]=$B$2,ROW(BD[CLASIFICACIÓN])-ROW('PT2 (FILTRAR)'!$E$5)+1,NA()),ROWS($B$5:E267)),COLUMNS($B$5:E267)),"")</f>
        <v/>
      </c>
    </row>
    <row r="268" spans="2:5" x14ac:dyDescent="0.3">
      <c r="B268" s="126" t="str">
        <f t="array" ref="B268">IFERROR(INDEX(BD[],_xlfn.AGGREGATE(15,6,IF(BD[CLASIFICACIÓN]=$B$2,ROW(BD[CLASIFICACIÓN])-ROW('PT2 (FILTRAR)'!$E$5)+1,NA()),ROWS($B$5:B268)),COLUMNS($B$5:B268)),"")</f>
        <v/>
      </c>
      <c r="C268" s="127" t="str">
        <f t="array" ref="C268">IFERROR(INDEX(BD[],_xlfn.AGGREGATE(15,6,IF(BD[CLASIFICACIÓN]=$B$2,ROW(BD[CLASIFICACIÓN])-ROW('PT2 (FILTRAR)'!$E$5)+1,NA()),ROWS($B$5:C268)),COLUMNS($B$5:C268)),"")</f>
        <v/>
      </c>
      <c r="D268" s="142" t="str">
        <f t="array" ref="D268">IFERROR(INDEX(BD[],_xlfn.AGGREGATE(15,6,IF(BD[CLASIFICACIÓN]=$B$2,ROW(BD[CLASIFICACIÓN])-ROW('PT2 (FILTRAR)'!$E$5)+1,NA()),ROWS($B$5:D268)),COLUMNS($B$5:D268)),"")</f>
        <v/>
      </c>
      <c r="E268" s="126" t="str">
        <f t="array" ref="E268">IFERROR(INDEX(BD[],_xlfn.AGGREGATE(15,6,IF(BD[CLASIFICACIÓN]=$B$2,ROW(BD[CLASIFICACIÓN])-ROW('PT2 (FILTRAR)'!$E$5)+1,NA()),ROWS($B$5:E268)),COLUMNS($B$5:E268)),"")</f>
        <v/>
      </c>
    </row>
    <row r="269" spans="2:5" x14ac:dyDescent="0.3">
      <c r="B269" s="126" t="str">
        <f t="array" ref="B269">IFERROR(INDEX(BD[],_xlfn.AGGREGATE(15,6,IF(BD[CLASIFICACIÓN]=$B$2,ROW(BD[CLASIFICACIÓN])-ROW('PT2 (FILTRAR)'!$E$5)+1,NA()),ROWS($B$5:B269)),COLUMNS($B$5:B269)),"")</f>
        <v/>
      </c>
      <c r="C269" s="127" t="str">
        <f t="array" ref="C269">IFERROR(INDEX(BD[],_xlfn.AGGREGATE(15,6,IF(BD[CLASIFICACIÓN]=$B$2,ROW(BD[CLASIFICACIÓN])-ROW('PT2 (FILTRAR)'!$E$5)+1,NA()),ROWS($B$5:C269)),COLUMNS($B$5:C269)),"")</f>
        <v/>
      </c>
      <c r="D269" s="142" t="str">
        <f t="array" ref="D269">IFERROR(INDEX(BD[],_xlfn.AGGREGATE(15,6,IF(BD[CLASIFICACIÓN]=$B$2,ROW(BD[CLASIFICACIÓN])-ROW('PT2 (FILTRAR)'!$E$5)+1,NA()),ROWS($B$5:D269)),COLUMNS($B$5:D269)),"")</f>
        <v/>
      </c>
      <c r="E269" s="126" t="str">
        <f t="array" ref="E269">IFERROR(INDEX(BD[],_xlfn.AGGREGATE(15,6,IF(BD[CLASIFICACIÓN]=$B$2,ROW(BD[CLASIFICACIÓN])-ROW('PT2 (FILTRAR)'!$E$5)+1,NA()),ROWS($B$5:E269)),COLUMNS($B$5:E269)),"")</f>
        <v/>
      </c>
    </row>
    <row r="270" spans="2:5" x14ac:dyDescent="0.3">
      <c r="B270" s="126" t="str">
        <f t="array" ref="B270">IFERROR(INDEX(BD[],_xlfn.AGGREGATE(15,6,IF(BD[CLASIFICACIÓN]=$B$2,ROW(BD[CLASIFICACIÓN])-ROW('PT2 (FILTRAR)'!$E$5)+1,NA()),ROWS($B$5:B270)),COLUMNS($B$5:B270)),"")</f>
        <v/>
      </c>
      <c r="C270" s="127" t="str">
        <f t="array" ref="C270">IFERROR(INDEX(BD[],_xlfn.AGGREGATE(15,6,IF(BD[CLASIFICACIÓN]=$B$2,ROW(BD[CLASIFICACIÓN])-ROW('PT2 (FILTRAR)'!$E$5)+1,NA()),ROWS($B$5:C270)),COLUMNS($B$5:C270)),"")</f>
        <v/>
      </c>
      <c r="D270" s="142" t="str">
        <f t="array" ref="D270">IFERROR(INDEX(BD[],_xlfn.AGGREGATE(15,6,IF(BD[CLASIFICACIÓN]=$B$2,ROW(BD[CLASIFICACIÓN])-ROW('PT2 (FILTRAR)'!$E$5)+1,NA()),ROWS($B$5:D270)),COLUMNS($B$5:D270)),"")</f>
        <v/>
      </c>
      <c r="E270" s="126" t="str">
        <f t="array" ref="E270">IFERROR(INDEX(BD[],_xlfn.AGGREGATE(15,6,IF(BD[CLASIFICACIÓN]=$B$2,ROW(BD[CLASIFICACIÓN])-ROW('PT2 (FILTRAR)'!$E$5)+1,NA()),ROWS($B$5:E270)),COLUMNS($B$5:E270)),"")</f>
        <v/>
      </c>
    </row>
    <row r="271" spans="2:5" x14ac:dyDescent="0.3">
      <c r="B271" s="126" t="str">
        <f t="array" ref="B271">IFERROR(INDEX(BD[],_xlfn.AGGREGATE(15,6,IF(BD[CLASIFICACIÓN]=$B$2,ROW(BD[CLASIFICACIÓN])-ROW('PT2 (FILTRAR)'!$E$5)+1,NA()),ROWS($B$5:B271)),COLUMNS($B$5:B271)),"")</f>
        <v/>
      </c>
      <c r="C271" s="127" t="str">
        <f t="array" ref="C271">IFERROR(INDEX(BD[],_xlfn.AGGREGATE(15,6,IF(BD[CLASIFICACIÓN]=$B$2,ROW(BD[CLASIFICACIÓN])-ROW('PT2 (FILTRAR)'!$E$5)+1,NA()),ROWS($B$5:C271)),COLUMNS($B$5:C271)),"")</f>
        <v/>
      </c>
      <c r="D271" s="142" t="str">
        <f t="array" ref="D271">IFERROR(INDEX(BD[],_xlfn.AGGREGATE(15,6,IF(BD[CLASIFICACIÓN]=$B$2,ROW(BD[CLASIFICACIÓN])-ROW('PT2 (FILTRAR)'!$E$5)+1,NA()),ROWS($B$5:D271)),COLUMNS($B$5:D271)),"")</f>
        <v/>
      </c>
      <c r="E271" s="126" t="str">
        <f t="array" ref="E271">IFERROR(INDEX(BD[],_xlfn.AGGREGATE(15,6,IF(BD[CLASIFICACIÓN]=$B$2,ROW(BD[CLASIFICACIÓN])-ROW('PT2 (FILTRAR)'!$E$5)+1,NA()),ROWS($B$5:E271)),COLUMNS($B$5:E271)),"")</f>
        <v/>
      </c>
    </row>
    <row r="272" spans="2:5" ht="18" x14ac:dyDescent="0.35">
      <c r="B272" s="144" t="s">
        <v>14</v>
      </c>
      <c r="C272" s="144" t="str">
        <f>+B2</f>
        <v>DEUDA CORRIENTE</v>
      </c>
      <c r="D272" s="125">
        <f>SUM(D5:D271)</f>
        <v>93767.000000000029</v>
      </c>
    </row>
  </sheetData>
  <mergeCells count="1">
    <mergeCell ref="B2:E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2F5F-AFF7-45D5-8343-9083CDB7FFCD}">
  <sheetPr codeName="Hoja6"/>
  <dimension ref="B1:E272"/>
  <sheetViews>
    <sheetView workbookViewId="0">
      <selection activeCell="B2" sqref="B2:E2"/>
    </sheetView>
  </sheetViews>
  <sheetFormatPr baseColWidth="10" defaultColWidth="11.5546875" defaultRowHeight="14.4" x14ac:dyDescent="0.3"/>
  <cols>
    <col min="1" max="1" width="11.5546875" style="105"/>
    <col min="2" max="2" width="27.6640625" style="103" bestFit="1" customWidth="1"/>
    <col min="3" max="3" width="49.6640625" style="105" customWidth="1"/>
    <col min="4" max="4" width="20.44140625" style="105" customWidth="1"/>
    <col min="5" max="5" width="23.6640625" style="103" customWidth="1"/>
    <col min="6" max="16384" width="11.5546875" style="105"/>
  </cols>
  <sheetData>
    <row r="1" spans="2:5" x14ac:dyDescent="0.3">
      <c r="C1" s="139"/>
      <c r="D1" s="103"/>
    </row>
    <row r="2" spans="2:5" ht="22.95" customHeight="1" x14ac:dyDescent="0.45">
      <c r="B2" s="164" t="s">
        <v>13</v>
      </c>
      <c r="C2" s="164"/>
      <c r="D2" s="164"/>
      <c r="E2" s="164"/>
    </row>
    <row r="4" spans="2:5" s="116" customFormat="1" ht="28.95" customHeight="1" x14ac:dyDescent="0.3">
      <c r="B4" s="149" t="s">
        <v>1</v>
      </c>
      <c r="C4" s="149" t="s">
        <v>0</v>
      </c>
      <c r="D4" s="149" t="str">
        <f>[1]!'@PERIODO[A]'</f>
        <v>Abril/2026</v>
      </c>
      <c r="E4" s="149" t="s">
        <v>11</v>
      </c>
    </row>
    <row r="5" spans="2:5" x14ac:dyDescent="0.3">
      <c r="B5" s="126" t="str">
        <f t="array" ref="B5">IFERROR(INDEX(BD[],_xlfn.AGGREGATE(15,6,IF(BD[CLASIFICACIÓN]=$B$2,ROW(BD[CLASIFICACIÓN])-ROW('PT2 (FILTRAR)'!$E$5)+1,NA()),ROWS($B$5:B5)),COLUMNS($B$5:B5)),"")</f>
        <v>104-005-028</v>
      </c>
      <c r="C5" s="127" t="str">
        <f t="array" ref="C5">IFERROR(INDEX(BD[],_xlfn.AGGREGATE(15,6,IF(BD[CLASIFICACIÓN]=$B$2,ROW(BD[CLASIFICACIÓN])-ROW('PT2 (FILTRAR)'!$E$5)+1,NA()),ROWS($B$5:C5)),COLUMNS($B$5:C5)),"")</f>
        <v>C2-1410 SARITA AGAMI M</v>
      </c>
      <c r="D5" s="142">
        <f t="array" ref="D5">IFERROR(INDEX(BD[],_xlfn.AGGREGATE(15,6,IF(BD[CLASIFICACIÓN]=$B$2,ROW(BD[CLASIFICACIÓN])-ROW('PT2 (FILTRAR)'!$E$5)+1,NA()),ROWS($B$5:D5)),COLUMNS($B$5:D5)),"")</f>
        <v>0</v>
      </c>
      <c r="E5" s="126" t="str">
        <f t="array" ref="E5">IFERROR(INDEX(BD[],_xlfn.AGGREGATE(15,6,IF(BD[CLASIFICACIÓN]=$B$2,ROW(BD[CLASIFICACIÓN])-ROW('PT2 (FILTRAR)'!$E$5)+1,NA()),ROWS($B$5:E5)),COLUMNS($B$5:E5)),"")</f>
        <v>SIN ADEUDO</v>
      </c>
    </row>
    <row r="6" spans="2:5" x14ac:dyDescent="0.3">
      <c r="B6" s="126" t="str">
        <f t="array" ref="B6">IFERROR(INDEX(BD[],_xlfn.AGGREGATE(15,6,IF(BD[CLASIFICACIÓN]=$B$2,ROW(BD[CLASIFICACIÓN])-ROW('PT2 (FILTRAR)'!$E$5)+1,NA()),ROWS($B$5:B6)),COLUMNS($B$5:B6)),"")</f>
        <v>104-006-024</v>
      </c>
      <c r="C6" s="127" t="str">
        <f t="array" ref="C6">IFERROR(INDEX(BD[],_xlfn.AGGREGATE(15,6,IF(BD[CLASIFICACIÓN]=$B$2,ROW(BD[CLASIFICACIÓN])-ROW('PT2 (FILTRAR)'!$E$5)+1,NA()),ROWS($B$5:C6)),COLUMNS($B$5:C6)),"")</f>
        <v>C3-1212 FORTUNA CASSAB</v>
      </c>
      <c r="D6" s="142">
        <f t="array" ref="D6">IFERROR(INDEX(BD[],_xlfn.AGGREGATE(15,6,IF(BD[CLASIFICACIÓN]=$B$2,ROW(BD[CLASIFICACIÓN])-ROW('PT2 (FILTRAR)'!$E$5)+1,NA()),ROWS($B$5:D6)),COLUMNS($B$5:D6)),"")</f>
        <v>0</v>
      </c>
      <c r="E6" s="126" t="str">
        <f t="array" ref="E6">IFERROR(INDEX(BD[],_xlfn.AGGREGATE(15,6,IF(BD[CLASIFICACIÓN]=$B$2,ROW(BD[CLASIFICACIÓN])-ROW('PT2 (FILTRAR)'!$E$5)+1,NA()),ROWS($B$5:E6)),COLUMNS($B$5:E6)),"")</f>
        <v>SIN ADEUDO</v>
      </c>
    </row>
    <row r="7" spans="2:5" x14ac:dyDescent="0.3">
      <c r="B7" s="126" t="str">
        <f t="array" ref="B7">IFERROR(INDEX(BD[],_xlfn.AGGREGATE(15,6,IF(BD[CLASIFICACIÓN]=$B$2,ROW(BD[CLASIFICACIÓN])-ROW('PT2 (FILTRAR)'!$E$5)+1,NA()),ROWS($B$5:B7)),COLUMNS($B$5:B7)),"")</f>
        <v>104-002-008</v>
      </c>
      <c r="C7" s="127" t="str">
        <f t="array" ref="C7">IFERROR(INDEX(BD[],_xlfn.AGGREGATE(15,6,IF(BD[CLASIFICACIÓN]=$B$2,ROW(BD[CLASIFICACIÓN])-ROW('PT2 (FILTRAR)'!$E$5)+1,NA()),ROWS($B$5:C7)),COLUMNS($B$5:C7)),"")</f>
        <v>O1-404 IVAN ROJAS</v>
      </c>
      <c r="D7" s="142">
        <f t="array" ref="D7">IFERROR(INDEX(BD[],_xlfn.AGGREGATE(15,6,IF(BD[CLASIFICACIÓN]=$B$2,ROW(BD[CLASIFICACIÓN])-ROW('PT2 (FILTRAR)'!$E$5)+1,NA()),ROWS($B$5:D7)),COLUMNS($B$5:D7)),"")</f>
        <v>0</v>
      </c>
      <c r="E7" s="126" t="str">
        <f t="array" ref="E7">IFERROR(INDEX(BD[],_xlfn.AGGREGATE(15,6,IF(BD[CLASIFICACIÓN]=$B$2,ROW(BD[CLASIFICACIÓN])-ROW('PT2 (FILTRAR)'!$E$5)+1,NA()),ROWS($B$5:E7)),COLUMNS($B$5:E7)),"")</f>
        <v>SIN ADEUDO</v>
      </c>
    </row>
    <row r="8" spans="2:5" x14ac:dyDescent="0.3">
      <c r="B8" s="126" t="str">
        <f t="array" ref="B8">IFERROR(INDEX(BD[],_xlfn.AGGREGATE(15,6,IF(BD[CLASIFICACIÓN]=$B$2,ROW(BD[CLASIFICACIÓN])-ROW('PT2 (FILTRAR)'!$E$5)+1,NA()),ROWS($B$5:B8)),COLUMNS($B$5:B8)),"")</f>
        <v>104-001-036</v>
      </c>
      <c r="C8" s="127" t="str">
        <f t="array" ref="C8">IFERROR(INDEX(BD[],_xlfn.AGGREGATE(15,6,IF(BD[CLASIFICACIÓN]=$B$2,ROW(BD[CLASIFICACIÓN])-ROW('PT2 (FILTRAR)'!$E$5)+1,NA()),ROWS($B$5:C8)),COLUMNS($B$5:C8)),"")</f>
        <v>A-1802 ABDO ROFFE</v>
      </c>
      <c r="D8" s="142">
        <f t="array" ref="D8">IFERROR(INDEX(BD[],_xlfn.AGGREGATE(15,6,IF(BD[CLASIFICACIÓN]=$B$2,ROW(BD[CLASIFICACIÓN])-ROW('PT2 (FILTRAR)'!$E$5)+1,NA()),ROWS($B$5:D8)),COLUMNS($B$5:D8)),"")</f>
        <v>0</v>
      </c>
      <c r="E8" s="126" t="str">
        <f t="array" ref="E8">IFERROR(INDEX(BD[],_xlfn.AGGREGATE(15,6,IF(BD[CLASIFICACIÓN]=$B$2,ROW(BD[CLASIFICACIÓN])-ROW('PT2 (FILTRAR)'!$E$5)+1,NA()),ROWS($B$5:E8)),COLUMNS($B$5:E8)),"")</f>
        <v>SIN ADEUDO</v>
      </c>
    </row>
    <row r="9" spans="2:5" x14ac:dyDescent="0.3">
      <c r="B9" s="126" t="str">
        <f t="array" ref="B9">IFERROR(INDEX(BD[],_xlfn.AGGREGATE(15,6,IF(BD[CLASIFICACIÓN]=$B$2,ROW(BD[CLASIFICACIÓN])-ROW('PT2 (FILTRAR)'!$E$5)+1,NA()),ROWS($B$5:B9)),COLUMNS($B$5:B9)),"")</f>
        <v>104-001-048</v>
      </c>
      <c r="C9" s="127" t="str">
        <f t="array" ref="C9">IFERROR(INDEX(BD[],_xlfn.AGGREGATE(15,6,IF(BD[CLASIFICACIÓN]=$B$2,ROW(BD[CLASIFICACIÓN])-ROW('PT2 (FILTRAR)'!$E$5)+1,NA()),ROWS($B$5:C9)),COLUMNS($B$5:C9)),"")</f>
        <v>A-2402 SANDRA BASSINI</v>
      </c>
      <c r="D9" s="142">
        <f t="array" ref="D9">IFERROR(INDEX(BD[],_xlfn.AGGREGATE(15,6,IF(BD[CLASIFICACIÓN]=$B$2,ROW(BD[CLASIFICACIÓN])-ROW('PT2 (FILTRAR)'!$E$5)+1,NA()),ROWS($B$5:D9)),COLUMNS($B$5:D9)),"")</f>
        <v>0</v>
      </c>
      <c r="E9" s="126" t="str">
        <f t="array" ref="E9">IFERROR(INDEX(BD[],_xlfn.AGGREGATE(15,6,IF(BD[CLASIFICACIÓN]=$B$2,ROW(BD[CLASIFICACIÓN])-ROW('PT2 (FILTRAR)'!$E$5)+1,NA()),ROWS($B$5:E9)),COLUMNS($B$5:E9)),"")</f>
        <v>SIN ADEUDO</v>
      </c>
    </row>
    <row r="10" spans="2:5" x14ac:dyDescent="0.3">
      <c r="B10" s="126" t="str">
        <f t="array" ref="B10">IFERROR(INDEX(BD[],_xlfn.AGGREGATE(15,6,IF(BD[CLASIFICACIÓN]=$B$2,ROW(BD[CLASIFICACIÓN])-ROW('PT2 (FILTRAR)'!$E$5)+1,NA()),ROWS($B$5:B10)),COLUMNS($B$5:B10)),"")</f>
        <v>104-003-033</v>
      </c>
      <c r="C10" s="127" t="str">
        <f t="array" ref="C10">IFERROR(INDEX(BD[],_xlfn.AGGREGATE(15,6,IF(BD[CLASIFICACIÓN]=$B$2,ROW(BD[CLASIFICACIÓN])-ROW('PT2 (FILTRAR)'!$E$5)+1,NA()),ROWS($B$5:C10)),COLUMNS($B$5:C10)),"")</f>
        <v>O2-1705 DAVID SAADIA</v>
      </c>
      <c r="D10" s="142">
        <f t="array" ref="D10">IFERROR(INDEX(BD[],_xlfn.AGGREGATE(15,6,IF(BD[CLASIFICACIÓN]=$B$2,ROW(BD[CLASIFICACIÓN])-ROW('PT2 (FILTRAR)'!$E$5)+1,NA()),ROWS($B$5:D10)),COLUMNS($B$5:D10)),"")</f>
        <v>0</v>
      </c>
      <c r="E10" s="126" t="str">
        <f t="array" ref="E10">IFERROR(INDEX(BD[],_xlfn.AGGREGATE(15,6,IF(BD[CLASIFICACIÓN]=$B$2,ROW(BD[CLASIFICACIÓN])-ROW('PT2 (FILTRAR)'!$E$5)+1,NA()),ROWS($B$5:E10)),COLUMNS($B$5:E10)),"")</f>
        <v>SIN ADEUDO</v>
      </c>
    </row>
    <row r="11" spans="2:5" x14ac:dyDescent="0.3">
      <c r="B11" s="126" t="str">
        <f t="array" ref="B11">IFERROR(INDEX(BD[],_xlfn.AGGREGATE(15,6,IF(BD[CLASIFICACIÓN]=$B$2,ROW(BD[CLASIFICACIÓN])-ROW('PT2 (FILTRAR)'!$E$5)+1,NA()),ROWS($B$5:B11)),COLUMNS($B$5:B11)),"")</f>
        <v>104-004-003</v>
      </c>
      <c r="C11" s="127" t="str">
        <f t="array" ref="C11">IFERROR(INDEX(BD[],_xlfn.AGGREGATE(15,6,IF(BD[CLASIFICACIÓN]=$B$2,ROW(BD[CLASIFICACIÓN])-ROW('PT2 (FILTRAR)'!$E$5)+1,NA()),ROWS($B$5:C11)),COLUMNS($B$5:C11)),"")</f>
        <v>C1-207 ABRAHAM CHEREM C</v>
      </c>
      <c r="D11" s="142">
        <f t="array" ref="D11">IFERROR(INDEX(BD[],_xlfn.AGGREGATE(15,6,IF(BD[CLASIFICACIÓN]=$B$2,ROW(BD[CLASIFICACIÓN])-ROW('PT2 (FILTRAR)'!$E$5)+1,NA()),ROWS($B$5:D11)),COLUMNS($B$5:D11)),"")</f>
        <v>0</v>
      </c>
      <c r="E11" s="126" t="str">
        <f t="array" ref="E11">IFERROR(INDEX(BD[],_xlfn.AGGREGATE(15,6,IF(BD[CLASIFICACIÓN]=$B$2,ROW(BD[CLASIFICACIÓN])-ROW('PT2 (FILTRAR)'!$E$5)+1,NA()),ROWS($B$5:E11)),COLUMNS($B$5:E11)),"")</f>
        <v>SIN ADEUDO</v>
      </c>
    </row>
    <row r="12" spans="2:5" x14ac:dyDescent="0.3">
      <c r="B12" s="126" t="str">
        <f t="array" ref="B12">IFERROR(INDEX(BD[],_xlfn.AGGREGATE(15,6,IF(BD[CLASIFICACIÓN]=$B$2,ROW(BD[CLASIFICACIÓN])-ROW('PT2 (FILTRAR)'!$E$5)+1,NA()),ROWS($B$5:B12)),COLUMNS($B$5:B12)),"")</f>
        <v>104-004-028</v>
      </c>
      <c r="C12" s="127" t="str">
        <f t="array" ref="C12">IFERROR(INDEX(BD[],_xlfn.AGGREGATE(15,6,IF(BD[CLASIFICACIÓN]=$B$2,ROW(BD[CLASIFICACIÓN])-ROW('PT2 (FILTRAR)'!$E$5)+1,NA()),ROWS($B$5:C12)),COLUMNS($B$5:C12)),"")</f>
        <v xml:space="preserve">C1-1408 ABRAHAM CHEREM C </v>
      </c>
      <c r="D12" s="142">
        <f t="array" ref="D12">IFERROR(INDEX(BD[],_xlfn.AGGREGATE(15,6,IF(BD[CLASIFICACIÓN]=$B$2,ROW(BD[CLASIFICACIÓN])-ROW('PT2 (FILTRAR)'!$E$5)+1,NA()),ROWS($B$5:D12)),COLUMNS($B$5:D12)),"")</f>
        <v>0</v>
      </c>
      <c r="E12" s="126" t="str">
        <f t="array" ref="E12">IFERROR(INDEX(BD[],_xlfn.AGGREGATE(15,6,IF(BD[CLASIFICACIÓN]=$B$2,ROW(BD[CLASIFICACIÓN])-ROW('PT2 (FILTRAR)'!$E$5)+1,NA()),ROWS($B$5:E12)),COLUMNS($B$5:E12)),"")</f>
        <v>SIN ADEUDO</v>
      </c>
    </row>
    <row r="13" spans="2:5" x14ac:dyDescent="0.3">
      <c r="B13" s="126" t="str">
        <f t="array" ref="B13">IFERROR(INDEX(BD[],_xlfn.AGGREGATE(15,6,IF(BD[CLASIFICACIÓN]=$B$2,ROW(BD[CLASIFICACIÓN])-ROW('PT2 (FILTRAR)'!$E$5)+1,NA()),ROWS($B$5:B13)),COLUMNS($B$5:B13)),"")</f>
        <v>104-004-033</v>
      </c>
      <c r="C13" s="127" t="str">
        <f t="array" ref="C13">IFERROR(INDEX(BD[],_xlfn.AGGREGATE(15,6,IF(BD[CLASIFICACIÓN]=$B$2,ROW(BD[CLASIFICACIÓN])-ROW('PT2 (FILTRAR)'!$E$5)+1,NA()),ROWS($B$5:C13)),COLUMNS($B$5:C13)),"")</f>
        <v>C1-1707 ABRAHAM CHEREM C</v>
      </c>
      <c r="D13" s="142">
        <f t="array" ref="D13">IFERROR(INDEX(BD[],_xlfn.AGGREGATE(15,6,IF(BD[CLASIFICACIÓN]=$B$2,ROW(BD[CLASIFICACIÓN])-ROW('PT2 (FILTRAR)'!$E$5)+1,NA()),ROWS($B$5:D13)),COLUMNS($B$5:D13)),"")</f>
        <v>0</v>
      </c>
      <c r="E13" s="126" t="str">
        <f t="array" ref="E13">IFERROR(INDEX(BD[],_xlfn.AGGREGATE(15,6,IF(BD[CLASIFICACIÓN]=$B$2,ROW(BD[CLASIFICACIÓN])-ROW('PT2 (FILTRAR)'!$E$5)+1,NA()),ROWS($B$5:E13)),COLUMNS($B$5:E13)),"")</f>
        <v>SIN ADEUDO</v>
      </c>
    </row>
    <row r="14" spans="2:5" x14ac:dyDescent="0.3">
      <c r="B14" s="126" t="str">
        <f t="array" ref="B14">IFERROR(INDEX(BD[],_xlfn.AGGREGATE(15,6,IF(BD[CLASIFICACIÓN]=$B$2,ROW(BD[CLASIFICACIÓN])-ROW('PT2 (FILTRAR)'!$E$5)+1,NA()),ROWS($B$5:B14)),COLUMNS($B$5:B14)),"")</f>
        <v>104-003-007</v>
      </c>
      <c r="C14" s="127" t="str">
        <f t="array" ref="C14">IFERROR(INDEX(BD[],_xlfn.AGGREGATE(15,6,IF(BD[CLASIFICACIÓN]=$B$2,ROW(BD[CLASIFICACIÓN])-ROW('PT2 (FILTRAR)'!$E$5)+1,NA()),ROWS($B$5:C14)),COLUMNS($B$5:C14)),"")</f>
        <v>O2-405 MONICA COLOMER</v>
      </c>
      <c r="D14" s="142">
        <f t="array" ref="D14">IFERROR(INDEX(BD[],_xlfn.AGGREGATE(15,6,IF(BD[CLASIFICACIÓN]=$B$2,ROW(BD[CLASIFICACIÓN])-ROW('PT2 (FILTRAR)'!$E$5)+1,NA()),ROWS($B$5:D14)),COLUMNS($B$5:D14)),"")</f>
        <v>0</v>
      </c>
      <c r="E14" s="126" t="str">
        <f t="array" ref="E14">IFERROR(INDEX(BD[],_xlfn.AGGREGATE(15,6,IF(BD[CLASIFICACIÓN]=$B$2,ROW(BD[CLASIFICACIÓN])-ROW('PT2 (FILTRAR)'!$E$5)+1,NA()),ROWS($B$5:E14)),COLUMNS($B$5:E14)),"")</f>
        <v>SIN ADEUDO</v>
      </c>
    </row>
    <row r="15" spans="2:5" x14ac:dyDescent="0.3">
      <c r="B15" s="126" t="str">
        <f t="array" ref="B15">IFERROR(INDEX(BD[],_xlfn.AGGREGATE(15,6,IF(BD[CLASIFICACIÓN]=$B$2,ROW(BD[CLASIFICACIÓN])-ROW('PT2 (FILTRAR)'!$E$5)+1,NA()),ROWS($B$5:B15)),COLUMNS($B$5:B15)),"")</f>
        <v>104-004-019</v>
      </c>
      <c r="C15" s="127" t="str">
        <f t="array" ref="C15">IFERROR(INDEX(BD[],_xlfn.AGGREGATE(15,6,IF(BD[CLASIFICACIÓN]=$B$2,ROW(BD[CLASIFICACIÓN])-ROW('PT2 (FILTRAR)'!$E$5)+1,NA()),ROWS($B$5:C15)),COLUMNS($B$5:C15)),"")</f>
        <v>C1-1007 AGGI FLEGMAN L</v>
      </c>
      <c r="D15" s="142">
        <f t="array" ref="D15">IFERROR(INDEX(BD[],_xlfn.AGGREGATE(15,6,IF(BD[CLASIFICACIÓN]=$B$2,ROW(BD[CLASIFICACIÓN])-ROW('PT2 (FILTRAR)'!$E$5)+1,NA()),ROWS($B$5:D15)),COLUMNS($B$5:D15)),"")</f>
        <v>0</v>
      </c>
      <c r="E15" s="126" t="str">
        <f t="array" ref="E15">IFERROR(INDEX(BD[],_xlfn.AGGREGATE(15,6,IF(BD[CLASIFICACIÓN]=$B$2,ROW(BD[CLASIFICACIÓN])-ROW('PT2 (FILTRAR)'!$E$5)+1,NA()),ROWS($B$5:E15)),COLUMNS($B$5:E15)),"")</f>
        <v>SIN ADEUDO</v>
      </c>
    </row>
    <row r="16" spans="2:5" x14ac:dyDescent="0.3">
      <c r="B16" s="126" t="str">
        <f t="array" ref="B16">IFERROR(INDEX(BD[],_xlfn.AGGREGATE(15,6,IF(BD[CLASIFICACIÓN]=$B$2,ROW(BD[CLASIFICACIÓN])-ROW('PT2 (FILTRAR)'!$E$5)+1,NA()),ROWS($B$5:B16)),COLUMNS($B$5:B16)),"")</f>
        <v>104-004-032</v>
      </c>
      <c r="C16" s="127" t="str">
        <f t="array" ref="C16">IFERROR(INDEX(BD[],_xlfn.AGGREGATE(15,6,IF(BD[CLASIFICACIÓN]=$B$2,ROW(BD[CLASIFICACIÓN])-ROW('PT2 (FILTRAR)'!$E$5)+1,NA()),ROWS($B$5:C16)),COLUMNS($B$5:C16)),"")</f>
        <v>C1-1608 HUGO I. PEREZ</v>
      </c>
      <c r="D16" s="142">
        <f t="array" ref="D16">IFERROR(INDEX(BD[],_xlfn.AGGREGATE(15,6,IF(BD[CLASIFICACIÓN]=$B$2,ROW(BD[CLASIFICACIÓN])-ROW('PT2 (FILTRAR)'!$E$5)+1,NA()),ROWS($B$5:D16)),COLUMNS($B$5:D16)),"")</f>
        <v>0</v>
      </c>
      <c r="E16" s="126" t="str">
        <f t="array" ref="E16">IFERROR(INDEX(BD[],_xlfn.AGGREGATE(15,6,IF(BD[CLASIFICACIÓN]=$B$2,ROW(BD[CLASIFICACIÓN])-ROW('PT2 (FILTRAR)'!$E$5)+1,NA()),ROWS($B$5:E16)),COLUMNS($B$5:E16)),"")</f>
        <v>SIN ADEUDO</v>
      </c>
    </row>
    <row r="17" spans="2:5" x14ac:dyDescent="0.3">
      <c r="B17" s="126" t="str">
        <f t="array" ref="B17">IFERROR(INDEX(BD[],_xlfn.AGGREGATE(15,6,IF(BD[CLASIFICACIÓN]=$B$2,ROW(BD[CLASIFICACIÓN])-ROW('PT2 (FILTRAR)'!$E$5)+1,NA()),ROWS($B$5:B17)),COLUMNS($B$5:B17)),"")</f>
        <v>104-005-005</v>
      </c>
      <c r="C17" s="127" t="str">
        <f t="array" ref="C17">IFERROR(INDEX(BD[],_xlfn.AGGREGATE(15,6,IF(BD[CLASIFICACIÓN]=$B$2,ROW(BD[CLASIFICACIÓN])-ROW('PT2 (FILTRAR)'!$E$5)+1,NA()),ROWS($B$5:C17)),COLUMNS($B$5:C17)),"")</f>
        <v>C2-309 DAVID SAAD</v>
      </c>
      <c r="D17" s="142">
        <f t="array" ref="D17">IFERROR(INDEX(BD[],_xlfn.AGGREGATE(15,6,IF(BD[CLASIFICACIÓN]=$B$2,ROW(BD[CLASIFICACIÓN])-ROW('PT2 (FILTRAR)'!$E$5)+1,NA()),ROWS($B$5:D17)),COLUMNS($B$5:D17)),"")</f>
        <v>0</v>
      </c>
      <c r="E17" s="126" t="str">
        <f t="array" ref="E17">IFERROR(INDEX(BD[],_xlfn.AGGREGATE(15,6,IF(BD[CLASIFICACIÓN]=$B$2,ROW(BD[CLASIFICACIÓN])-ROW('PT2 (FILTRAR)'!$E$5)+1,NA()),ROWS($B$5:E17)),COLUMNS($B$5:E17)),"")</f>
        <v>SIN ADEUDO</v>
      </c>
    </row>
    <row r="18" spans="2:5" x14ac:dyDescent="0.3">
      <c r="B18" s="126" t="str">
        <f t="array" ref="B18">IFERROR(INDEX(BD[],_xlfn.AGGREGATE(15,6,IF(BD[CLASIFICACIÓN]=$B$2,ROW(BD[CLASIFICACIÓN])-ROW('PT2 (FILTRAR)'!$E$5)+1,NA()),ROWS($B$5:B18)),COLUMNS($B$5:B18)),"")</f>
        <v>104-006-014</v>
      </c>
      <c r="C18" s="127" t="str">
        <f t="array" ref="C18">IFERROR(INDEX(BD[],_xlfn.AGGREGATE(15,6,IF(BD[CLASIFICACIÓN]=$B$2,ROW(BD[CLASIFICACIÓN])-ROW('PT2 (FILTRAR)'!$E$5)+1,NA()),ROWS($B$5:C18)),COLUMNS($B$5:C18)),"")</f>
        <v>C3-712 ALICIA ORTEGA</v>
      </c>
      <c r="D18" s="142">
        <f t="array" ref="D18">IFERROR(INDEX(BD[],_xlfn.AGGREGATE(15,6,IF(BD[CLASIFICACIÓN]=$B$2,ROW(BD[CLASIFICACIÓN])-ROW('PT2 (FILTRAR)'!$E$5)+1,NA()),ROWS($B$5:D18)),COLUMNS($B$5:D18)),"")</f>
        <v>0</v>
      </c>
      <c r="E18" s="126" t="str">
        <f t="array" ref="E18">IFERROR(INDEX(BD[],_xlfn.AGGREGATE(15,6,IF(BD[CLASIFICACIÓN]=$B$2,ROW(BD[CLASIFICACIÓN])-ROW('PT2 (FILTRAR)'!$E$5)+1,NA()),ROWS($B$5:E18)),COLUMNS($B$5:E18)),"")</f>
        <v>SIN ADEUDO</v>
      </c>
    </row>
    <row r="19" spans="2:5" x14ac:dyDescent="0.3">
      <c r="B19" s="126" t="str">
        <f t="array" ref="B19">IFERROR(INDEX(BD[],_xlfn.AGGREGATE(15,6,IF(BD[CLASIFICACIÓN]=$B$2,ROW(BD[CLASIFICACIÓN])-ROW('PT2 (FILTRAR)'!$E$5)+1,NA()),ROWS($B$5:B19)),COLUMNS($B$5:B19)),"")</f>
        <v>104-001-027</v>
      </c>
      <c r="C19" s="127" t="str">
        <f t="array" ref="C19">IFERROR(INDEX(BD[],_xlfn.AGGREGATE(15,6,IF(BD[CLASIFICACIÓN]=$B$2,ROW(BD[CLASIFICACIÓN])-ROW('PT2 (FILTRAR)'!$E$5)+1,NA()),ROWS($B$5:C19)),COLUMNS($B$5:C19)),"")</f>
        <v>A-1401 JESSICA SIDAUY</v>
      </c>
      <c r="D19" s="142">
        <f t="array" ref="D19">IFERROR(INDEX(BD[],_xlfn.AGGREGATE(15,6,IF(BD[CLASIFICACIÓN]=$B$2,ROW(BD[CLASIFICACIÓN])-ROW('PT2 (FILTRAR)'!$E$5)+1,NA()),ROWS($B$5:D19)),COLUMNS($B$5:D19)),"")</f>
        <v>0</v>
      </c>
      <c r="E19" s="126" t="str">
        <f t="array" ref="E19">IFERROR(INDEX(BD[],_xlfn.AGGREGATE(15,6,IF(BD[CLASIFICACIÓN]=$B$2,ROW(BD[CLASIFICACIÓN])-ROW('PT2 (FILTRAR)'!$E$5)+1,NA()),ROWS($B$5:E19)),COLUMNS($B$5:E19)),"")</f>
        <v>SIN ADEUDO</v>
      </c>
    </row>
    <row r="20" spans="2:5" x14ac:dyDescent="0.3">
      <c r="B20" s="126" t="str">
        <f t="array" ref="B20">IFERROR(INDEX(BD[],_xlfn.AGGREGATE(15,6,IF(BD[CLASIFICACIÓN]=$B$2,ROW(BD[CLASIFICACIÓN])-ROW('PT2 (FILTRAR)'!$E$5)+1,NA()),ROWS($B$5:B20)),COLUMNS($B$5:B20)),"")</f>
        <v>104-002-024</v>
      </c>
      <c r="C20" s="127" t="str">
        <f t="array" ref="C20">IFERROR(INDEX(BD[],_xlfn.AGGREGATE(15,6,IF(BD[CLASIFICACIÓN]=$B$2,ROW(BD[CLASIFICACIÓN])-ROW('PT2 (FILTRAR)'!$E$5)+1,NA()),ROWS($B$5:C20)),COLUMNS($B$5:C20)),"")</f>
        <v>O1-1204 CARLOS KIBRIT</v>
      </c>
      <c r="D20" s="142">
        <f t="array" ref="D20">IFERROR(INDEX(BD[],_xlfn.AGGREGATE(15,6,IF(BD[CLASIFICACIÓN]=$B$2,ROW(BD[CLASIFICACIÓN])-ROW('PT2 (FILTRAR)'!$E$5)+1,NA()),ROWS($B$5:D20)),COLUMNS($B$5:D20)),"")</f>
        <v>0</v>
      </c>
      <c r="E20" s="126" t="str">
        <f t="array" ref="E20">IFERROR(INDEX(BD[],_xlfn.AGGREGATE(15,6,IF(BD[CLASIFICACIÓN]=$B$2,ROW(BD[CLASIFICACIÓN])-ROW('PT2 (FILTRAR)'!$E$5)+1,NA()),ROWS($B$5:E20)),COLUMNS($B$5:E20)),"")</f>
        <v>SIN ADEUDO</v>
      </c>
    </row>
    <row r="21" spans="2:5" x14ac:dyDescent="0.3">
      <c r="B21" s="126" t="str">
        <f t="array" ref="B21">IFERROR(INDEX(BD[],_xlfn.AGGREGATE(15,6,IF(BD[CLASIFICACIÓN]=$B$2,ROW(BD[CLASIFICACIÓN])-ROW('PT2 (FILTRAR)'!$E$5)+1,NA()),ROWS($B$5:B21)),COLUMNS($B$5:B21)),"")</f>
        <v>104-002-051</v>
      </c>
      <c r="C21" s="127" t="str">
        <f t="array" ref="C21">IFERROR(INDEX(BD[],_xlfn.AGGREGATE(15,6,IF(BD[CLASIFICACIÓN]=$B$2,ROW(BD[CLASIFICACIÓN])-ROW('PT2 (FILTRAR)'!$E$5)+1,NA()),ROWS($B$5:C21)),COLUMNS($B$5:C21)),"")</f>
        <v>O1-PH03 SERGIO FASCOVICH</v>
      </c>
      <c r="D21" s="142">
        <f t="array" ref="D21">IFERROR(INDEX(BD[],_xlfn.AGGREGATE(15,6,IF(BD[CLASIFICACIÓN]=$B$2,ROW(BD[CLASIFICACIÓN])-ROW('PT2 (FILTRAR)'!$E$5)+1,NA()),ROWS($B$5:D21)),COLUMNS($B$5:D21)),"")</f>
        <v>0</v>
      </c>
      <c r="E21" s="126" t="str">
        <f t="array" ref="E21">IFERROR(INDEX(BD[],_xlfn.AGGREGATE(15,6,IF(BD[CLASIFICACIÓN]=$B$2,ROW(BD[CLASIFICACIÓN])-ROW('PT2 (FILTRAR)'!$E$5)+1,NA()),ROWS($B$5:E21)),COLUMNS($B$5:E21)),"")</f>
        <v>SIN ADEUDO</v>
      </c>
    </row>
    <row r="22" spans="2:5" x14ac:dyDescent="0.3">
      <c r="B22" s="126" t="str">
        <f t="array" ref="B22">IFERROR(INDEX(BD[],_xlfn.AGGREGATE(15,6,IF(BD[CLASIFICACIÓN]=$B$2,ROW(BD[CLASIFICACIÓN])-ROW('PT2 (FILTRAR)'!$E$5)+1,NA()),ROWS($B$5:B22)),COLUMNS($B$5:B22)),"")</f>
        <v>104-006-012</v>
      </c>
      <c r="C22" s="127" t="str">
        <f t="array" ref="C22">IFERROR(INDEX(BD[],_xlfn.AGGREGATE(15,6,IF(BD[CLASIFICACIÓN]=$B$2,ROW(BD[CLASIFICACIÓN])-ROW('PT2 (FILTRAR)'!$E$5)+1,NA()),ROWS($B$5:C22)),COLUMNS($B$5:C22)),"")</f>
        <v>C3-612 LORENA CARREÑO</v>
      </c>
      <c r="D22" s="142">
        <f t="array" ref="D22">IFERROR(INDEX(BD[],_xlfn.AGGREGATE(15,6,IF(BD[CLASIFICACIÓN]=$B$2,ROW(BD[CLASIFICACIÓN])-ROW('PT2 (FILTRAR)'!$E$5)+1,NA()),ROWS($B$5:D22)),COLUMNS($B$5:D22)),"")</f>
        <v>0</v>
      </c>
      <c r="E22" s="126" t="str">
        <f t="array" ref="E22">IFERROR(INDEX(BD[],_xlfn.AGGREGATE(15,6,IF(BD[CLASIFICACIÓN]=$B$2,ROW(BD[CLASIFICACIÓN])-ROW('PT2 (FILTRAR)'!$E$5)+1,NA()),ROWS($B$5:E22)),COLUMNS($B$5:E22)),"")</f>
        <v>SIN ADEUDO</v>
      </c>
    </row>
    <row r="23" spans="2:5" x14ac:dyDescent="0.3">
      <c r="B23" s="126" t="str">
        <f t="array" ref="B23">IFERROR(INDEX(BD[],_xlfn.AGGREGATE(15,6,IF(BD[CLASIFICACIÓN]=$B$2,ROW(BD[CLASIFICACIÓN])-ROW('PT2 (FILTRAR)'!$E$5)+1,NA()),ROWS($B$5:B23)),COLUMNS($B$5:B23)),"")</f>
        <v>104-001-019</v>
      </c>
      <c r="C23" s="127" t="str">
        <f t="array" ref="C23">IFERROR(INDEX(BD[],_xlfn.AGGREGATE(15,6,IF(BD[CLASIFICACIÓN]=$B$2,ROW(BD[CLASIFICACIÓN])-ROW('PT2 (FILTRAR)'!$E$5)+1,NA()),ROWS($B$5:C23)),COLUMNS($B$5:C23)),"")</f>
        <v>A-1001 MONICA SABA</v>
      </c>
      <c r="D23" s="142">
        <f t="array" ref="D23">IFERROR(INDEX(BD[],_xlfn.AGGREGATE(15,6,IF(BD[CLASIFICACIÓN]=$B$2,ROW(BD[CLASIFICACIÓN])-ROW('PT2 (FILTRAR)'!$E$5)+1,NA()),ROWS($B$5:D23)),COLUMNS($B$5:D23)),"")</f>
        <v>0</v>
      </c>
      <c r="E23" s="126" t="str">
        <f t="array" ref="E23">IFERROR(INDEX(BD[],_xlfn.AGGREGATE(15,6,IF(BD[CLASIFICACIÓN]=$B$2,ROW(BD[CLASIFICACIÓN])-ROW('PT2 (FILTRAR)'!$E$5)+1,NA()),ROWS($B$5:E23)),COLUMNS($B$5:E23)),"")</f>
        <v>SIN ADEUDO</v>
      </c>
    </row>
    <row r="24" spans="2:5" x14ac:dyDescent="0.3">
      <c r="B24" s="126" t="str">
        <f t="array" ref="B24">IFERROR(INDEX(BD[],_xlfn.AGGREGATE(15,6,IF(BD[CLASIFICACIÓN]=$B$2,ROW(BD[CLASIFICACIÓN])-ROW('PT2 (FILTRAR)'!$E$5)+1,NA()),ROWS($B$5:B24)),COLUMNS($B$5:B24)),"")</f>
        <v>104-001-020</v>
      </c>
      <c r="C24" s="127" t="str">
        <f t="array" ref="C24">IFERROR(INDEX(BD[],_xlfn.AGGREGATE(15,6,IF(BD[CLASIFICACIÓN]=$B$2,ROW(BD[CLASIFICACIÓN])-ROW('PT2 (FILTRAR)'!$E$5)+1,NA()),ROWS($B$5:C24)),COLUMNS($B$5:C24)),"")</f>
        <v>A-1002 MIGUEL MIZRAHI</v>
      </c>
      <c r="D24" s="142">
        <f t="array" ref="D24">IFERROR(INDEX(BD[],_xlfn.AGGREGATE(15,6,IF(BD[CLASIFICACIÓN]=$B$2,ROW(BD[CLASIFICACIÓN])-ROW('PT2 (FILTRAR)'!$E$5)+1,NA()),ROWS($B$5:D24)),COLUMNS($B$5:D24)),"")</f>
        <v>0</v>
      </c>
      <c r="E24" s="126" t="str">
        <f t="array" ref="E24">IFERROR(INDEX(BD[],_xlfn.AGGREGATE(15,6,IF(BD[CLASIFICACIÓN]=$B$2,ROW(BD[CLASIFICACIÓN])-ROW('PT2 (FILTRAR)'!$E$5)+1,NA()),ROWS($B$5:E24)),COLUMNS($B$5:E24)),"")</f>
        <v>SIN ADEUDO</v>
      </c>
    </row>
    <row r="25" spans="2:5" x14ac:dyDescent="0.3">
      <c r="B25" s="126" t="str">
        <f t="array" ref="B25">IFERROR(INDEX(BD[],_xlfn.AGGREGATE(15,6,IF(BD[CLASIFICACIÓN]=$B$2,ROW(BD[CLASIFICACIÓN])-ROW('PT2 (FILTRAR)'!$E$5)+1,NA()),ROWS($B$5:B25)),COLUMNS($B$5:B25)),"")</f>
        <v>104-002-037</v>
      </c>
      <c r="C25" s="127" t="str">
        <f t="array" ref="C25">IFERROR(INDEX(BD[],_xlfn.AGGREGATE(15,6,IF(BD[CLASIFICACIÓN]=$B$2,ROW(BD[CLASIFICACIÓN])-ROW('PT2 (FILTRAR)'!$E$5)+1,NA()),ROWS($B$5:C25)),COLUMNS($B$5:C25)),"")</f>
        <v>O1-1903 ELIAS CHATTAJ</v>
      </c>
      <c r="D25" s="142">
        <f t="array" ref="D25">IFERROR(INDEX(BD[],_xlfn.AGGREGATE(15,6,IF(BD[CLASIFICACIÓN]=$B$2,ROW(BD[CLASIFICACIÓN])-ROW('PT2 (FILTRAR)'!$E$5)+1,NA()),ROWS($B$5:D25)),COLUMNS($B$5:D25)),"")</f>
        <v>0</v>
      </c>
      <c r="E25" s="126" t="str">
        <f t="array" ref="E25">IFERROR(INDEX(BD[],_xlfn.AGGREGATE(15,6,IF(BD[CLASIFICACIÓN]=$B$2,ROW(BD[CLASIFICACIÓN])-ROW('PT2 (FILTRAR)'!$E$5)+1,NA()),ROWS($B$5:E25)),COLUMNS($B$5:E25)),"")</f>
        <v>SIN ADEUDO</v>
      </c>
    </row>
    <row r="26" spans="2:5" x14ac:dyDescent="0.3">
      <c r="B26" s="126" t="str">
        <f t="array" ref="B26">IFERROR(INDEX(BD[],_xlfn.AGGREGATE(15,6,IF(BD[CLASIFICACIÓN]=$B$2,ROW(BD[CLASIFICACIÓN])-ROW('PT2 (FILTRAR)'!$E$5)+1,NA()),ROWS($B$5:B26)),COLUMNS($B$5:B26)),"")</f>
        <v>104-005-006</v>
      </c>
      <c r="C26" s="127" t="str">
        <f t="array" ref="C26">IFERROR(INDEX(BD[],_xlfn.AGGREGATE(15,6,IF(BD[CLASIFICACIÓN]=$B$2,ROW(BD[CLASIFICACIÓN])-ROW('PT2 (FILTRAR)'!$E$5)+1,NA()),ROWS($B$5:C26)),COLUMNS($B$5:C26)),"")</f>
        <v>C2-310 JOSE AMKIE</v>
      </c>
      <c r="D26" s="142">
        <f t="array" ref="D26">IFERROR(INDEX(BD[],_xlfn.AGGREGATE(15,6,IF(BD[CLASIFICACIÓN]=$B$2,ROW(BD[CLASIFICACIÓN])-ROW('PT2 (FILTRAR)'!$E$5)+1,NA()),ROWS($B$5:D26)),COLUMNS($B$5:D26)),"")</f>
        <v>0</v>
      </c>
      <c r="E26" s="126" t="str">
        <f t="array" ref="E26">IFERROR(INDEX(BD[],_xlfn.AGGREGATE(15,6,IF(BD[CLASIFICACIÓN]=$B$2,ROW(BD[CLASIFICACIÓN])-ROW('PT2 (FILTRAR)'!$E$5)+1,NA()),ROWS($B$5:E26)),COLUMNS($B$5:E26)),"")</f>
        <v>SIN ADEUDO</v>
      </c>
    </row>
    <row r="27" spans="2:5" x14ac:dyDescent="0.3">
      <c r="B27" s="126" t="str">
        <f t="array" ref="B27">IFERROR(INDEX(BD[],_xlfn.AGGREGATE(15,6,IF(BD[CLASIFICACIÓN]=$B$2,ROW(BD[CLASIFICACIÓN])-ROW('PT2 (FILTRAR)'!$E$5)+1,NA()),ROWS($B$5:B27)),COLUMNS($B$5:B27)),"")</f>
        <v>104-001-001</v>
      </c>
      <c r="C27" s="127" t="str">
        <f t="array" ref="C27">IFERROR(INDEX(BD[],_xlfn.AGGREGATE(15,6,IF(BD[CLASIFICACIÓN]=$B$2,ROW(BD[CLASIFICACIÓN])-ROW('PT2 (FILTRAR)'!$E$5)+1,NA()),ROWS($B$5:C27)),COLUMNS($B$5:C27)),"")</f>
        <v>A-101 DANIEL DANA</v>
      </c>
      <c r="D27" s="142">
        <f t="array" ref="D27">IFERROR(INDEX(BD[],_xlfn.AGGREGATE(15,6,IF(BD[CLASIFICACIÓN]=$B$2,ROW(BD[CLASIFICACIÓN])-ROW('PT2 (FILTRAR)'!$E$5)+1,NA()),ROWS($B$5:D27)),COLUMNS($B$5:D27)),"")</f>
        <v>0</v>
      </c>
      <c r="E27" s="126" t="str">
        <f t="array" ref="E27">IFERROR(INDEX(BD[],_xlfn.AGGREGATE(15,6,IF(BD[CLASIFICACIÓN]=$B$2,ROW(BD[CLASIFICACIÓN])-ROW('PT2 (FILTRAR)'!$E$5)+1,NA()),ROWS($B$5:E27)),COLUMNS($B$5:E27)),"")</f>
        <v>SIN ADEUDO</v>
      </c>
    </row>
    <row r="28" spans="2:5" x14ac:dyDescent="0.3">
      <c r="B28" s="126" t="str">
        <f t="array" ref="B28">IFERROR(INDEX(BD[],_xlfn.AGGREGATE(15,6,IF(BD[CLASIFICACIÓN]=$B$2,ROW(BD[CLASIFICACIÓN])-ROW('PT2 (FILTRAR)'!$E$5)+1,NA()),ROWS($B$5:B28)),COLUMNS($B$5:B28)),"")</f>
        <v>104-001-003</v>
      </c>
      <c r="C28" s="127" t="str">
        <f t="array" ref="C28">IFERROR(INDEX(BD[],_xlfn.AGGREGATE(15,6,IF(BD[CLASIFICACIÓN]=$B$2,ROW(BD[CLASIFICACIÓN])-ROW('PT2 (FILTRAR)'!$E$5)+1,NA()),ROWS($B$5:C28)),COLUMNS($B$5:C28)),"")</f>
        <v>A-201 ALBERTO TARTAKOVSKI</v>
      </c>
      <c r="D28" s="142">
        <f t="array" ref="D28">IFERROR(INDEX(BD[],_xlfn.AGGREGATE(15,6,IF(BD[CLASIFICACIÓN]=$B$2,ROW(BD[CLASIFICACIÓN])-ROW('PT2 (FILTRAR)'!$E$5)+1,NA()),ROWS($B$5:D28)),COLUMNS($B$5:D28)),"")</f>
        <v>0</v>
      </c>
      <c r="E28" s="126" t="str">
        <f t="array" ref="E28">IFERROR(INDEX(BD[],_xlfn.AGGREGATE(15,6,IF(BD[CLASIFICACIÓN]=$B$2,ROW(BD[CLASIFICACIÓN])-ROW('PT2 (FILTRAR)'!$E$5)+1,NA()),ROWS($B$5:E28)),COLUMNS($B$5:E28)),"")</f>
        <v>SIN ADEUDO</v>
      </c>
    </row>
    <row r="29" spans="2:5" x14ac:dyDescent="0.3">
      <c r="B29" s="126" t="str">
        <f t="array" ref="B29">IFERROR(INDEX(BD[],_xlfn.AGGREGATE(15,6,IF(BD[CLASIFICACIÓN]=$B$2,ROW(BD[CLASIFICACIÓN])-ROW('PT2 (FILTRAR)'!$E$5)+1,NA()),ROWS($B$5:B29)),COLUMNS($B$5:B29)),"")</f>
        <v>104-001-006</v>
      </c>
      <c r="C29" s="127" t="str">
        <f t="array" ref="C29">IFERROR(INDEX(BD[],_xlfn.AGGREGATE(15,6,IF(BD[CLASIFICACIÓN]=$B$2,ROW(BD[CLASIFICACIÓN])-ROW('PT2 (FILTRAR)'!$E$5)+1,NA()),ROWS($B$5:C29)),COLUMNS($B$5:C29)),"")</f>
        <v xml:space="preserve">A-302 MANUEL DAVID </v>
      </c>
      <c r="D29" s="142">
        <f t="array" ref="D29">IFERROR(INDEX(BD[],_xlfn.AGGREGATE(15,6,IF(BD[CLASIFICACIÓN]=$B$2,ROW(BD[CLASIFICACIÓN])-ROW('PT2 (FILTRAR)'!$E$5)+1,NA()),ROWS($B$5:D29)),COLUMNS($B$5:D29)),"")</f>
        <v>0</v>
      </c>
      <c r="E29" s="126" t="str">
        <f t="array" ref="E29">IFERROR(INDEX(BD[],_xlfn.AGGREGATE(15,6,IF(BD[CLASIFICACIÓN]=$B$2,ROW(BD[CLASIFICACIÓN])-ROW('PT2 (FILTRAR)'!$E$5)+1,NA()),ROWS($B$5:E29)),COLUMNS($B$5:E29)),"")</f>
        <v>SIN ADEUDO</v>
      </c>
    </row>
    <row r="30" spans="2:5" x14ac:dyDescent="0.3">
      <c r="B30" s="126" t="str">
        <f t="array" ref="B30">IFERROR(INDEX(BD[],_xlfn.AGGREGATE(15,6,IF(BD[CLASIFICACIÓN]=$B$2,ROW(BD[CLASIFICACIÓN])-ROW('PT2 (FILTRAR)'!$E$5)+1,NA()),ROWS($B$5:B30)),COLUMNS($B$5:B30)),"")</f>
        <v>104-001-007</v>
      </c>
      <c r="C30" s="127" t="str">
        <f t="array" ref="C30">IFERROR(INDEX(BD[],_xlfn.AGGREGATE(15,6,IF(BD[CLASIFICACIÓN]=$B$2,ROW(BD[CLASIFICACIÓN])-ROW('PT2 (FILTRAR)'!$E$5)+1,NA()),ROWS($B$5:C30)),COLUMNS($B$5:C30)),"")</f>
        <v>A-401 MARIO MIZRAHI</v>
      </c>
      <c r="D30" s="142">
        <f t="array" ref="D30">IFERROR(INDEX(BD[],_xlfn.AGGREGATE(15,6,IF(BD[CLASIFICACIÓN]=$B$2,ROW(BD[CLASIFICACIÓN])-ROW('PT2 (FILTRAR)'!$E$5)+1,NA()),ROWS($B$5:D30)),COLUMNS($B$5:D30)),"")</f>
        <v>0</v>
      </c>
      <c r="E30" s="126" t="str">
        <f t="array" ref="E30">IFERROR(INDEX(BD[],_xlfn.AGGREGATE(15,6,IF(BD[CLASIFICACIÓN]=$B$2,ROW(BD[CLASIFICACIÓN])-ROW('PT2 (FILTRAR)'!$E$5)+1,NA()),ROWS($B$5:E30)),COLUMNS($B$5:E30)),"")</f>
        <v>SIN ADEUDO</v>
      </c>
    </row>
    <row r="31" spans="2:5" x14ac:dyDescent="0.3">
      <c r="B31" s="126" t="str">
        <f t="array" ref="B31">IFERROR(INDEX(BD[],_xlfn.AGGREGATE(15,6,IF(BD[CLASIFICACIÓN]=$B$2,ROW(BD[CLASIFICACIÓN])-ROW('PT2 (FILTRAR)'!$E$5)+1,NA()),ROWS($B$5:B31)),COLUMNS($B$5:B31)),"")</f>
        <v>104-001-010</v>
      </c>
      <c r="C31" s="127" t="str">
        <f t="array" ref="C31">IFERROR(INDEX(BD[],_xlfn.AGGREGATE(15,6,IF(BD[CLASIFICACIÓN]=$B$2,ROW(BD[CLASIFICACIÓN])-ROW('PT2 (FILTRAR)'!$E$5)+1,NA()),ROWS($B$5:C31)),COLUMNS($B$5:C31)),"")</f>
        <v xml:space="preserve">A-502 DANIEL DAVID </v>
      </c>
      <c r="D31" s="142">
        <f t="array" ref="D31">IFERROR(INDEX(BD[],_xlfn.AGGREGATE(15,6,IF(BD[CLASIFICACIÓN]=$B$2,ROW(BD[CLASIFICACIÓN])-ROW('PT2 (FILTRAR)'!$E$5)+1,NA()),ROWS($B$5:D31)),COLUMNS($B$5:D31)),"")</f>
        <v>0</v>
      </c>
      <c r="E31" s="126" t="str">
        <f t="array" ref="E31">IFERROR(INDEX(BD[],_xlfn.AGGREGATE(15,6,IF(BD[CLASIFICACIÓN]=$B$2,ROW(BD[CLASIFICACIÓN])-ROW('PT2 (FILTRAR)'!$E$5)+1,NA()),ROWS($B$5:E31)),COLUMNS($B$5:E31)),"")</f>
        <v>SIN ADEUDO</v>
      </c>
    </row>
    <row r="32" spans="2:5" x14ac:dyDescent="0.3">
      <c r="B32" s="126" t="str">
        <f t="array" ref="B32">IFERROR(INDEX(BD[],_xlfn.AGGREGATE(15,6,IF(BD[CLASIFICACIÓN]=$B$2,ROW(BD[CLASIFICACIÓN])-ROW('PT2 (FILTRAR)'!$E$5)+1,NA()),ROWS($B$5:B32)),COLUMNS($B$5:B32)),"")</f>
        <v>104-001-011</v>
      </c>
      <c r="C32" s="127" t="str">
        <f t="array" ref="C32">IFERROR(INDEX(BD[],_xlfn.AGGREGATE(15,6,IF(BD[CLASIFICACIÓN]=$B$2,ROW(BD[CLASIFICACIÓN])-ROW('PT2 (FILTRAR)'!$E$5)+1,NA()),ROWS($B$5:C32)),COLUMNS($B$5:C32)),"")</f>
        <v>A-601 LUIS JIMENEZ ALFARO</v>
      </c>
      <c r="D32" s="142">
        <f t="array" ref="D32">IFERROR(INDEX(BD[],_xlfn.AGGREGATE(15,6,IF(BD[CLASIFICACIÓN]=$B$2,ROW(BD[CLASIFICACIÓN])-ROW('PT2 (FILTRAR)'!$E$5)+1,NA()),ROWS($B$5:D32)),COLUMNS($B$5:D32)),"")</f>
        <v>0</v>
      </c>
      <c r="E32" s="126" t="str">
        <f t="array" ref="E32">IFERROR(INDEX(BD[],_xlfn.AGGREGATE(15,6,IF(BD[CLASIFICACIÓN]=$B$2,ROW(BD[CLASIFICACIÓN])-ROW('PT2 (FILTRAR)'!$E$5)+1,NA()),ROWS($B$5:E32)),COLUMNS($B$5:E32)),"")</f>
        <v>SIN ADEUDO</v>
      </c>
    </row>
    <row r="33" spans="2:5" x14ac:dyDescent="0.3">
      <c r="B33" s="126" t="str">
        <f t="array" ref="B33">IFERROR(INDEX(BD[],_xlfn.AGGREGATE(15,6,IF(BD[CLASIFICACIÓN]=$B$2,ROW(BD[CLASIFICACIÓN])-ROW('PT2 (FILTRAR)'!$E$5)+1,NA()),ROWS($B$5:B33)),COLUMNS($B$5:B33)),"")</f>
        <v>104-001-013</v>
      </c>
      <c r="C33" s="127" t="str">
        <f t="array" ref="C33">IFERROR(INDEX(BD[],_xlfn.AGGREGATE(15,6,IF(BD[CLASIFICACIÓN]=$B$2,ROW(BD[CLASIFICACIÓN])-ROW('PT2 (FILTRAR)'!$E$5)+1,NA()),ROWS($B$5:C33)),COLUMNS($B$5:C33)),"")</f>
        <v>A-701 BELORA LEVY</v>
      </c>
      <c r="D33" s="142">
        <f t="array" ref="D33">IFERROR(INDEX(BD[],_xlfn.AGGREGATE(15,6,IF(BD[CLASIFICACIÓN]=$B$2,ROW(BD[CLASIFICACIÓN])-ROW('PT2 (FILTRAR)'!$E$5)+1,NA()),ROWS($B$5:D33)),COLUMNS($B$5:D33)),"")</f>
        <v>0</v>
      </c>
      <c r="E33" s="126" t="str">
        <f t="array" ref="E33">IFERROR(INDEX(BD[],_xlfn.AGGREGATE(15,6,IF(BD[CLASIFICACIÓN]=$B$2,ROW(BD[CLASIFICACIÓN])-ROW('PT2 (FILTRAR)'!$E$5)+1,NA()),ROWS($B$5:E33)),COLUMNS($B$5:E33)),"")</f>
        <v>SIN ADEUDO</v>
      </c>
    </row>
    <row r="34" spans="2:5" x14ac:dyDescent="0.3">
      <c r="B34" s="126" t="str">
        <f t="array" ref="B34">IFERROR(INDEX(BD[],_xlfn.AGGREGATE(15,6,IF(BD[CLASIFICACIÓN]=$B$2,ROW(BD[CLASIFICACIÓN])-ROW('PT2 (FILTRAR)'!$E$5)+1,NA()),ROWS($B$5:B34)),COLUMNS($B$5:B34)),"")</f>
        <v>104-001-015</v>
      </c>
      <c r="C34" s="127" t="str">
        <f t="array" ref="C34">IFERROR(INDEX(BD[],_xlfn.AGGREGATE(15,6,IF(BD[CLASIFICACIÓN]=$B$2,ROW(BD[CLASIFICACIÓN])-ROW('PT2 (FILTRAR)'!$E$5)+1,NA()),ROWS($B$5:C34)),COLUMNS($B$5:C34)),"")</f>
        <v>A-801 ALERTO BESSOUDO</v>
      </c>
      <c r="D34" s="142">
        <f t="array" ref="D34">IFERROR(INDEX(BD[],_xlfn.AGGREGATE(15,6,IF(BD[CLASIFICACIÓN]=$B$2,ROW(BD[CLASIFICACIÓN])-ROW('PT2 (FILTRAR)'!$E$5)+1,NA()),ROWS($B$5:D34)),COLUMNS($B$5:D34)),"")</f>
        <v>0</v>
      </c>
      <c r="E34" s="126" t="str">
        <f t="array" ref="E34">IFERROR(INDEX(BD[],_xlfn.AGGREGATE(15,6,IF(BD[CLASIFICACIÓN]=$B$2,ROW(BD[CLASIFICACIÓN])-ROW('PT2 (FILTRAR)'!$E$5)+1,NA()),ROWS($B$5:E34)),COLUMNS($B$5:E34)),"")</f>
        <v>SIN ADEUDO</v>
      </c>
    </row>
    <row r="35" spans="2:5" x14ac:dyDescent="0.3">
      <c r="B35" s="126" t="str">
        <f t="array" ref="B35">IFERROR(INDEX(BD[],_xlfn.AGGREGATE(15,6,IF(BD[CLASIFICACIÓN]=$B$2,ROW(BD[CLASIFICACIÓN])-ROW('PT2 (FILTRAR)'!$E$5)+1,NA()),ROWS($B$5:B35)),COLUMNS($B$5:B35)),"")</f>
        <v>104-001-017</v>
      </c>
      <c r="C35" s="127" t="str">
        <f t="array" ref="C35">IFERROR(INDEX(BD[],_xlfn.AGGREGATE(15,6,IF(BD[CLASIFICACIÓN]=$B$2,ROW(BD[CLASIFICACIÓN])-ROW('PT2 (FILTRAR)'!$E$5)+1,NA()),ROWS($B$5:C35)),COLUMNS($B$5:C35)),"")</f>
        <v>A-901 EDUARDO ZONANA</v>
      </c>
      <c r="D35" s="142">
        <f t="array" ref="D35">IFERROR(INDEX(BD[],_xlfn.AGGREGATE(15,6,IF(BD[CLASIFICACIÓN]=$B$2,ROW(BD[CLASIFICACIÓN])-ROW('PT2 (FILTRAR)'!$E$5)+1,NA()),ROWS($B$5:D35)),COLUMNS($B$5:D35)),"")</f>
        <v>0</v>
      </c>
      <c r="E35" s="126" t="str">
        <f t="array" ref="E35">IFERROR(INDEX(BD[],_xlfn.AGGREGATE(15,6,IF(BD[CLASIFICACIÓN]=$B$2,ROW(BD[CLASIFICACIÓN])-ROW('PT2 (FILTRAR)'!$E$5)+1,NA()),ROWS($B$5:E35)),COLUMNS($B$5:E35)),"")</f>
        <v>SIN ADEUDO</v>
      </c>
    </row>
    <row r="36" spans="2:5" x14ac:dyDescent="0.3">
      <c r="B36" s="126" t="str">
        <f t="array" ref="B36">IFERROR(INDEX(BD[],_xlfn.AGGREGATE(15,6,IF(BD[CLASIFICACIÓN]=$B$2,ROW(BD[CLASIFICACIÓN])-ROW('PT2 (FILTRAR)'!$E$5)+1,NA()),ROWS($B$5:B36)),COLUMNS($B$5:B36)),"")</f>
        <v>104-001-018</v>
      </c>
      <c r="C36" s="127" t="str">
        <f t="array" ref="C36">IFERROR(INDEX(BD[],_xlfn.AGGREGATE(15,6,IF(BD[CLASIFICACIÓN]=$B$2,ROW(BD[CLASIFICACIÓN])-ROW('PT2 (FILTRAR)'!$E$5)+1,NA()),ROWS($B$5:C36)),COLUMNS($B$5:C36)),"")</f>
        <v>A-902 ALMA FONDO DE AYUDA I. A. P.</v>
      </c>
      <c r="D36" s="142">
        <f t="array" ref="D36">IFERROR(INDEX(BD[],_xlfn.AGGREGATE(15,6,IF(BD[CLASIFICACIÓN]=$B$2,ROW(BD[CLASIFICACIÓN])-ROW('PT2 (FILTRAR)'!$E$5)+1,NA()),ROWS($B$5:D36)),COLUMNS($B$5:D36)),"")</f>
        <v>0</v>
      </c>
      <c r="E36" s="126" t="str">
        <f t="array" ref="E36">IFERROR(INDEX(BD[],_xlfn.AGGREGATE(15,6,IF(BD[CLASIFICACIÓN]=$B$2,ROW(BD[CLASIFICACIÓN])-ROW('PT2 (FILTRAR)'!$E$5)+1,NA()),ROWS($B$5:E36)),COLUMNS($B$5:E36)),"")</f>
        <v>SIN ADEUDO</v>
      </c>
    </row>
    <row r="37" spans="2:5" x14ac:dyDescent="0.3">
      <c r="B37" s="126" t="str">
        <f t="array" ref="B37">IFERROR(INDEX(BD[],_xlfn.AGGREGATE(15,6,IF(BD[CLASIFICACIÓN]=$B$2,ROW(BD[CLASIFICACIÓN])-ROW('PT2 (FILTRAR)'!$E$5)+1,NA()),ROWS($B$5:B37)),COLUMNS($B$5:B37)),"")</f>
        <v>104-001-021</v>
      </c>
      <c r="C37" s="127" t="str">
        <f t="array" ref="C37">IFERROR(INDEX(BD[],_xlfn.AGGREGATE(15,6,IF(BD[CLASIFICACIÓN]=$B$2,ROW(BD[CLASIFICACIÓN])-ROW('PT2 (FILTRAR)'!$E$5)+1,NA()),ROWS($B$5:C37)),COLUMNS($B$5:C37)),"")</f>
        <v>A-1101 JAIME SABA</v>
      </c>
      <c r="D37" s="142">
        <f t="array" ref="D37">IFERROR(INDEX(BD[],_xlfn.AGGREGATE(15,6,IF(BD[CLASIFICACIÓN]=$B$2,ROW(BD[CLASIFICACIÓN])-ROW('PT2 (FILTRAR)'!$E$5)+1,NA()),ROWS($B$5:D37)),COLUMNS($B$5:D37)),"")</f>
        <v>0</v>
      </c>
      <c r="E37" s="126" t="str">
        <f t="array" ref="E37">IFERROR(INDEX(BD[],_xlfn.AGGREGATE(15,6,IF(BD[CLASIFICACIÓN]=$B$2,ROW(BD[CLASIFICACIÓN])-ROW('PT2 (FILTRAR)'!$E$5)+1,NA()),ROWS($B$5:E37)),COLUMNS($B$5:E37)),"")</f>
        <v>SIN ADEUDO</v>
      </c>
    </row>
    <row r="38" spans="2:5" x14ac:dyDescent="0.3">
      <c r="B38" s="126" t="str">
        <f t="array" ref="B38">IFERROR(INDEX(BD[],_xlfn.AGGREGATE(15,6,IF(BD[CLASIFICACIÓN]=$B$2,ROW(BD[CLASIFICACIÓN])-ROW('PT2 (FILTRAR)'!$E$5)+1,NA()),ROWS($B$5:B38)),COLUMNS($B$5:B38)),"")</f>
        <v>104-001-023</v>
      </c>
      <c r="C38" s="127" t="str">
        <f t="array" ref="C38">IFERROR(INDEX(BD[],_xlfn.AGGREGATE(15,6,IF(BD[CLASIFICACIÓN]=$B$2,ROW(BD[CLASIFICACIÓN])-ROW('PT2 (FILTRAR)'!$E$5)+1,NA()),ROWS($B$5:C38)),COLUMNS($B$5:C38)),"")</f>
        <v>A-1201 MAYER KHALIFAH</v>
      </c>
      <c r="D38" s="142">
        <f t="array" ref="D38">IFERROR(INDEX(BD[],_xlfn.AGGREGATE(15,6,IF(BD[CLASIFICACIÓN]=$B$2,ROW(BD[CLASIFICACIÓN])-ROW('PT2 (FILTRAR)'!$E$5)+1,NA()),ROWS($B$5:D38)),COLUMNS($B$5:D38)),"")</f>
        <v>0</v>
      </c>
      <c r="E38" s="126" t="str">
        <f t="array" ref="E38">IFERROR(INDEX(BD[],_xlfn.AGGREGATE(15,6,IF(BD[CLASIFICACIÓN]=$B$2,ROW(BD[CLASIFICACIÓN])-ROW('PT2 (FILTRAR)'!$E$5)+1,NA()),ROWS($B$5:E38)),COLUMNS($B$5:E38)),"")</f>
        <v>SIN ADEUDO</v>
      </c>
    </row>
    <row r="39" spans="2:5" x14ac:dyDescent="0.3">
      <c r="B39" s="126" t="str">
        <f t="array" ref="B39">IFERROR(INDEX(BD[],_xlfn.AGGREGATE(15,6,IF(BD[CLASIFICACIÓN]=$B$2,ROW(BD[CLASIFICACIÓN])-ROW('PT2 (FILTRAR)'!$E$5)+1,NA()),ROWS($B$5:B39)),COLUMNS($B$5:B39)),"")</f>
        <v>104-001-024</v>
      </c>
      <c r="C39" s="127" t="str">
        <f t="array" ref="C39">IFERROR(INDEX(BD[],_xlfn.AGGREGATE(15,6,IF(BD[CLASIFICACIÓN]=$B$2,ROW(BD[CLASIFICACIÓN])-ROW('PT2 (FILTRAR)'!$E$5)+1,NA()),ROWS($B$5:C39)),COLUMNS($B$5:C39)),"")</f>
        <v>A-1202 MOISES TUACHI</v>
      </c>
      <c r="D39" s="142">
        <f t="array" ref="D39">IFERROR(INDEX(BD[],_xlfn.AGGREGATE(15,6,IF(BD[CLASIFICACIÓN]=$B$2,ROW(BD[CLASIFICACIÓN])-ROW('PT2 (FILTRAR)'!$E$5)+1,NA()),ROWS($B$5:D39)),COLUMNS($B$5:D39)),"")</f>
        <v>0</v>
      </c>
      <c r="E39" s="126" t="str">
        <f t="array" ref="E39">IFERROR(INDEX(BD[],_xlfn.AGGREGATE(15,6,IF(BD[CLASIFICACIÓN]=$B$2,ROW(BD[CLASIFICACIÓN])-ROW('PT2 (FILTRAR)'!$E$5)+1,NA()),ROWS($B$5:E39)),COLUMNS($B$5:E39)),"")</f>
        <v>SIN ADEUDO</v>
      </c>
    </row>
    <row r="40" spans="2:5" x14ac:dyDescent="0.3">
      <c r="B40" s="126" t="str">
        <f t="array" ref="B40">IFERROR(INDEX(BD[],_xlfn.AGGREGATE(15,6,IF(BD[CLASIFICACIÓN]=$B$2,ROW(BD[CLASIFICACIÓN])-ROW('PT2 (FILTRAR)'!$E$5)+1,NA()),ROWS($B$5:B40)),COLUMNS($B$5:B40)),"")</f>
        <v>104-001-025</v>
      </c>
      <c r="C40" s="127" t="str">
        <f t="array" ref="C40">IFERROR(INDEX(BD[],_xlfn.AGGREGATE(15,6,IF(BD[CLASIFICACIÓN]=$B$2,ROW(BD[CLASIFICACIÓN])-ROW('PT2 (FILTRAR)'!$E$5)+1,NA()),ROWS($B$5:C40)),COLUMNS($B$5:C40)),"")</f>
        <v xml:space="preserve">A-1301 MAYER COHEN </v>
      </c>
      <c r="D40" s="142">
        <f t="array" ref="D40">IFERROR(INDEX(BD[],_xlfn.AGGREGATE(15,6,IF(BD[CLASIFICACIÓN]=$B$2,ROW(BD[CLASIFICACIÓN])-ROW('PT2 (FILTRAR)'!$E$5)+1,NA()),ROWS($B$5:D40)),COLUMNS($B$5:D40)),"")</f>
        <v>0</v>
      </c>
      <c r="E40" s="126" t="str">
        <f t="array" ref="E40">IFERROR(INDEX(BD[],_xlfn.AGGREGATE(15,6,IF(BD[CLASIFICACIÓN]=$B$2,ROW(BD[CLASIFICACIÓN])-ROW('PT2 (FILTRAR)'!$E$5)+1,NA()),ROWS($B$5:E40)),COLUMNS($B$5:E40)),"")</f>
        <v>SIN ADEUDO</v>
      </c>
    </row>
    <row r="41" spans="2:5" x14ac:dyDescent="0.3">
      <c r="B41" s="126" t="str">
        <f t="array" ref="B41">IFERROR(INDEX(BD[],_xlfn.AGGREGATE(15,6,IF(BD[CLASIFICACIÓN]=$B$2,ROW(BD[CLASIFICACIÓN])-ROW('PT2 (FILTRAR)'!$E$5)+1,NA()),ROWS($B$5:B41)),COLUMNS($B$5:B41)),"")</f>
        <v>104-001-026</v>
      </c>
      <c r="C41" s="127" t="str">
        <f t="array" ref="C41">IFERROR(INDEX(BD[],_xlfn.AGGREGATE(15,6,IF(BD[CLASIFICACIÓN]=$B$2,ROW(BD[CLASIFICACIÓN])-ROW('PT2 (FILTRAR)'!$E$5)+1,NA()),ROWS($B$5:C41)),COLUMNS($B$5:C41)),"")</f>
        <v>A-1302 BECKY EDID</v>
      </c>
      <c r="D41" s="142">
        <f t="array" ref="D41">IFERROR(INDEX(BD[],_xlfn.AGGREGATE(15,6,IF(BD[CLASIFICACIÓN]=$B$2,ROW(BD[CLASIFICACIÓN])-ROW('PT2 (FILTRAR)'!$E$5)+1,NA()),ROWS($B$5:D41)),COLUMNS($B$5:D41)),"")</f>
        <v>0</v>
      </c>
      <c r="E41" s="126" t="str">
        <f t="array" ref="E41">IFERROR(INDEX(BD[],_xlfn.AGGREGATE(15,6,IF(BD[CLASIFICACIÓN]=$B$2,ROW(BD[CLASIFICACIÓN])-ROW('PT2 (FILTRAR)'!$E$5)+1,NA()),ROWS($B$5:E41)),COLUMNS($B$5:E41)),"")</f>
        <v>SIN ADEUDO</v>
      </c>
    </row>
    <row r="42" spans="2:5" x14ac:dyDescent="0.3">
      <c r="B42" s="126" t="str">
        <f t="array" ref="B42">IFERROR(INDEX(BD[],_xlfn.AGGREGATE(15,6,IF(BD[CLASIFICACIÓN]=$B$2,ROW(BD[CLASIFICACIÓN])-ROW('PT2 (FILTRAR)'!$E$5)+1,NA()),ROWS($B$5:B42)),COLUMNS($B$5:B42)),"")</f>
        <v>104-001-029</v>
      </c>
      <c r="C42" s="127" t="str">
        <f t="array" ref="C42">IFERROR(INDEX(BD[],_xlfn.AGGREGATE(15,6,IF(BD[CLASIFICACIÓN]=$B$2,ROW(BD[CLASIFICACIÓN])-ROW('PT2 (FILTRAR)'!$E$5)+1,NA()),ROWS($B$5:C42)),COLUMNS($B$5:C42)),"")</f>
        <v>A-1501 NISSIM TURKIA</v>
      </c>
      <c r="D42" s="142">
        <f t="array" ref="D42">IFERROR(INDEX(BD[],_xlfn.AGGREGATE(15,6,IF(BD[CLASIFICACIÓN]=$B$2,ROW(BD[CLASIFICACIÓN])-ROW('PT2 (FILTRAR)'!$E$5)+1,NA()),ROWS($B$5:D42)),COLUMNS($B$5:D42)),"")</f>
        <v>0</v>
      </c>
      <c r="E42" s="126" t="str">
        <f t="array" ref="E42">IFERROR(INDEX(BD[],_xlfn.AGGREGATE(15,6,IF(BD[CLASIFICACIÓN]=$B$2,ROW(BD[CLASIFICACIÓN])-ROW('PT2 (FILTRAR)'!$E$5)+1,NA()),ROWS($B$5:E42)),COLUMNS($B$5:E42)),"")</f>
        <v>SIN ADEUDO</v>
      </c>
    </row>
    <row r="43" spans="2:5" x14ac:dyDescent="0.3">
      <c r="B43" s="126" t="str">
        <f t="array" ref="B43">IFERROR(INDEX(BD[],_xlfn.AGGREGATE(15,6,IF(BD[CLASIFICACIÓN]=$B$2,ROW(BD[CLASIFICACIÓN])-ROW('PT2 (FILTRAR)'!$E$5)+1,NA()),ROWS($B$5:B43)),COLUMNS($B$5:B43)),"")</f>
        <v>104-001-031</v>
      </c>
      <c r="C43" s="127" t="str">
        <f t="array" ref="C43">IFERROR(INDEX(BD[],_xlfn.AGGREGATE(15,6,IF(BD[CLASIFICACIÓN]=$B$2,ROW(BD[CLASIFICACIÓN])-ROW('PT2 (FILTRAR)'!$E$5)+1,NA()),ROWS($B$5:C43)),COLUMNS($B$5:C43)),"")</f>
        <v>A-1601 LEON SEVILLA</v>
      </c>
      <c r="D43" s="142">
        <f t="array" ref="D43">IFERROR(INDEX(BD[],_xlfn.AGGREGATE(15,6,IF(BD[CLASIFICACIÓN]=$B$2,ROW(BD[CLASIFICACIÓN])-ROW('PT2 (FILTRAR)'!$E$5)+1,NA()),ROWS($B$5:D43)),COLUMNS($B$5:D43)),"")</f>
        <v>0</v>
      </c>
      <c r="E43" s="126" t="str">
        <f t="array" ref="E43">IFERROR(INDEX(BD[],_xlfn.AGGREGATE(15,6,IF(BD[CLASIFICACIÓN]=$B$2,ROW(BD[CLASIFICACIÓN])-ROW('PT2 (FILTRAR)'!$E$5)+1,NA()),ROWS($B$5:E43)),COLUMNS($B$5:E43)),"")</f>
        <v>SIN ADEUDO</v>
      </c>
    </row>
    <row r="44" spans="2:5" x14ac:dyDescent="0.3">
      <c r="B44" s="126" t="str">
        <f t="array" ref="B44">IFERROR(INDEX(BD[],_xlfn.AGGREGATE(15,6,IF(BD[CLASIFICACIÓN]=$B$2,ROW(BD[CLASIFICACIÓN])-ROW('PT2 (FILTRAR)'!$E$5)+1,NA()),ROWS($B$5:B44)),COLUMNS($B$5:B44)),"")</f>
        <v>104-001-035</v>
      </c>
      <c r="C44" s="127" t="str">
        <f t="array" ref="C44">IFERROR(INDEX(BD[],_xlfn.AGGREGATE(15,6,IF(BD[CLASIFICACIÓN]=$B$2,ROW(BD[CLASIFICACIÓN])-ROW('PT2 (FILTRAR)'!$E$5)+1,NA()),ROWS($B$5:C44)),COLUMNS($B$5:C44)),"")</f>
        <v>A-1801 FRIDA ALFIE</v>
      </c>
      <c r="D44" s="142">
        <f t="array" ref="D44">IFERROR(INDEX(BD[],_xlfn.AGGREGATE(15,6,IF(BD[CLASIFICACIÓN]=$B$2,ROW(BD[CLASIFICACIÓN])-ROW('PT2 (FILTRAR)'!$E$5)+1,NA()),ROWS($B$5:D44)),COLUMNS($B$5:D44)),"")</f>
        <v>0</v>
      </c>
      <c r="E44" s="126" t="str">
        <f t="array" ref="E44">IFERROR(INDEX(BD[],_xlfn.AGGREGATE(15,6,IF(BD[CLASIFICACIÓN]=$B$2,ROW(BD[CLASIFICACIÓN])-ROW('PT2 (FILTRAR)'!$E$5)+1,NA()),ROWS($B$5:E44)),COLUMNS($B$5:E44)),"")</f>
        <v>SIN ADEUDO</v>
      </c>
    </row>
    <row r="45" spans="2:5" x14ac:dyDescent="0.3">
      <c r="B45" s="126" t="str">
        <f t="array" ref="B45">IFERROR(INDEX(BD[],_xlfn.AGGREGATE(15,6,IF(BD[CLASIFICACIÓN]=$B$2,ROW(BD[CLASIFICACIÓN])-ROW('PT2 (FILTRAR)'!$E$5)+1,NA()),ROWS($B$5:B45)),COLUMNS($B$5:B45)),"")</f>
        <v>104-001-037</v>
      </c>
      <c r="C45" s="127" t="str">
        <f t="array" ref="C45">IFERROR(INDEX(BD[],_xlfn.AGGREGATE(15,6,IF(BD[CLASIFICACIÓN]=$B$2,ROW(BD[CLASIFICACIÓN])-ROW('PT2 (FILTRAR)'!$E$5)+1,NA()),ROWS($B$5:C45)),COLUMNS($B$5:C45)),"")</f>
        <v>A-1901 JONATHAN POMERANTZ</v>
      </c>
      <c r="D45" s="142">
        <f t="array" ref="D45">IFERROR(INDEX(BD[],_xlfn.AGGREGATE(15,6,IF(BD[CLASIFICACIÓN]=$B$2,ROW(BD[CLASIFICACIÓN])-ROW('PT2 (FILTRAR)'!$E$5)+1,NA()),ROWS($B$5:D45)),COLUMNS($B$5:D45)),"")</f>
        <v>0</v>
      </c>
      <c r="E45" s="126" t="str">
        <f t="array" ref="E45">IFERROR(INDEX(BD[],_xlfn.AGGREGATE(15,6,IF(BD[CLASIFICACIÓN]=$B$2,ROW(BD[CLASIFICACIÓN])-ROW('PT2 (FILTRAR)'!$E$5)+1,NA()),ROWS($B$5:E45)),COLUMNS($B$5:E45)),"")</f>
        <v>SIN ADEUDO</v>
      </c>
    </row>
    <row r="46" spans="2:5" x14ac:dyDescent="0.3">
      <c r="B46" s="126" t="str">
        <f t="array" ref="B46">IFERROR(INDEX(BD[],_xlfn.AGGREGATE(15,6,IF(BD[CLASIFICACIÓN]=$B$2,ROW(BD[CLASIFICACIÓN])-ROW('PT2 (FILTRAR)'!$E$5)+1,NA()),ROWS($B$5:B46)),COLUMNS($B$5:B46)),"")</f>
        <v>104-001-038</v>
      </c>
      <c r="C46" s="127" t="str">
        <f t="array" ref="C46">IFERROR(INDEX(BD[],_xlfn.AGGREGATE(15,6,IF(BD[CLASIFICACIÓN]=$B$2,ROW(BD[CLASIFICACIÓN])-ROW('PT2 (FILTRAR)'!$E$5)+1,NA()),ROWS($B$5:C46)),COLUMNS($B$5:C46)),"")</f>
        <v>A-1902 LINDA PENHOS</v>
      </c>
      <c r="D46" s="142">
        <f t="array" ref="D46">IFERROR(INDEX(BD[],_xlfn.AGGREGATE(15,6,IF(BD[CLASIFICACIÓN]=$B$2,ROW(BD[CLASIFICACIÓN])-ROW('PT2 (FILTRAR)'!$E$5)+1,NA()),ROWS($B$5:D46)),COLUMNS($B$5:D46)),"")</f>
        <v>0</v>
      </c>
      <c r="E46" s="126" t="str">
        <f t="array" ref="E46">IFERROR(INDEX(BD[],_xlfn.AGGREGATE(15,6,IF(BD[CLASIFICACIÓN]=$B$2,ROW(BD[CLASIFICACIÓN])-ROW('PT2 (FILTRAR)'!$E$5)+1,NA()),ROWS($B$5:E46)),COLUMNS($B$5:E46)),"")</f>
        <v>SIN ADEUDO</v>
      </c>
    </row>
    <row r="47" spans="2:5" x14ac:dyDescent="0.3">
      <c r="B47" s="126" t="str">
        <f t="array" ref="B47">IFERROR(INDEX(BD[],_xlfn.AGGREGATE(15,6,IF(BD[CLASIFICACIÓN]=$B$2,ROW(BD[CLASIFICACIÓN])-ROW('PT2 (FILTRAR)'!$E$5)+1,NA()),ROWS($B$5:B47)),COLUMNS($B$5:B47)),"")</f>
        <v>104-001-039</v>
      </c>
      <c r="C47" s="127" t="str">
        <f t="array" ref="C47">IFERROR(INDEX(BD[],_xlfn.AGGREGATE(15,6,IF(BD[CLASIFICACIÓN]=$B$2,ROW(BD[CLASIFICACIÓN])-ROW('PT2 (FILTRAR)'!$E$5)+1,NA()),ROWS($B$5:C47)),COLUMNS($B$5:C47)),"")</f>
        <v>A-2001 ALICIA SABA</v>
      </c>
      <c r="D47" s="142">
        <f t="array" ref="D47">IFERROR(INDEX(BD[],_xlfn.AGGREGATE(15,6,IF(BD[CLASIFICACIÓN]=$B$2,ROW(BD[CLASIFICACIÓN])-ROW('PT2 (FILTRAR)'!$E$5)+1,NA()),ROWS($B$5:D47)),COLUMNS($B$5:D47)),"")</f>
        <v>0</v>
      </c>
      <c r="E47" s="126" t="str">
        <f t="array" ref="E47">IFERROR(INDEX(BD[],_xlfn.AGGREGATE(15,6,IF(BD[CLASIFICACIÓN]=$B$2,ROW(BD[CLASIFICACIÓN])-ROW('PT2 (FILTRAR)'!$E$5)+1,NA()),ROWS($B$5:E47)),COLUMNS($B$5:E47)),"")</f>
        <v>SIN ADEUDO</v>
      </c>
    </row>
    <row r="48" spans="2:5" x14ac:dyDescent="0.3">
      <c r="B48" s="126" t="str">
        <f t="array" ref="B48">IFERROR(INDEX(BD[],_xlfn.AGGREGATE(15,6,IF(BD[CLASIFICACIÓN]=$B$2,ROW(BD[CLASIFICACIÓN])-ROW('PT2 (FILTRAR)'!$E$5)+1,NA()),ROWS($B$5:B48)),COLUMNS($B$5:B48)),"")</f>
        <v>104-001-040</v>
      </c>
      <c r="C48" s="127" t="str">
        <f t="array" ref="C48">IFERROR(INDEX(BD[],_xlfn.AGGREGATE(15,6,IF(BD[CLASIFICACIÓN]=$B$2,ROW(BD[CLASIFICACIÓN])-ROW('PT2 (FILTRAR)'!$E$5)+1,NA()),ROWS($B$5:C48)),COLUMNS($B$5:C48)),"")</f>
        <v>A-2002 RAFAEL BEHAR</v>
      </c>
      <c r="D48" s="142">
        <f t="array" ref="D48">IFERROR(INDEX(BD[],_xlfn.AGGREGATE(15,6,IF(BD[CLASIFICACIÓN]=$B$2,ROW(BD[CLASIFICACIÓN])-ROW('PT2 (FILTRAR)'!$E$5)+1,NA()),ROWS($B$5:D48)),COLUMNS($B$5:D48)),"")</f>
        <v>0</v>
      </c>
      <c r="E48" s="126" t="str">
        <f t="array" ref="E48">IFERROR(INDEX(BD[],_xlfn.AGGREGATE(15,6,IF(BD[CLASIFICACIÓN]=$B$2,ROW(BD[CLASIFICACIÓN])-ROW('PT2 (FILTRAR)'!$E$5)+1,NA()),ROWS($B$5:E48)),COLUMNS($B$5:E48)),"")</f>
        <v>SIN ADEUDO</v>
      </c>
    </row>
    <row r="49" spans="2:5" x14ac:dyDescent="0.3">
      <c r="B49" s="126" t="str">
        <f t="array" ref="B49">IFERROR(INDEX(BD[],_xlfn.AGGREGATE(15,6,IF(BD[CLASIFICACIÓN]=$B$2,ROW(BD[CLASIFICACIÓN])-ROW('PT2 (FILTRAR)'!$E$5)+1,NA()),ROWS($B$5:B49)),COLUMNS($B$5:B49)),"")</f>
        <v>104-001-041</v>
      </c>
      <c r="C49" s="127" t="str">
        <f t="array" ref="C49">IFERROR(INDEX(BD[],_xlfn.AGGREGATE(15,6,IF(BD[CLASIFICACIÓN]=$B$2,ROW(BD[CLASIFICACIÓN])-ROW('PT2 (FILTRAR)'!$E$5)+1,NA()),ROWS($B$5:C49)),COLUMNS($B$5:C49)),"")</f>
        <v>A-2101 MOISES PALOMBO</v>
      </c>
      <c r="D49" s="142">
        <f t="array" ref="D49">IFERROR(INDEX(BD[],_xlfn.AGGREGATE(15,6,IF(BD[CLASIFICACIÓN]=$B$2,ROW(BD[CLASIFICACIÓN])-ROW('PT2 (FILTRAR)'!$E$5)+1,NA()),ROWS($B$5:D49)),COLUMNS($B$5:D49)),"")</f>
        <v>0</v>
      </c>
      <c r="E49" s="126" t="str">
        <f t="array" ref="E49">IFERROR(INDEX(BD[],_xlfn.AGGREGATE(15,6,IF(BD[CLASIFICACIÓN]=$B$2,ROW(BD[CLASIFICACIÓN])-ROW('PT2 (FILTRAR)'!$E$5)+1,NA()),ROWS($B$5:E49)),COLUMNS($B$5:E49)),"")</f>
        <v>SIN ADEUDO</v>
      </c>
    </row>
    <row r="50" spans="2:5" x14ac:dyDescent="0.3">
      <c r="B50" s="126" t="str">
        <f t="array" ref="B50">IFERROR(INDEX(BD[],_xlfn.AGGREGATE(15,6,IF(BD[CLASIFICACIÓN]=$B$2,ROW(BD[CLASIFICACIÓN])-ROW('PT2 (FILTRAR)'!$E$5)+1,NA()),ROWS($B$5:B50)),COLUMNS($B$5:B50)),"")</f>
        <v>104-001-042</v>
      </c>
      <c r="C50" s="127" t="str">
        <f t="array" ref="C50">IFERROR(INDEX(BD[],_xlfn.AGGREGATE(15,6,IF(BD[CLASIFICACIÓN]=$B$2,ROW(BD[CLASIFICACIÓN])-ROW('PT2 (FILTRAR)'!$E$5)+1,NA()),ROWS($B$5:C50)),COLUMNS($B$5:C50)),"")</f>
        <v>A-2102 MAURICIO BALEY</v>
      </c>
      <c r="D50" s="142">
        <f t="array" ref="D50">IFERROR(INDEX(BD[],_xlfn.AGGREGATE(15,6,IF(BD[CLASIFICACIÓN]=$B$2,ROW(BD[CLASIFICACIÓN])-ROW('PT2 (FILTRAR)'!$E$5)+1,NA()),ROWS($B$5:D50)),COLUMNS($B$5:D50)),"")</f>
        <v>0</v>
      </c>
      <c r="E50" s="126" t="str">
        <f t="array" ref="E50">IFERROR(INDEX(BD[],_xlfn.AGGREGATE(15,6,IF(BD[CLASIFICACIÓN]=$B$2,ROW(BD[CLASIFICACIÓN])-ROW('PT2 (FILTRAR)'!$E$5)+1,NA()),ROWS($B$5:E50)),COLUMNS($B$5:E50)),"")</f>
        <v>SIN ADEUDO</v>
      </c>
    </row>
    <row r="51" spans="2:5" x14ac:dyDescent="0.3">
      <c r="B51" s="126" t="str">
        <f t="array" ref="B51">IFERROR(INDEX(BD[],_xlfn.AGGREGATE(15,6,IF(BD[CLASIFICACIÓN]=$B$2,ROW(BD[CLASIFICACIÓN])-ROW('PT2 (FILTRAR)'!$E$5)+1,NA()),ROWS($B$5:B51)),COLUMNS($B$5:B51)),"")</f>
        <v>104-001-044</v>
      </c>
      <c r="C51" s="127" t="str">
        <f t="array" ref="C51">IFERROR(INDEX(BD[],_xlfn.AGGREGATE(15,6,IF(BD[CLASIFICACIÓN]=$B$2,ROW(BD[CLASIFICACIÓN])-ROW('PT2 (FILTRAR)'!$E$5)+1,NA()),ROWS($B$5:C51)),COLUMNS($B$5:C51)),"")</f>
        <v xml:space="preserve">A-2202 JAIME COHEN </v>
      </c>
      <c r="D51" s="142">
        <f t="array" ref="D51">IFERROR(INDEX(BD[],_xlfn.AGGREGATE(15,6,IF(BD[CLASIFICACIÓN]=$B$2,ROW(BD[CLASIFICACIÓN])-ROW('PT2 (FILTRAR)'!$E$5)+1,NA()),ROWS($B$5:D51)),COLUMNS($B$5:D51)),"")</f>
        <v>0</v>
      </c>
      <c r="E51" s="126" t="str">
        <f t="array" ref="E51">IFERROR(INDEX(BD[],_xlfn.AGGREGATE(15,6,IF(BD[CLASIFICACIÓN]=$B$2,ROW(BD[CLASIFICACIÓN])-ROW('PT2 (FILTRAR)'!$E$5)+1,NA()),ROWS($B$5:E51)),COLUMNS($B$5:E51)),"")</f>
        <v>SIN ADEUDO</v>
      </c>
    </row>
    <row r="52" spans="2:5" x14ac:dyDescent="0.3">
      <c r="B52" s="126" t="str">
        <f t="array" ref="B52">IFERROR(INDEX(BD[],_xlfn.AGGREGATE(15,6,IF(BD[CLASIFICACIÓN]=$B$2,ROW(BD[CLASIFICACIÓN])-ROW('PT2 (FILTRAR)'!$E$5)+1,NA()),ROWS($B$5:B52)),COLUMNS($B$5:B52)),"")</f>
        <v>104-001-046</v>
      </c>
      <c r="C52" s="127" t="str">
        <f t="array" ref="C52">IFERROR(INDEX(BD[],_xlfn.AGGREGATE(15,6,IF(BD[CLASIFICACIÓN]=$B$2,ROW(BD[CLASIFICACIÓN])-ROW('PT2 (FILTRAR)'!$E$5)+1,NA()),ROWS($B$5:C52)),COLUMNS($B$5:C52)),"")</f>
        <v xml:space="preserve">A-2302 ALBERTO MAYA </v>
      </c>
      <c r="D52" s="142">
        <f t="array" ref="D52">IFERROR(INDEX(BD[],_xlfn.AGGREGATE(15,6,IF(BD[CLASIFICACIÓN]=$B$2,ROW(BD[CLASIFICACIÓN])-ROW('PT2 (FILTRAR)'!$E$5)+1,NA()),ROWS($B$5:D52)),COLUMNS($B$5:D52)),"")</f>
        <v>0</v>
      </c>
      <c r="E52" s="126" t="str">
        <f t="array" ref="E52">IFERROR(INDEX(BD[],_xlfn.AGGREGATE(15,6,IF(BD[CLASIFICACIÓN]=$B$2,ROW(BD[CLASIFICACIÓN])-ROW('PT2 (FILTRAR)'!$E$5)+1,NA()),ROWS($B$5:E52)),COLUMNS($B$5:E52)),"")</f>
        <v>SIN ADEUDO</v>
      </c>
    </row>
    <row r="53" spans="2:5" x14ac:dyDescent="0.3">
      <c r="B53" s="126" t="str">
        <f t="array" ref="B53">IFERROR(INDEX(BD[],_xlfn.AGGREGATE(15,6,IF(BD[CLASIFICACIÓN]=$B$2,ROW(BD[CLASIFICACIÓN])-ROW('PT2 (FILTRAR)'!$E$5)+1,NA()),ROWS($B$5:B53)),COLUMNS($B$5:B53)),"")</f>
        <v>104-001-049</v>
      </c>
      <c r="C53" s="127" t="str">
        <f t="array" ref="C53">IFERROR(INDEX(BD[],_xlfn.AGGREGATE(15,6,IF(BD[CLASIFICACIÓN]=$B$2,ROW(BD[CLASIFICACIÓN])-ROW('PT2 (FILTRAR)'!$E$5)+1,NA()),ROWS($B$5:C53)),COLUMNS($B$5:C53)),"")</f>
        <v>A-2501 SAMY LAZAROV</v>
      </c>
      <c r="D53" s="142">
        <f t="array" ref="D53">IFERROR(INDEX(BD[],_xlfn.AGGREGATE(15,6,IF(BD[CLASIFICACIÓN]=$B$2,ROW(BD[CLASIFICACIÓN])-ROW('PT2 (FILTRAR)'!$E$5)+1,NA()),ROWS($B$5:D53)),COLUMNS($B$5:D53)),"")</f>
        <v>0</v>
      </c>
      <c r="E53" s="126" t="str">
        <f t="array" ref="E53">IFERROR(INDEX(BD[],_xlfn.AGGREGATE(15,6,IF(BD[CLASIFICACIÓN]=$B$2,ROW(BD[CLASIFICACIÓN])-ROW('PT2 (FILTRAR)'!$E$5)+1,NA()),ROWS($B$5:E53)),COLUMNS($B$5:E53)),"")</f>
        <v>SIN ADEUDO</v>
      </c>
    </row>
    <row r="54" spans="2:5" x14ac:dyDescent="0.3">
      <c r="B54" s="126" t="str">
        <f t="array" ref="B54">IFERROR(INDEX(BD[],_xlfn.AGGREGATE(15,6,IF(BD[CLASIFICACIÓN]=$B$2,ROW(BD[CLASIFICACIÓN])-ROW('PT2 (FILTRAR)'!$E$5)+1,NA()),ROWS($B$5:B54)),COLUMNS($B$5:B54)),"")</f>
        <v>104-001-050</v>
      </c>
      <c r="C54" s="127" t="str">
        <f t="array" ref="C54">IFERROR(INDEX(BD[],_xlfn.AGGREGATE(15,6,IF(BD[CLASIFICACIÓN]=$B$2,ROW(BD[CLASIFICACIÓN])-ROW('PT2 (FILTRAR)'!$E$5)+1,NA()),ROWS($B$5:C54)),COLUMNS($B$5:C54)),"")</f>
        <v>A-2502 MOISES GUINDI</v>
      </c>
      <c r="D54" s="142">
        <f t="array" ref="D54">IFERROR(INDEX(BD[],_xlfn.AGGREGATE(15,6,IF(BD[CLASIFICACIÓN]=$B$2,ROW(BD[CLASIFICACIÓN])-ROW('PT2 (FILTRAR)'!$E$5)+1,NA()),ROWS($B$5:D54)),COLUMNS($B$5:D54)),"")</f>
        <v>0</v>
      </c>
      <c r="E54" s="126" t="str">
        <f t="array" ref="E54">IFERROR(INDEX(BD[],_xlfn.AGGREGATE(15,6,IF(BD[CLASIFICACIÓN]=$B$2,ROW(BD[CLASIFICACIÓN])-ROW('PT2 (FILTRAR)'!$E$5)+1,NA()),ROWS($B$5:E54)),COLUMNS($B$5:E54)),"")</f>
        <v>SIN ADEUDO</v>
      </c>
    </row>
    <row r="55" spans="2:5" x14ac:dyDescent="0.3">
      <c r="B55" s="126" t="str">
        <f t="array" ref="B55">IFERROR(INDEX(BD[],_xlfn.AGGREGATE(15,6,IF(BD[CLASIFICACIÓN]=$B$2,ROW(BD[CLASIFICACIÓN])-ROW('PT2 (FILTRAR)'!$E$5)+1,NA()),ROWS($B$5:B55)),COLUMNS($B$5:B55)),"")</f>
        <v>104-001-051</v>
      </c>
      <c r="C55" s="127" t="str">
        <f t="array" ref="C55">IFERROR(INDEX(BD[],_xlfn.AGGREGATE(15,6,IF(BD[CLASIFICACIÓN]=$B$2,ROW(BD[CLASIFICACIÓN])-ROW('PT2 (FILTRAR)'!$E$5)+1,NA()),ROWS($B$5:C55)),COLUMNS($B$5:C55)),"")</f>
        <v>A-PH01 BUDY CHICUREL</v>
      </c>
      <c r="D55" s="142">
        <f t="array" ref="D55">IFERROR(INDEX(BD[],_xlfn.AGGREGATE(15,6,IF(BD[CLASIFICACIÓN]=$B$2,ROW(BD[CLASIFICACIÓN])-ROW('PT2 (FILTRAR)'!$E$5)+1,NA()),ROWS($B$5:D55)),COLUMNS($B$5:D55)),"")</f>
        <v>0</v>
      </c>
      <c r="E55" s="126" t="str">
        <f t="array" ref="E55">IFERROR(INDEX(BD[],_xlfn.AGGREGATE(15,6,IF(BD[CLASIFICACIÓN]=$B$2,ROW(BD[CLASIFICACIÓN])-ROW('PT2 (FILTRAR)'!$E$5)+1,NA()),ROWS($B$5:E55)),COLUMNS($B$5:E55)),"")</f>
        <v>SIN ADEUDO</v>
      </c>
    </row>
    <row r="56" spans="2:5" x14ac:dyDescent="0.3">
      <c r="B56" s="126" t="str">
        <f t="array" ref="B56">IFERROR(INDEX(BD[],_xlfn.AGGREGATE(15,6,IF(BD[CLASIFICACIÓN]=$B$2,ROW(BD[CLASIFICACIÓN])-ROW('PT2 (FILTRAR)'!$E$5)+1,NA()),ROWS($B$5:B56)),COLUMNS($B$5:B56)),"")</f>
        <v>104-002-001</v>
      </c>
      <c r="C56" s="127" t="str">
        <f t="array" ref="C56">IFERROR(INDEX(BD[],_xlfn.AGGREGATE(15,6,IF(BD[CLASIFICACIÓN]=$B$2,ROW(BD[CLASIFICACIÓN])-ROW('PT2 (FILTRAR)'!$E$5)+1,NA()),ROWS($B$5:C56)),COLUMNS($B$5:C56)),"")</f>
        <v>O1-103 BENJAMIN LOMBROZO</v>
      </c>
      <c r="D56" s="142">
        <f t="array" ref="D56">IFERROR(INDEX(BD[],_xlfn.AGGREGATE(15,6,IF(BD[CLASIFICACIÓN]=$B$2,ROW(BD[CLASIFICACIÓN])-ROW('PT2 (FILTRAR)'!$E$5)+1,NA()),ROWS($B$5:D56)),COLUMNS($B$5:D56)),"")</f>
        <v>0</v>
      </c>
      <c r="E56" s="126" t="str">
        <f t="array" ref="E56">IFERROR(INDEX(BD[],_xlfn.AGGREGATE(15,6,IF(BD[CLASIFICACIÓN]=$B$2,ROW(BD[CLASIFICACIÓN])-ROW('PT2 (FILTRAR)'!$E$5)+1,NA()),ROWS($B$5:E56)),COLUMNS($B$5:E56)),"")</f>
        <v>SIN ADEUDO</v>
      </c>
    </row>
    <row r="57" spans="2:5" x14ac:dyDescent="0.3">
      <c r="B57" s="126" t="str">
        <f t="array" ref="B57">IFERROR(INDEX(BD[],_xlfn.AGGREGATE(15,6,IF(BD[CLASIFICACIÓN]=$B$2,ROW(BD[CLASIFICACIÓN])-ROW('PT2 (FILTRAR)'!$E$5)+1,NA()),ROWS($B$5:B57)),COLUMNS($B$5:B57)),"")</f>
        <v>104-002-002</v>
      </c>
      <c r="C57" s="127" t="str">
        <f t="array" ref="C57">IFERROR(INDEX(BD[],_xlfn.AGGREGATE(15,6,IF(BD[CLASIFICACIÓN]=$B$2,ROW(BD[CLASIFICACIÓN])-ROW('PT2 (FILTRAR)'!$E$5)+1,NA()),ROWS($B$5:C57)),COLUMNS($B$5:C57)),"")</f>
        <v>O1-104 JACK SASSON</v>
      </c>
      <c r="D57" s="142">
        <f t="array" ref="D57">IFERROR(INDEX(BD[],_xlfn.AGGREGATE(15,6,IF(BD[CLASIFICACIÓN]=$B$2,ROW(BD[CLASIFICACIÓN])-ROW('PT2 (FILTRAR)'!$E$5)+1,NA()),ROWS($B$5:D57)),COLUMNS($B$5:D57)),"")</f>
        <v>0</v>
      </c>
      <c r="E57" s="126" t="str">
        <f t="array" ref="E57">IFERROR(INDEX(BD[],_xlfn.AGGREGATE(15,6,IF(BD[CLASIFICACIÓN]=$B$2,ROW(BD[CLASIFICACIÓN])-ROW('PT2 (FILTRAR)'!$E$5)+1,NA()),ROWS($B$5:E57)),COLUMNS($B$5:E57)),"")</f>
        <v>SIN ADEUDO</v>
      </c>
    </row>
    <row r="58" spans="2:5" x14ac:dyDescent="0.3">
      <c r="B58" s="126" t="str">
        <f t="array" ref="B58">IFERROR(INDEX(BD[],_xlfn.AGGREGATE(15,6,IF(BD[CLASIFICACIÓN]=$B$2,ROW(BD[CLASIFICACIÓN])-ROW('PT2 (FILTRAR)'!$E$5)+1,NA()),ROWS($B$5:B58)),COLUMNS($B$5:B58)),"")</f>
        <v>104-002-003</v>
      </c>
      <c r="C58" s="127" t="str">
        <f t="array" ref="C58">IFERROR(INDEX(BD[],_xlfn.AGGREGATE(15,6,IF(BD[CLASIFICACIÓN]=$B$2,ROW(BD[CLASIFICACIÓN])-ROW('PT2 (FILTRAR)'!$E$5)+1,NA()),ROWS($B$5:C58)),COLUMNS($B$5:C58)),"")</f>
        <v>O1-203 ARIELA ROSENSTEIN</v>
      </c>
      <c r="D58" s="142">
        <f t="array" ref="D58">IFERROR(INDEX(BD[],_xlfn.AGGREGATE(15,6,IF(BD[CLASIFICACIÓN]=$B$2,ROW(BD[CLASIFICACIÓN])-ROW('PT2 (FILTRAR)'!$E$5)+1,NA()),ROWS($B$5:D58)),COLUMNS($B$5:D58)),"")</f>
        <v>0</v>
      </c>
      <c r="E58" s="126" t="str">
        <f t="array" ref="E58">IFERROR(INDEX(BD[],_xlfn.AGGREGATE(15,6,IF(BD[CLASIFICACIÓN]=$B$2,ROW(BD[CLASIFICACIÓN])-ROW('PT2 (FILTRAR)'!$E$5)+1,NA()),ROWS($B$5:E58)),COLUMNS($B$5:E58)),"")</f>
        <v>SIN ADEUDO</v>
      </c>
    </row>
    <row r="59" spans="2:5" x14ac:dyDescent="0.3">
      <c r="B59" s="126" t="str">
        <f t="array" ref="B59">IFERROR(INDEX(BD[],_xlfn.AGGREGATE(15,6,IF(BD[CLASIFICACIÓN]=$B$2,ROW(BD[CLASIFICACIÓN])-ROW('PT2 (FILTRAR)'!$E$5)+1,NA()),ROWS($B$5:B59)),COLUMNS($B$5:B59)),"")</f>
        <v>104-002-004</v>
      </c>
      <c r="C59" s="127" t="str">
        <f t="array" ref="C59">IFERROR(INDEX(BD[],_xlfn.AGGREGATE(15,6,IF(BD[CLASIFICACIÓN]=$B$2,ROW(BD[CLASIFICACIÓN])-ROW('PT2 (FILTRAR)'!$E$5)+1,NA()),ROWS($B$5:C59)),COLUMNS($B$5:C59)),"")</f>
        <v>O1-204 SELENE CAPDEVILA</v>
      </c>
      <c r="D59" s="142">
        <f t="array" ref="D59">IFERROR(INDEX(BD[],_xlfn.AGGREGATE(15,6,IF(BD[CLASIFICACIÓN]=$B$2,ROW(BD[CLASIFICACIÓN])-ROW('PT2 (FILTRAR)'!$E$5)+1,NA()),ROWS($B$5:D59)),COLUMNS($B$5:D59)),"")</f>
        <v>0</v>
      </c>
      <c r="E59" s="126" t="str">
        <f t="array" ref="E59">IFERROR(INDEX(BD[],_xlfn.AGGREGATE(15,6,IF(BD[CLASIFICACIÓN]=$B$2,ROW(BD[CLASIFICACIÓN])-ROW('PT2 (FILTRAR)'!$E$5)+1,NA()),ROWS($B$5:E59)),COLUMNS($B$5:E59)),"")</f>
        <v>SIN ADEUDO</v>
      </c>
    </row>
    <row r="60" spans="2:5" x14ac:dyDescent="0.3">
      <c r="B60" s="126" t="str">
        <f t="array" ref="B60">IFERROR(INDEX(BD[],_xlfn.AGGREGATE(15,6,IF(BD[CLASIFICACIÓN]=$B$2,ROW(BD[CLASIFICACIÓN])-ROW('PT2 (FILTRAR)'!$E$5)+1,NA()),ROWS($B$5:B60)),COLUMNS($B$5:B60)),"")</f>
        <v>104-002-005</v>
      </c>
      <c r="C60" s="127" t="str">
        <f t="array" ref="C60">IFERROR(INDEX(BD[],_xlfn.AGGREGATE(15,6,IF(BD[CLASIFICACIÓN]=$B$2,ROW(BD[CLASIFICACIÓN])-ROW('PT2 (FILTRAR)'!$E$5)+1,NA()),ROWS($B$5:C60)),COLUMNS($B$5:C60)),"")</f>
        <v>O1-303 RAFAEL ZAGA</v>
      </c>
      <c r="D60" s="142">
        <f t="array" ref="D60">IFERROR(INDEX(BD[],_xlfn.AGGREGATE(15,6,IF(BD[CLASIFICACIÓN]=$B$2,ROW(BD[CLASIFICACIÓN])-ROW('PT2 (FILTRAR)'!$E$5)+1,NA()),ROWS($B$5:D60)),COLUMNS($B$5:D60)),"")</f>
        <v>0</v>
      </c>
      <c r="E60" s="126" t="str">
        <f t="array" ref="E60">IFERROR(INDEX(BD[],_xlfn.AGGREGATE(15,6,IF(BD[CLASIFICACIÓN]=$B$2,ROW(BD[CLASIFICACIÓN])-ROW('PT2 (FILTRAR)'!$E$5)+1,NA()),ROWS($B$5:E60)),COLUMNS($B$5:E60)),"")</f>
        <v>SIN ADEUDO</v>
      </c>
    </row>
    <row r="61" spans="2:5" x14ac:dyDescent="0.3">
      <c r="B61" s="126" t="str">
        <f t="array" ref="B61">IFERROR(INDEX(BD[],_xlfn.AGGREGATE(15,6,IF(BD[CLASIFICACIÓN]=$B$2,ROW(BD[CLASIFICACIÓN])-ROW('PT2 (FILTRAR)'!$E$5)+1,NA()),ROWS($B$5:B61)),COLUMNS($B$5:B61)),"")</f>
        <v>104-002-006</v>
      </c>
      <c r="C61" s="127" t="str">
        <f t="array" ref="C61">IFERROR(INDEX(BD[],_xlfn.AGGREGATE(15,6,IF(BD[CLASIFICACIÓN]=$B$2,ROW(BD[CLASIFICACIÓN])-ROW('PT2 (FILTRAR)'!$E$5)+1,NA()),ROWS($B$5:C61)),COLUMNS($B$5:C61)),"")</f>
        <v>O1-304 JOSEF HABER</v>
      </c>
      <c r="D61" s="142">
        <f t="array" ref="D61">IFERROR(INDEX(BD[],_xlfn.AGGREGATE(15,6,IF(BD[CLASIFICACIÓN]=$B$2,ROW(BD[CLASIFICACIÓN])-ROW('PT2 (FILTRAR)'!$E$5)+1,NA()),ROWS($B$5:D61)),COLUMNS($B$5:D61)),"")</f>
        <v>0</v>
      </c>
      <c r="E61" s="126" t="str">
        <f t="array" ref="E61">IFERROR(INDEX(BD[],_xlfn.AGGREGATE(15,6,IF(BD[CLASIFICACIÓN]=$B$2,ROW(BD[CLASIFICACIÓN])-ROW('PT2 (FILTRAR)'!$E$5)+1,NA()),ROWS($B$5:E61)),COLUMNS($B$5:E61)),"")</f>
        <v>SIN ADEUDO</v>
      </c>
    </row>
    <row r="62" spans="2:5" x14ac:dyDescent="0.3">
      <c r="B62" s="126" t="str">
        <f t="array" ref="B62">IFERROR(INDEX(BD[],_xlfn.AGGREGATE(15,6,IF(BD[CLASIFICACIÓN]=$B$2,ROW(BD[CLASIFICACIÓN])-ROW('PT2 (FILTRAR)'!$E$5)+1,NA()),ROWS($B$5:B62)),COLUMNS($B$5:B62)),"")</f>
        <v>104-002-010</v>
      </c>
      <c r="C62" s="127" t="str">
        <f t="array" ref="C62">IFERROR(INDEX(BD[],_xlfn.AGGREGATE(15,6,IF(BD[CLASIFICACIÓN]=$B$2,ROW(BD[CLASIFICACIÓN])-ROW('PT2 (FILTRAR)'!$E$5)+1,NA()),ROWS($B$5:C62)),COLUMNS($B$5:C62)),"")</f>
        <v>O1-504 REBECA CASTRO</v>
      </c>
      <c r="D62" s="142">
        <f t="array" ref="D62">IFERROR(INDEX(BD[],_xlfn.AGGREGATE(15,6,IF(BD[CLASIFICACIÓN]=$B$2,ROW(BD[CLASIFICACIÓN])-ROW('PT2 (FILTRAR)'!$E$5)+1,NA()),ROWS($B$5:D62)),COLUMNS($B$5:D62)),"")</f>
        <v>0</v>
      </c>
      <c r="E62" s="126" t="str">
        <f t="array" ref="E62">IFERROR(INDEX(BD[],_xlfn.AGGREGATE(15,6,IF(BD[CLASIFICACIÓN]=$B$2,ROW(BD[CLASIFICACIÓN])-ROW('PT2 (FILTRAR)'!$E$5)+1,NA()),ROWS($B$5:E62)),COLUMNS($B$5:E62)),"")</f>
        <v>SIN ADEUDO</v>
      </c>
    </row>
    <row r="63" spans="2:5" x14ac:dyDescent="0.3">
      <c r="B63" s="126" t="str">
        <f t="array" ref="B63">IFERROR(INDEX(BD[],_xlfn.AGGREGATE(15,6,IF(BD[CLASIFICACIÓN]=$B$2,ROW(BD[CLASIFICACIÓN])-ROW('PT2 (FILTRAR)'!$E$5)+1,NA()),ROWS($B$5:B63)),COLUMNS($B$5:B63)),"")</f>
        <v>104-002-011</v>
      </c>
      <c r="C63" s="127" t="str">
        <f t="array" ref="C63">IFERROR(INDEX(BD[],_xlfn.AGGREGATE(15,6,IF(BD[CLASIFICACIÓN]=$B$2,ROW(BD[CLASIFICACIÓN])-ROW('PT2 (FILTRAR)'!$E$5)+1,NA()),ROWS($B$5:C63)),COLUMNS($B$5:C63)),"")</f>
        <v>O1-603 JACOBO CHEREM A</v>
      </c>
      <c r="D63" s="142">
        <f t="array" ref="D63">IFERROR(INDEX(BD[],_xlfn.AGGREGATE(15,6,IF(BD[CLASIFICACIÓN]=$B$2,ROW(BD[CLASIFICACIÓN])-ROW('PT2 (FILTRAR)'!$E$5)+1,NA()),ROWS($B$5:D63)),COLUMNS($B$5:D63)),"")</f>
        <v>0</v>
      </c>
      <c r="E63" s="126" t="str">
        <f t="array" ref="E63">IFERROR(INDEX(BD[],_xlfn.AGGREGATE(15,6,IF(BD[CLASIFICACIÓN]=$B$2,ROW(BD[CLASIFICACIÓN])-ROW('PT2 (FILTRAR)'!$E$5)+1,NA()),ROWS($B$5:E63)),COLUMNS($B$5:E63)),"")</f>
        <v>SIN ADEUDO</v>
      </c>
    </row>
    <row r="64" spans="2:5" x14ac:dyDescent="0.3">
      <c r="B64" s="126" t="str">
        <f t="array" ref="B64">IFERROR(INDEX(BD[],_xlfn.AGGREGATE(15,6,IF(BD[CLASIFICACIÓN]=$B$2,ROW(BD[CLASIFICACIÓN])-ROW('PT2 (FILTRAR)'!$E$5)+1,NA()),ROWS($B$5:B64)),COLUMNS($B$5:B64)),"")</f>
        <v>104-002-013</v>
      </c>
      <c r="C64" s="127" t="str">
        <f t="array" ref="C64">IFERROR(INDEX(BD[],_xlfn.AGGREGATE(15,6,IF(BD[CLASIFICACIÓN]=$B$2,ROW(BD[CLASIFICACIÓN])-ROW('PT2 (FILTRAR)'!$E$5)+1,NA()),ROWS($B$5:C64)),COLUMNS($B$5:C64)),"")</f>
        <v>O1-703 ANA VAZQUEZ</v>
      </c>
      <c r="D64" s="142">
        <f t="array" ref="D64">IFERROR(INDEX(BD[],_xlfn.AGGREGATE(15,6,IF(BD[CLASIFICACIÓN]=$B$2,ROW(BD[CLASIFICACIÓN])-ROW('PT2 (FILTRAR)'!$E$5)+1,NA()),ROWS($B$5:D64)),COLUMNS($B$5:D64)),"")</f>
        <v>0</v>
      </c>
      <c r="E64" s="126" t="str">
        <f t="array" ref="E64">IFERROR(INDEX(BD[],_xlfn.AGGREGATE(15,6,IF(BD[CLASIFICACIÓN]=$B$2,ROW(BD[CLASIFICACIÓN])-ROW('PT2 (FILTRAR)'!$E$5)+1,NA()),ROWS($B$5:E64)),COLUMNS($B$5:E64)),"")</f>
        <v>SIN ADEUDO</v>
      </c>
    </row>
    <row r="65" spans="2:5" x14ac:dyDescent="0.3">
      <c r="B65" s="126" t="str">
        <f t="array" ref="B65">IFERROR(INDEX(BD[],_xlfn.AGGREGATE(15,6,IF(BD[CLASIFICACIÓN]=$B$2,ROW(BD[CLASIFICACIÓN])-ROW('PT2 (FILTRAR)'!$E$5)+1,NA()),ROWS($B$5:B65)),COLUMNS($B$5:B65)),"")</f>
        <v>104-002-015</v>
      </c>
      <c r="C65" s="127" t="str">
        <f t="array" ref="C65">IFERROR(INDEX(BD[],_xlfn.AGGREGATE(15,6,IF(BD[CLASIFICACIÓN]=$B$2,ROW(BD[CLASIFICACIÓN])-ROW('PT2 (FILTRAR)'!$E$5)+1,NA()),ROWS($B$5:C65)),COLUMNS($B$5:C65)),"")</f>
        <v>O1-803 ELVIRA RAHMANE</v>
      </c>
      <c r="D65" s="142">
        <f t="array" ref="D65">IFERROR(INDEX(BD[],_xlfn.AGGREGATE(15,6,IF(BD[CLASIFICACIÓN]=$B$2,ROW(BD[CLASIFICACIÓN])-ROW('PT2 (FILTRAR)'!$E$5)+1,NA()),ROWS($B$5:D65)),COLUMNS($B$5:D65)),"")</f>
        <v>0</v>
      </c>
      <c r="E65" s="126" t="str">
        <f t="array" ref="E65">IFERROR(INDEX(BD[],_xlfn.AGGREGATE(15,6,IF(BD[CLASIFICACIÓN]=$B$2,ROW(BD[CLASIFICACIÓN])-ROW('PT2 (FILTRAR)'!$E$5)+1,NA()),ROWS($B$5:E65)),COLUMNS($B$5:E65)),"")</f>
        <v>SIN ADEUDO</v>
      </c>
    </row>
    <row r="66" spans="2:5" x14ac:dyDescent="0.3">
      <c r="B66" s="126" t="str">
        <f t="array" ref="B66">IFERROR(INDEX(BD[],_xlfn.AGGREGATE(15,6,IF(BD[CLASIFICACIÓN]=$B$2,ROW(BD[CLASIFICACIÓN])-ROW('PT2 (FILTRAR)'!$E$5)+1,NA()),ROWS($B$5:B66)),COLUMNS($B$5:B66)),"")</f>
        <v>104-002-017</v>
      </c>
      <c r="C66" s="127" t="str">
        <f t="array" ref="C66">IFERROR(INDEX(BD[],_xlfn.AGGREGATE(15,6,IF(BD[CLASIFICACIÓN]=$B$2,ROW(BD[CLASIFICACIÓN])-ROW('PT2 (FILTRAR)'!$E$5)+1,NA()),ROWS($B$5:C66)),COLUMNS($B$5:C66)),"")</f>
        <v>O1-903 ABRAHAM CHEREM</v>
      </c>
      <c r="D66" s="142">
        <f t="array" ref="D66">IFERROR(INDEX(BD[],_xlfn.AGGREGATE(15,6,IF(BD[CLASIFICACIÓN]=$B$2,ROW(BD[CLASIFICACIÓN])-ROW('PT2 (FILTRAR)'!$E$5)+1,NA()),ROWS($B$5:D66)),COLUMNS($B$5:D66)),"")</f>
        <v>0</v>
      </c>
      <c r="E66" s="126" t="str">
        <f t="array" ref="E66">IFERROR(INDEX(BD[],_xlfn.AGGREGATE(15,6,IF(BD[CLASIFICACIÓN]=$B$2,ROW(BD[CLASIFICACIÓN])-ROW('PT2 (FILTRAR)'!$E$5)+1,NA()),ROWS($B$5:E66)),COLUMNS($B$5:E66)),"")</f>
        <v>SIN ADEUDO</v>
      </c>
    </row>
    <row r="67" spans="2:5" x14ac:dyDescent="0.3">
      <c r="B67" s="126" t="str">
        <f t="array" ref="B67">IFERROR(INDEX(BD[],_xlfn.AGGREGATE(15,6,IF(BD[CLASIFICACIÓN]=$B$2,ROW(BD[CLASIFICACIÓN])-ROW('PT2 (FILTRAR)'!$E$5)+1,NA()),ROWS($B$5:B67)),COLUMNS($B$5:B67)),"")</f>
        <v>104-002-018</v>
      </c>
      <c r="C67" s="127" t="str">
        <f t="array" ref="C67">IFERROR(INDEX(BD[],_xlfn.AGGREGATE(15,6,IF(BD[CLASIFICACIÓN]=$B$2,ROW(BD[CLASIFICACIÓN])-ROW('PT2 (FILTRAR)'!$E$5)+1,NA()),ROWS($B$5:C67)),COLUMNS($B$5:C67)),"")</f>
        <v>O1-904 ISAAC MAYA</v>
      </c>
      <c r="D67" s="142">
        <f t="array" ref="D67">IFERROR(INDEX(BD[],_xlfn.AGGREGATE(15,6,IF(BD[CLASIFICACIÓN]=$B$2,ROW(BD[CLASIFICACIÓN])-ROW('PT2 (FILTRAR)'!$E$5)+1,NA()),ROWS($B$5:D67)),COLUMNS($B$5:D67)),"")</f>
        <v>0</v>
      </c>
      <c r="E67" s="126" t="str">
        <f t="array" ref="E67">IFERROR(INDEX(BD[],_xlfn.AGGREGATE(15,6,IF(BD[CLASIFICACIÓN]=$B$2,ROW(BD[CLASIFICACIÓN])-ROW('PT2 (FILTRAR)'!$E$5)+1,NA()),ROWS($B$5:E67)),COLUMNS($B$5:E67)),"")</f>
        <v>SIN ADEUDO</v>
      </c>
    </row>
    <row r="68" spans="2:5" x14ac:dyDescent="0.3">
      <c r="B68" s="126" t="str">
        <f t="array" ref="B68">IFERROR(INDEX(BD[],_xlfn.AGGREGATE(15,6,IF(BD[CLASIFICACIÓN]=$B$2,ROW(BD[CLASIFICACIÓN])-ROW('PT2 (FILTRAR)'!$E$5)+1,NA()),ROWS($B$5:B68)),COLUMNS($B$5:B68)),"")</f>
        <v>104-002-021</v>
      </c>
      <c r="C68" s="127" t="str">
        <f t="array" ref="C68">IFERROR(INDEX(BD[],_xlfn.AGGREGATE(15,6,IF(BD[CLASIFICACIÓN]=$B$2,ROW(BD[CLASIFICACIÓN])-ROW('PT2 (FILTRAR)'!$E$5)+1,NA()),ROWS($B$5:C68)),COLUMNS($B$5:C68)),"")</f>
        <v>O1-1103 GUADALUPE BASTON</v>
      </c>
      <c r="D68" s="142">
        <f t="array" ref="D68">IFERROR(INDEX(BD[],_xlfn.AGGREGATE(15,6,IF(BD[CLASIFICACIÓN]=$B$2,ROW(BD[CLASIFICACIÓN])-ROW('PT2 (FILTRAR)'!$E$5)+1,NA()),ROWS($B$5:D68)),COLUMNS($B$5:D68)),"")</f>
        <v>0</v>
      </c>
      <c r="E68" s="126" t="str">
        <f t="array" ref="E68">IFERROR(INDEX(BD[],_xlfn.AGGREGATE(15,6,IF(BD[CLASIFICACIÓN]=$B$2,ROW(BD[CLASIFICACIÓN])-ROW('PT2 (FILTRAR)'!$E$5)+1,NA()),ROWS($B$5:E68)),COLUMNS($B$5:E68)),"")</f>
        <v>SIN ADEUDO</v>
      </c>
    </row>
    <row r="69" spans="2:5" x14ac:dyDescent="0.3">
      <c r="B69" s="126" t="str">
        <f t="array" ref="B69">IFERROR(INDEX(BD[],_xlfn.AGGREGATE(15,6,IF(BD[CLASIFICACIÓN]=$B$2,ROW(BD[CLASIFICACIÓN])-ROW('PT2 (FILTRAR)'!$E$5)+1,NA()),ROWS($B$5:B69)),COLUMNS($B$5:B69)),"")</f>
        <v>104-002-025</v>
      </c>
      <c r="C69" s="127" t="str">
        <f t="array" ref="C69">IFERROR(INDEX(BD[],_xlfn.AGGREGATE(15,6,IF(BD[CLASIFICACIÓN]=$B$2,ROW(BD[CLASIFICACIÓN])-ROW('PT2 (FILTRAR)'!$E$5)+1,NA()),ROWS($B$5:C69)),COLUMNS($B$5:C69)),"")</f>
        <v>O1-1303 CARLOS MIZRAHI</v>
      </c>
      <c r="D69" s="142">
        <f t="array" ref="D69">IFERROR(INDEX(BD[],_xlfn.AGGREGATE(15,6,IF(BD[CLASIFICACIÓN]=$B$2,ROW(BD[CLASIFICACIÓN])-ROW('PT2 (FILTRAR)'!$E$5)+1,NA()),ROWS($B$5:D69)),COLUMNS($B$5:D69)),"")</f>
        <v>0</v>
      </c>
      <c r="E69" s="126" t="str">
        <f t="array" ref="E69">IFERROR(INDEX(BD[],_xlfn.AGGREGATE(15,6,IF(BD[CLASIFICACIÓN]=$B$2,ROW(BD[CLASIFICACIÓN])-ROW('PT2 (FILTRAR)'!$E$5)+1,NA()),ROWS($B$5:E69)),COLUMNS($B$5:E69)),"")</f>
        <v>SIN ADEUDO</v>
      </c>
    </row>
    <row r="70" spans="2:5" x14ac:dyDescent="0.3">
      <c r="B70" s="126" t="str">
        <f t="array" ref="B70">IFERROR(INDEX(BD[],_xlfn.AGGREGATE(15,6,IF(BD[CLASIFICACIÓN]=$B$2,ROW(BD[CLASIFICACIÓN])-ROW('PT2 (FILTRAR)'!$E$5)+1,NA()),ROWS($B$5:B70)),COLUMNS($B$5:B70)),"")</f>
        <v>104-002-026</v>
      </c>
      <c r="C70" s="127" t="str">
        <f t="array" ref="C70">IFERROR(INDEX(BD[],_xlfn.AGGREGATE(15,6,IF(BD[CLASIFICACIÓN]=$B$2,ROW(BD[CLASIFICACIÓN])-ROW('PT2 (FILTRAR)'!$E$5)+1,NA()),ROWS($B$5:C70)),COLUMNS($B$5:C70)),"")</f>
        <v>O1-1304 JACOBO CHEREM A</v>
      </c>
      <c r="D70" s="142">
        <f t="array" ref="D70">IFERROR(INDEX(BD[],_xlfn.AGGREGATE(15,6,IF(BD[CLASIFICACIÓN]=$B$2,ROW(BD[CLASIFICACIÓN])-ROW('PT2 (FILTRAR)'!$E$5)+1,NA()),ROWS($B$5:D70)),COLUMNS($B$5:D70)),"")</f>
        <v>0</v>
      </c>
      <c r="E70" s="126" t="str">
        <f t="array" ref="E70">IFERROR(INDEX(BD[],_xlfn.AGGREGATE(15,6,IF(BD[CLASIFICACIÓN]=$B$2,ROW(BD[CLASIFICACIÓN])-ROW('PT2 (FILTRAR)'!$E$5)+1,NA()),ROWS($B$5:E70)),COLUMNS($B$5:E70)),"")</f>
        <v>SIN ADEUDO</v>
      </c>
    </row>
    <row r="71" spans="2:5" x14ac:dyDescent="0.3">
      <c r="B71" s="126" t="str">
        <f t="array" ref="B71">IFERROR(INDEX(BD[],_xlfn.AGGREGATE(15,6,IF(BD[CLASIFICACIÓN]=$B$2,ROW(BD[CLASIFICACIÓN])-ROW('PT2 (FILTRAR)'!$E$5)+1,NA()),ROWS($B$5:B71)),COLUMNS($B$5:B71)),"")</f>
        <v>104-002-027</v>
      </c>
      <c r="C71" s="127" t="str">
        <f t="array" ref="C71">IFERROR(INDEX(BD[],_xlfn.AGGREGATE(15,6,IF(BD[CLASIFICACIÓN]=$B$2,ROW(BD[CLASIFICACIÓN])-ROW('PT2 (FILTRAR)'!$E$5)+1,NA()),ROWS($B$5:C71)),COLUMNS($B$5:C71)),"")</f>
        <v>O1-1403 LEONARDO DE LOZANNE</v>
      </c>
      <c r="D71" s="142">
        <f t="array" ref="D71">IFERROR(INDEX(BD[],_xlfn.AGGREGATE(15,6,IF(BD[CLASIFICACIÓN]=$B$2,ROW(BD[CLASIFICACIÓN])-ROW('PT2 (FILTRAR)'!$E$5)+1,NA()),ROWS($B$5:D71)),COLUMNS($B$5:D71)),"")</f>
        <v>0</v>
      </c>
      <c r="E71" s="126" t="str">
        <f t="array" ref="E71">IFERROR(INDEX(BD[],_xlfn.AGGREGATE(15,6,IF(BD[CLASIFICACIÓN]=$B$2,ROW(BD[CLASIFICACIÓN])-ROW('PT2 (FILTRAR)'!$E$5)+1,NA()),ROWS($B$5:E71)),COLUMNS($B$5:E71)),"")</f>
        <v>SIN ADEUDO</v>
      </c>
    </row>
    <row r="72" spans="2:5" x14ac:dyDescent="0.3">
      <c r="B72" s="126" t="str">
        <f t="array" ref="B72">IFERROR(INDEX(BD[],_xlfn.AGGREGATE(15,6,IF(BD[CLASIFICACIÓN]=$B$2,ROW(BD[CLASIFICACIÓN])-ROW('PT2 (FILTRAR)'!$E$5)+1,NA()),ROWS($B$5:B72)),COLUMNS($B$5:B72)),"")</f>
        <v>104-002-029</v>
      </c>
      <c r="C72" s="127" t="str">
        <f t="array" ref="C72">IFERROR(INDEX(BD[],_xlfn.AGGREGATE(15,6,IF(BD[CLASIFICACIÓN]=$B$2,ROW(BD[CLASIFICACIÓN])-ROW('PT2 (FILTRAR)'!$E$5)+1,NA()),ROWS($B$5:C72)),COLUMNS($B$5:C72)),"")</f>
        <v>O1-1503 ABRAHAM BRAVERMAN</v>
      </c>
      <c r="D72" s="142">
        <f t="array" ref="D72">IFERROR(INDEX(BD[],_xlfn.AGGREGATE(15,6,IF(BD[CLASIFICACIÓN]=$B$2,ROW(BD[CLASIFICACIÓN])-ROW('PT2 (FILTRAR)'!$E$5)+1,NA()),ROWS($B$5:D72)),COLUMNS($B$5:D72)),"")</f>
        <v>0</v>
      </c>
      <c r="E72" s="126" t="str">
        <f t="array" ref="E72">IFERROR(INDEX(BD[],_xlfn.AGGREGATE(15,6,IF(BD[CLASIFICACIÓN]=$B$2,ROW(BD[CLASIFICACIÓN])-ROW('PT2 (FILTRAR)'!$E$5)+1,NA()),ROWS($B$5:E72)),COLUMNS($B$5:E72)),"")</f>
        <v>SIN ADEUDO</v>
      </c>
    </row>
    <row r="73" spans="2:5" x14ac:dyDescent="0.3">
      <c r="B73" s="126" t="str">
        <f t="array" ref="B73">IFERROR(INDEX(BD[],_xlfn.AGGREGATE(15,6,IF(BD[CLASIFICACIÓN]=$B$2,ROW(BD[CLASIFICACIÓN])-ROW('PT2 (FILTRAR)'!$E$5)+1,NA()),ROWS($B$5:B73)),COLUMNS($B$5:B73)),"")</f>
        <v>104-002-031</v>
      </c>
      <c r="C73" s="127" t="str">
        <f t="array" ref="C73">IFERROR(INDEX(BD[],_xlfn.AGGREGATE(15,6,IF(BD[CLASIFICACIÓN]=$B$2,ROW(BD[CLASIFICACIÓN])-ROW('PT2 (FILTRAR)'!$E$5)+1,NA()),ROWS($B$5:C73)),COLUMNS($B$5:C73)),"")</f>
        <v>O1-1603 SIMON PENHAS</v>
      </c>
      <c r="D73" s="142">
        <f t="array" ref="D73">IFERROR(INDEX(BD[],_xlfn.AGGREGATE(15,6,IF(BD[CLASIFICACIÓN]=$B$2,ROW(BD[CLASIFICACIÓN])-ROW('PT2 (FILTRAR)'!$E$5)+1,NA()),ROWS($B$5:D73)),COLUMNS($B$5:D73)),"")</f>
        <v>0</v>
      </c>
      <c r="E73" s="126" t="str">
        <f t="array" ref="E73">IFERROR(INDEX(BD[],_xlfn.AGGREGATE(15,6,IF(BD[CLASIFICACIÓN]=$B$2,ROW(BD[CLASIFICACIÓN])-ROW('PT2 (FILTRAR)'!$E$5)+1,NA()),ROWS($B$5:E73)),COLUMNS($B$5:E73)),"")</f>
        <v>SIN ADEUDO</v>
      </c>
    </row>
    <row r="74" spans="2:5" x14ac:dyDescent="0.3">
      <c r="B74" s="126" t="str">
        <f t="array" ref="B74">IFERROR(INDEX(BD[],_xlfn.AGGREGATE(15,6,IF(BD[CLASIFICACIÓN]=$B$2,ROW(BD[CLASIFICACIÓN])-ROW('PT2 (FILTRAR)'!$E$5)+1,NA()),ROWS($B$5:B74)),COLUMNS($B$5:B74)),"")</f>
        <v>104-002-032</v>
      </c>
      <c r="C74" s="127" t="str">
        <f t="array" ref="C74">IFERROR(INDEX(BD[],_xlfn.AGGREGATE(15,6,IF(BD[CLASIFICACIÓN]=$B$2,ROW(BD[CLASIFICACIÓN])-ROW('PT2 (FILTRAR)'!$E$5)+1,NA()),ROWS($B$5:C74)),COLUMNS($B$5:C74)),"")</f>
        <v>O1-1604 JACOBO ZAGHA</v>
      </c>
      <c r="D74" s="142">
        <f t="array" ref="D74">IFERROR(INDEX(BD[],_xlfn.AGGREGATE(15,6,IF(BD[CLASIFICACIÓN]=$B$2,ROW(BD[CLASIFICACIÓN])-ROW('PT2 (FILTRAR)'!$E$5)+1,NA()),ROWS($B$5:D74)),COLUMNS($B$5:D74)),"")</f>
        <v>0</v>
      </c>
      <c r="E74" s="126" t="str">
        <f t="array" ref="E74">IFERROR(INDEX(BD[],_xlfn.AGGREGATE(15,6,IF(BD[CLASIFICACIÓN]=$B$2,ROW(BD[CLASIFICACIÓN])-ROW('PT2 (FILTRAR)'!$E$5)+1,NA()),ROWS($B$5:E74)),COLUMNS($B$5:E74)),"")</f>
        <v>SIN ADEUDO</v>
      </c>
    </row>
    <row r="75" spans="2:5" x14ac:dyDescent="0.3">
      <c r="B75" s="126" t="str">
        <f t="array" ref="B75">IFERROR(INDEX(BD[],_xlfn.AGGREGATE(15,6,IF(BD[CLASIFICACIÓN]=$B$2,ROW(BD[CLASIFICACIÓN])-ROW('PT2 (FILTRAR)'!$E$5)+1,NA()),ROWS($B$5:B75)),COLUMNS($B$5:B75)),"")</f>
        <v>104-002-034</v>
      </c>
      <c r="C75" s="127" t="str">
        <f t="array" ref="C75">IFERROR(INDEX(BD[],_xlfn.AGGREGATE(15,6,IF(BD[CLASIFICACIÓN]=$B$2,ROW(BD[CLASIFICACIÓN])-ROW('PT2 (FILTRAR)'!$E$5)+1,NA()),ROWS($B$5:C75)),COLUMNS($B$5:C75)),"")</f>
        <v>O1-1704 JACOBO CHEREM A</v>
      </c>
      <c r="D75" s="142">
        <f t="array" ref="D75">IFERROR(INDEX(BD[],_xlfn.AGGREGATE(15,6,IF(BD[CLASIFICACIÓN]=$B$2,ROW(BD[CLASIFICACIÓN])-ROW('PT2 (FILTRAR)'!$E$5)+1,NA()),ROWS($B$5:D75)),COLUMNS($B$5:D75)),"")</f>
        <v>0</v>
      </c>
      <c r="E75" s="126" t="str">
        <f t="array" ref="E75">IFERROR(INDEX(BD[],_xlfn.AGGREGATE(15,6,IF(BD[CLASIFICACIÓN]=$B$2,ROW(BD[CLASIFICACIÓN])-ROW('PT2 (FILTRAR)'!$E$5)+1,NA()),ROWS($B$5:E75)),COLUMNS($B$5:E75)),"")</f>
        <v>SIN ADEUDO</v>
      </c>
    </row>
    <row r="76" spans="2:5" x14ac:dyDescent="0.3">
      <c r="B76" s="126" t="str">
        <f t="array" ref="B76">IFERROR(INDEX(BD[],_xlfn.AGGREGATE(15,6,IF(BD[CLASIFICACIÓN]=$B$2,ROW(BD[CLASIFICACIÓN])-ROW('PT2 (FILTRAR)'!$E$5)+1,NA()),ROWS($B$5:B76)),COLUMNS($B$5:B76)),"")</f>
        <v>104-002-036</v>
      </c>
      <c r="C76" s="127" t="str">
        <f t="array" ref="C76">IFERROR(INDEX(BD[],_xlfn.AGGREGATE(15,6,IF(BD[CLASIFICACIÓN]=$B$2,ROW(BD[CLASIFICACIÓN])-ROW('PT2 (FILTRAR)'!$E$5)+1,NA()),ROWS($B$5:C76)),COLUMNS($B$5:C76)),"")</f>
        <v>O1-1804 SALVADOR CARMONA</v>
      </c>
      <c r="D76" s="142">
        <f t="array" ref="D76">IFERROR(INDEX(BD[],_xlfn.AGGREGATE(15,6,IF(BD[CLASIFICACIÓN]=$B$2,ROW(BD[CLASIFICACIÓN])-ROW('PT2 (FILTRAR)'!$E$5)+1,NA()),ROWS($B$5:D76)),COLUMNS($B$5:D76)),"")</f>
        <v>0</v>
      </c>
      <c r="E76" s="126" t="str">
        <f t="array" ref="E76">IFERROR(INDEX(BD[],_xlfn.AGGREGATE(15,6,IF(BD[CLASIFICACIÓN]=$B$2,ROW(BD[CLASIFICACIÓN])-ROW('PT2 (FILTRAR)'!$E$5)+1,NA()),ROWS($B$5:E76)),COLUMNS($B$5:E76)),"")</f>
        <v>SIN ADEUDO</v>
      </c>
    </row>
    <row r="77" spans="2:5" x14ac:dyDescent="0.3">
      <c r="B77" s="126" t="str">
        <f t="array" ref="B77">IFERROR(INDEX(BD[],_xlfn.AGGREGATE(15,6,IF(BD[CLASIFICACIÓN]=$B$2,ROW(BD[CLASIFICACIÓN])-ROW('PT2 (FILTRAR)'!$E$5)+1,NA()),ROWS($B$5:B77)),COLUMNS($B$5:B77)),"")</f>
        <v>104-002-038</v>
      </c>
      <c r="C77" s="127" t="str">
        <f t="array" ref="C77">IFERROR(INDEX(BD[],_xlfn.AGGREGATE(15,6,IF(BD[CLASIFICACIÓN]=$B$2,ROW(BD[CLASIFICACIÓN])-ROW('PT2 (FILTRAR)'!$E$5)+1,NA()),ROWS($B$5:C77)),COLUMNS($B$5:C77)),"")</f>
        <v>O1-1904 JACOBO CHEREM A</v>
      </c>
      <c r="D77" s="142">
        <f t="array" ref="D77">IFERROR(INDEX(BD[],_xlfn.AGGREGATE(15,6,IF(BD[CLASIFICACIÓN]=$B$2,ROW(BD[CLASIFICACIÓN])-ROW('PT2 (FILTRAR)'!$E$5)+1,NA()),ROWS($B$5:D77)),COLUMNS($B$5:D77)),"")</f>
        <v>0</v>
      </c>
      <c r="E77" s="126" t="str">
        <f t="array" ref="E77">IFERROR(INDEX(BD[],_xlfn.AGGREGATE(15,6,IF(BD[CLASIFICACIÓN]=$B$2,ROW(BD[CLASIFICACIÓN])-ROW('PT2 (FILTRAR)'!$E$5)+1,NA()),ROWS($B$5:E77)),COLUMNS($B$5:E77)),"")</f>
        <v>SIN ADEUDO</v>
      </c>
    </row>
    <row r="78" spans="2:5" x14ac:dyDescent="0.3">
      <c r="B78" s="126" t="str">
        <f t="array" ref="B78">IFERROR(INDEX(BD[],_xlfn.AGGREGATE(15,6,IF(BD[CLASIFICACIÓN]=$B$2,ROW(BD[CLASIFICACIÓN])-ROW('PT2 (FILTRAR)'!$E$5)+1,NA()),ROWS($B$5:B78)),COLUMNS($B$5:B78)),"")</f>
        <v>104-002-039</v>
      </c>
      <c r="C78" s="127" t="str">
        <f t="array" ref="C78">IFERROR(INDEX(BD[],_xlfn.AGGREGATE(15,6,IF(BD[CLASIFICACIÓN]=$B$2,ROW(BD[CLASIFICACIÓN])-ROW('PT2 (FILTRAR)'!$E$5)+1,NA()),ROWS($B$5:C78)),COLUMNS($B$5:C78)),"")</f>
        <v xml:space="preserve">O1-2003 JOSE MICHAN </v>
      </c>
      <c r="D78" s="142">
        <f t="array" ref="D78">IFERROR(INDEX(BD[],_xlfn.AGGREGATE(15,6,IF(BD[CLASIFICACIÓN]=$B$2,ROW(BD[CLASIFICACIÓN])-ROW('PT2 (FILTRAR)'!$E$5)+1,NA()),ROWS($B$5:D78)),COLUMNS($B$5:D78)),"")</f>
        <v>0</v>
      </c>
      <c r="E78" s="126" t="str">
        <f t="array" ref="E78">IFERROR(INDEX(BD[],_xlfn.AGGREGATE(15,6,IF(BD[CLASIFICACIÓN]=$B$2,ROW(BD[CLASIFICACIÓN])-ROW('PT2 (FILTRAR)'!$E$5)+1,NA()),ROWS($B$5:E78)),COLUMNS($B$5:E78)),"")</f>
        <v>SIN ADEUDO</v>
      </c>
    </row>
    <row r="79" spans="2:5" x14ac:dyDescent="0.3">
      <c r="B79" s="126" t="str">
        <f t="array" ref="B79">IFERROR(INDEX(BD[],_xlfn.AGGREGATE(15,6,IF(BD[CLASIFICACIÓN]=$B$2,ROW(BD[CLASIFICACIÓN])-ROW('PT2 (FILTRAR)'!$E$5)+1,NA()),ROWS($B$5:B79)),COLUMNS($B$5:B79)),"")</f>
        <v>104-002-041</v>
      </c>
      <c r="C79" s="127" t="str">
        <f t="array" ref="C79">IFERROR(INDEX(BD[],_xlfn.AGGREGATE(15,6,IF(BD[CLASIFICACIÓN]=$B$2,ROW(BD[CLASIFICACIÓN])-ROW('PT2 (FILTRAR)'!$E$5)+1,NA()),ROWS($B$5:C79)),COLUMNS($B$5:C79)),"")</f>
        <v>O1-2103 ROCIO CHAVEZ</v>
      </c>
      <c r="D79" s="142">
        <f t="array" ref="D79">IFERROR(INDEX(BD[],_xlfn.AGGREGATE(15,6,IF(BD[CLASIFICACIÓN]=$B$2,ROW(BD[CLASIFICACIÓN])-ROW('PT2 (FILTRAR)'!$E$5)+1,NA()),ROWS($B$5:D79)),COLUMNS($B$5:D79)),"")</f>
        <v>0</v>
      </c>
      <c r="E79" s="126" t="str">
        <f t="array" ref="E79">IFERROR(INDEX(BD[],_xlfn.AGGREGATE(15,6,IF(BD[CLASIFICACIÓN]=$B$2,ROW(BD[CLASIFICACIÓN])-ROW('PT2 (FILTRAR)'!$E$5)+1,NA()),ROWS($B$5:E79)),COLUMNS($B$5:E79)),"")</f>
        <v>SIN ADEUDO</v>
      </c>
    </row>
    <row r="80" spans="2:5" x14ac:dyDescent="0.3">
      <c r="B80" s="126" t="str">
        <f t="array" ref="B80">IFERROR(INDEX(BD[],_xlfn.AGGREGATE(15,6,IF(BD[CLASIFICACIÓN]=$B$2,ROW(BD[CLASIFICACIÓN])-ROW('PT2 (FILTRAR)'!$E$5)+1,NA()),ROWS($B$5:B80)),COLUMNS($B$5:B80)),"")</f>
        <v>104-002-042</v>
      </c>
      <c r="C80" s="127" t="str">
        <f t="array" ref="C80">IFERROR(INDEX(BD[],_xlfn.AGGREGATE(15,6,IF(BD[CLASIFICACIÓN]=$B$2,ROW(BD[CLASIFICACIÓN])-ROW('PT2 (FILTRAR)'!$E$5)+1,NA()),ROWS($B$5:C80)),COLUMNS($B$5:C80)),"")</f>
        <v>O1-2104 AMADA ZAGHA</v>
      </c>
      <c r="D80" s="142">
        <f t="array" ref="D80">IFERROR(INDEX(BD[],_xlfn.AGGREGATE(15,6,IF(BD[CLASIFICACIÓN]=$B$2,ROW(BD[CLASIFICACIÓN])-ROW('PT2 (FILTRAR)'!$E$5)+1,NA()),ROWS($B$5:D80)),COLUMNS($B$5:D80)),"")</f>
        <v>0</v>
      </c>
      <c r="E80" s="126" t="str">
        <f t="array" ref="E80">IFERROR(INDEX(BD[],_xlfn.AGGREGATE(15,6,IF(BD[CLASIFICACIÓN]=$B$2,ROW(BD[CLASIFICACIÓN])-ROW('PT2 (FILTRAR)'!$E$5)+1,NA()),ROWS($B$5:E80)),COLUMNS($B$5:E80)),"")</f>
        <v>SIN ADEUDO</v>
      </c>
    </row>
    <row r="81" spans="2:5" x14ac:dyDescent="0.3">
      <c r="B81" s="126" t="str">
        <f t="array" ref="B81">IFERROR(INDEX(BD[],_xlfn.AGGREGATE(15,6,IF(BD[CLASIFICACIÓN]=$B$2,ROW(BD[CLASIFICACIÓN])-ROW('PT2 (FILTRAR)'!$E$5)+1,NA()),ROWS($B$5:B81)),COLUMNS($B$5:B81)),"")</f>
        <v>104-002-043</v>
      </c>
      <c r="C81" s="127" t="str">
        <f t="array" ref="C81">IFERROR(INDEX(BD[],_xlfn.AGGREGATE(15,6,IF(BD[CLASIFICACIÓN]=$B$2,ROW(BD[CLASIFICACIÓN])-ROW('PT2 (FILTRAR)'!$E$5)+1,NA()),ROWS($B$5:C81)),COLUMNS($B$5:C81)),"")</f>
        <v>O1-2203 STEPHANIE MASLIAH</v>
      </c>
      <c r="D81" s="142">
        <f t="array" ref="D81">IFERROR(INDEX(BD[],_xlfn.AGGREGATE(15,6,IF(BD[CLASIFICACIÓN]=$B$2,ROW(BD[CLASIFICACIÓN])-ROW('PT2 (FILTRAR)'!$E$5)+1,NA()),ROWS($B$5:D81)),COLUMNS($B$5:D81)),"")</f>
        <v>0</v>
      </c>
      <c r="E81" s="126" t="str">
        <f t="array" ref="E81">IFERROR(INDEX(BD[],_xlfn.AGGREGATE(15,6,IF(BD[CLASIFICACIÓN]=$B$2,ROW(BD[CLASIFICACIÓN])-ROW('PT2 (FILTRAR)'!$E$5)+1,NA()),ROWS($B$5:E81)),COLUMNS($B$5:E81)),"")</f>
        <v>SIN ADEUDO</v>
      </c>
    </row>
    <row r="82" spans="2:5" x14ac:dyDescent="0.3">
      <c r="B82" s="126" t="str">
        <f t="array" ref="B82">IFERROR(INDEX(BD[],_xlfn.AGGREGATE(15,6,IF(BD[CLASIFICACIÓN]=$B$2,ROW(BD[CLASIFICACIÓN])-ROW('PT2 (FILTRAR)'!$E$5)+1,NA()),ROWS($B$5:B82)),COLUMNS($B$5:B82)),"")</f>
        <v>104-002-046</v>
      </c>
      <c r="C82" s="127" t="str">
        <f t="array" ref="C82">IFERROR(INDEX(BD[],_xlfn.AGGREGATE(15,6,IF(BD[CLASIFICACIÓN]=$B$2,ROW(BD[CLASIFICACIÓN])-ROW('PT2 (FILTRAR)'!$E$5)+1,NA()),ROWS($B$5:C82)),COLUMNS($B$5:C82)),"")</f>
        <v>O1-2304 ERICK VEGA</v>
      </c>
      <c r="D82" s="142">
        <f t="array" ref="D82">IFERROR(INDEX(BD[],_xlfn.AGGREGATE(15,6,IF(BD[CLASIFICACIÓN]=$B$2,ROW(BD[CLASIFICACIÓN])-ROW('PT2 (FILTRAR)'!$E$5)+1,NA()),ROWS($B$5:D82)),COLUMNS($B$5:D82)),"")</f>
        <v>0</v>
      </c>
      <c r="E82" s="126" t="str">
        <f t="array" ref="E82">IFERROR(INDEX(BD[],_xlfn.AGGREGATE(15,6,IF(BD[CLASIFICACIÓN]=$B$2,ROW(BD[CLASIFICACIÓN])-ROW('PT2 (FILTRAR)'!$E$5)+1,NA()),ROWS($B$5:E82)),COLUMNS($B$5:E82)),"")</f>
        <v>SIN ADEUDO</v>
      </c>
    </row>
    <row r="83" spans="2:5" x14ac:dyDescent="0.3">
      <c r="B83" s="126" t="str">
        <f t="array" ref="B83">IFERROR(INDEX(BD[],_xlfn.AGGREGATE(15,6,IF(BD[CLASIFICACIÓN]=$B$2,ROW(BD[CLASIFICACIÓN])-ROW('PT2 (FILTRAR)'!$E$5)+1,NA()),ROWS($B$5:B83)),COLUMNS($B$5:B83)),"")</f>
        <v>104-002-048</v>
      </c>
      <c r="C83" s="127" t="str">
        <f t="array" ref="C83">IFERROR(INDEX(BD[],_xlfn.AGGREGATE(15,6,IF(BD[CLASIFICACIÓN]=$B$2,ROW(BD[CLASIFICACIÓN])-ROW('PT2 (FILTRAR)'!$E$5)+1,NA()),ROWS($B$5:C83)),COLUMNS($B$5:C83)),"")</f>
        <v>O1-2404 SIMON BASSO</v>
      </c>
      <c r="D83" s="142">
        <f t="array" ref="D83">IFERROR(INDEX(BD[],_xlfn.AGGREGATE(15,6,IF(BD[CLASIFICACIÓN]=$B$2,ROW(BD[CLASIFICACIÓN])-ROW('PT2 (FILTRAR)'!$E$5)+1,NA()),ROWS($B$5:D83)),COLUMNS($B$5:D83)),"")</f>
        <v>0</v>
      </c>
      <c r="E83" s="126" t="str">
        <f t="array" ref="E83">IFERROR(INDEX(BD[],_xlfn.AGGREGATE(15,6,IF(BD[CLASIFICACIÓN]=$B$2,ROW(BD[CLASIFICACIÓN])-ROW('PT2 (FILTRAR)'!$E$5)+1,NA()),ROWS($B$5:E83)),COLUMNS($B$5:E83)),"")</f>
        <v>SIN ADEUDO</v>
      </c>
    </row>
    <row r="84" spans="2:5" x14ac:dyDescent="0.3">
      <c r="B84" s="126" t="str">
        <f t="array" ref="B84">IFERROR(INDEX(BD[],_xlfn.AGGREGATE(15,6,IF(BD[CLASIFICACIÓN]=$B$2,ROW(BD[CLASIFICACIÓN])-ROW('PT2 (FILTRAR)'!$E$5)+1,NA()),ROWS($B$5:B84)),COLUMNS($B$5:B84)),"")</f>
        <v>104-002-049</v>
      </c>
      <c r="C84" s="127" t="str">
        <f t="array" ref="C84">IFERROR(INDEX(BD[],_xlfn.AGGREGATE(15,6,IF(BD[CLASIFICACIÓN]=$B$2,ROW(BD[CLASIFICACIÓN])-ROW('PT2 (FILTRAR)'!$E$5)+1,NA()),ROWS($B$5:C84)),COLUMNS($B$5:C84)),"")</f>
        <v>O1-2503 ESTHER ABADI</v>
      </c>
      <c r="D84" s="142">
        <f t="array" ref="D84">IFERROR(INDEX(BD[],_xlfn.AGGREGATE(15,6,IF(BD[CLASIFICACIÓN]=$B$2,ROW(BD[CLASIFICACIÓN])-ROW('PT2 (FILTRAR)'!$E$5)+1,NA()),ROWS($B$5:D84)),COLUMNS($B$5:D84)),"")</f>
        <v>0</v>
      </c>
      <c r="E84" s="126" t="str">
        <f t="array" ref="E84">IFERROR(INDEX(BD[],_xlfn.AGGREGATE(15,6,IF(BD[CLASIFICACIÓN]=$B$2,ROW(BD[CLASIFICACIÓN])-ROW('PT2 (FILTRAR)'!$E$5)+1,NA()),ROWS($B$5:E84)),COLUMNS($B$5:E84)),"")</f>
        <v>SIN ADEUDO</v>
      </c>
    </row>
    <row r="85" spans="2:5" x14ac:dyDescent="0.3">
      <c r="B85" s="126" t="str">
        <f t="array" ref="B85">IFERROR(INDEX(BD[],_xlfn.AGGREGATE(15,6,IF(BD[CLASIFICACIÓN]=$B$2,ROW(BD[CLASIFICACIÓN])-ROW('PT2 (FILTRAR)'!$E$5)+1,NA()),ROWS($B$5:B85)),COLUMNS($B$5:B85)),"")</f>
        <v>104-002-050</v>
      </c>
      <c r="C85" s="127" t="str">
        <f t="array" ref="C85">IFERROR(INDEX(BD[],_xlfn.AGGREGATE(15,6,IF(BD[CLASIFICACIÓN]=$B$2,ROW(BD[CLASIFICACIÓN])-ROW('PT2 (FILTRAR)'!$E$5)+1,NA()),ROWS($B$5:C85)),COLUMNS($B$5:C85)),"")</f>
        <v>O1-2504 SAMUEL ZETUNE</v>
      </c>
      <c r="D85" s="142">
        <f t="array" ref="D85">IFERROR(INDEX(BD[],_xlfn.AGGREGATE(15,6,IF(BD[CLASIFICACIÓN]=$B$2,ROW(BD[CLASIFICACIÓN])-ROW('PT2 (FILTRAR)'!$E$5)+1,NA()),ROWS($B$5:D85)),COLUMNS($B$5:D85)),"")</f>
        <v>0</v>
      </c>
      <c r="E85" s="126" t="str">
        <f t="array" ref="E85">IFERROR(INDEX(BD[],_xlfn.AGGREGATE(15,6,IF(BD[CLASIFICACIÓN]=$B$2,ROW(BD[CLASIFICACIÓN])-ROW('PT2 (FILTRAR)'!$E$5)+1,NA()),ROWS($B$5:E85)),COLUMNS($B$5:E85)),"")</f>
        <v>SIN ADEUDO</v>
      </c>
    </row>
    <row r="86" spans="2:5" x14ac:dyDescent="0.3">
      <c r="B86" s="126" t="str">
        <f t="array" ref="B86">IFERROR(INDEX(BD[],_xlfn.AGGREGATE(15,6,IF(BD[CLASIFICACIÓN]=$B$2,ROW(BD[CLASIFICACIÓN])-ROW('PT2 (FILTRAR)'!$E$5)+1,NA()),ROWS($B$5:B86)),COLUMNS($B$5:B86)),"")</f>
        <v>104-002-052</v>
      </c>
      <c r="C86" s="127" t="str">
        <f t="array" ref="C86">IFERROR(INDEX(BD[],_xlfn.AGGREGATE(15,6,IF(BD[CLASIFICACIÓN]=$B$2,ROW(BD[CLASIFICACIÓN])-ROW('PT2 (FILTRAR)'!$E$5)+1,NA()),ROWS($B$5:C86)),COLUMNS($B$5:C86)),"")</f>
        <v>O1-PH04 JACOBO CHEREM HARARI</v>
      </c>
      <c r="D86" s="142">
        <f t="array" ref="D86">IFERROR(INDEX(BD[],_xlfn.AGGREGATE(15,6,IF(BD[CLASIFICACIÓN]=$B$2,ROW(BD[CLASIFICACIÓN])-ROW('PT2 (FILTRAR)'!$E$5)+1,NA()),ROWS($B$5:D86)),COLUMNS($B$5:D86)),"")</f>
        <v>0</v>
      </c>
      <c r="E86" s="126" t="str">
        <f t="array" ref="E86">IFERROR(INDEX(BD[],_xlfn.AGGREGATE(15,6,IF(BD[CLASIFICACIÓN]=$B$2,ROW(BD[CLASIFICACIÓN])-ROW('PT2 (FILTRAR)'!$E$5)+1,NA()),ROWS($B$5:E86)),COLUMNS($B$5:E86)),"")</f>
        <v>SIN ADEUDO</v>
      </c>
    </row>
    <row r="87" spans="2:5" x14ac:dyDescent="0.3">
      <c r="B87" s="126" t="str">
        <f t="array" ref="B87">IFERROR(INDEX(BD[],_xlfn.AGGREGATE(15,6,IF(BD[CLASIFICACIÓN]=$B$2,ROW(BD[CLASIFICACIÓN])-ROW('PT2 (FILTRAR)'!$E$5)+1,NA()),ROWS($B$5:B87)),COLUMNS($B$5:B87)),"")</f>
        <v>104-003-003</v>
      </c>
      <c r="C87" s="127" t="str">
        <f t="array" ref="C87">IFERROR(INDEX(BD[],_xlfn.AGGREGATE(15,6,IF(BD[CLASIFICACIÓN]=$B$2,ROW(BD[CLASIFICACIÓN])-ROW('PT2 (FILTRAR)'!$E$5)+1,NA()),ROWS($B$5:C87)),COLUMNS($B$5:C87)),"")</f>
        <v>O2-205 ISAAC JAMMAL</v>
      </c>
      <c r="D87" s="142">
        <f t="array" ref="D87">IFERROR(INDEX(BD[],_xlfn.AGGREGATE(15,6,IF(BD[CLASIFICACIÓN]=$B$2,ROW(BD[CLASIFICACIÓN])-ROW('PT2 (FILTRAR)'!$E$5)+1,NA()),ROWS($B$5:D87)),COLUMNS($B$5:D87)),"")</f>
        <v>0</v>
      </c>
      <c r="E87" s="126" t="str">
        <f t="array" ref="E87">IFERROR(INDEX(BD[],_xlfn.AGGREGATE(15,6,IF(BD[CLASIFICACIÓN]=$B$2,ROW(BD[CLASIFICACIÓN])-ROW('PT2 (FILTRAR)'!$E$5)+1,NA()),ROWS($B$5:E87)),COLUMNS($B$5:E87)),"")</f>
        <v>SIN ADEUDO</v>
      </c>
    </row>
    <row r="88" spans="2:5" x14ac:dyDescent="0.3">
      <c r="B88" s="126" t="str">
        <f t="array" ref="B88">IFERROR(INDEX(BD[],_xlfn.AGGREGATE(15,6,IF(BD[CLASIFICACIÓN]=$B$2,ROW(BD[CLASIFICACIÓN])-ROW('PT2 (FILTRAR)'!$E$5)+1,NA()),ROWS($B$5:B88)),COLUMNS($B$5:B88)),"")</f>
        <v>104-003-006</v>
      </c>
      <c r="C88" s="127" t="str">
        <f t="array" ref="C88">IFERROR(INDEX(BD[],_xlfn.AGGREGATE(15,6,IF(BD[CLASIFICACIÓN]=$B$2,ROW(BD[CLASIFICACIÓN])-ROW('PT2 (FILTRAR)'!$E$5)+1,NA()),ROWS($B$5:C88)),COLUMNS($B$5:C88)),"")</f>
        <v>O2-306 RAQUEL SHEMARIA</v>
      </c>
      <c r="D88" s="142">
        <f t="array" ref="D88">IFERROR(INDEX(BD[],_xlfn.AGGREGATE(15,6,IF(BD[CLASIFICACIÓN]=$B$2,ROW(BD[CLASIFICACIÓN])-ROW('PT2 (FILTRAR)'!$E$5)+1,NA()),ROWS($B$5:D88)),COLUMNS($B$5:D88)),"")</f>
        <v>0</v>
      </c>
      <c r="E88" s="126" t="str">
        <f t="array" ref="E88">IFERROR(INDEX(BD[],_xlfn.AGGREGATE(15,6,IF(BD[CLASIFICACIÓN]=$B$2,ROW(BD[CLASIFICACIÓN])-ROW('PT2 (FILTRAR)'!$E$5)+1,NA()),ROWS($B$5:E88)),COLUMNS($B$5:E88)),"")</f>
        <v>SIN ADEUDO</v>
      </c>
    </row>
    <row r="89" spans="2:5" x14ac:dyDescent="0.3">
      <c r="B89" s="126" t="str">
        <f t="array" ref="B89">IFERROR(INDEX(BD[],_xlfn.AGGREGATE(15,6,IF(BD[CLASIFICACIÓN]=$B$2,ROW(BD[CLASIFICACIÓN])-ROW('PT2 (FILTRAR)'!$E$5)+1,NA()),ROWS($B$5:B89)),COLUMNS($B$5:B89)),"")</f>
        <v>104-003-008</v>
      </c>
      <c r="C89" s="127" t="str">
        <f t="array" ref="C89">IFERROR(INDEX(BD[],_xlfn.AGGREGATE(15,6,IF(BD[CLASIFICACIÓN]=$B$2,ROW(BD[CLASIFICACIÓN])-ROW('PT2 (FILTRAR)'!$E$5)+1,NA()),ROWS($B$5:C89)),COLUMNS($B$5:C89)),"")</f>
        <v>O2-406 JOSE CHONTKOWSKY</v>
      </c>
      <c r="D89" s="142">
        <f t="array" ref="D89">IFERROR(INDEX(BD[],_xlfn.AGGREGATE(15,6,IF(BD[CLASIFICACIÓN]=$B$2,ROW(BD[CLASIFICACIÓN])-ROW('PT2 (FILTRAR)'!$E$5)+1,NA()),ROWS($B$5:D89)),COLUMNS($B$5:D89)),"")</f>
        <v>0</v>
      </c>
      <c r="E89" s="126" t="str">
        <f t="array" ref="E89">IFERROR(INDEX(BD[],_xlfn.AGGREGATE(15,6,IF(BD[CLASIFICACIÓN]=$B$2,ROW(BD[CLASIFICACIÓN])-ROW('PT2 (FILTRAR)'!$E$5)+1,NA()),ROWS($B$5:E89)),COLUMNS($B$5:E89)),"")</f>
        <v>SIN ADEUDO</v>
      </c>
    </row>
    <row r="90" spans="2:5" x14ac:dyDescent="0.3">
      <c r="B90" s="126" t="str">
        <f t="array" ref="B90">IFERROR(INDEX(BD[],_xlfn.AGGREGATE(15,6,IF(BD[CLASIFICACIÓN]=$B$2,ROW(BD[CLASIFICACIÓN])-ROW('PT2 (FILTRAR)'!$E$5)+1,NA()),ROWS($B$5:B90)),COLUMNS($B$5:B90)),"")</f>
        <v>104-003-009</v>
      </c>
      <c r="C90" s="127" t="str">
        <f t="array" ref="C90">IFERROR(INDEX(BD[],_xlfn.AGGREGATE(15,6,IF(BD[CLASIFICACIÓN]=$B$2,ROW(BD[CLASIFICACIÓN])-ROW('PT2 (FILTRAR)'!$E$5)+1,NA()),ROWS($B$5:C90)),COLUMNS($B$5:C90)),"")</f>
        <v>O2-505 CINDY LEVY</v>
      </c>
      <c r="D90" s="142">
        <f t="array" ref="D90">IFERROR(INDEX(BD[],_xlfn.AGGREGATE(15,6,IF(BD[CLASIFICACIÓN]=$B$2,ROW(BD[CLASIFICACIÓN])-ROW('PT2 (FILTRAR)'!$E$5)+1,NA()),ROWS($B$5:D90)),COLUMNS($B$5:D90)),"")</f>
        <v>0</v>
      </c>
      <c r="E90" s="126" t="str">
        <f t="array" ref="E90">IFERROR(INDEX(BD[],_xlfn.AGGREGATE(15,6,IF(BD[CLASIFICACIÓN]=$B$2,ROW(BD[CLASIFICACIÓN])-ROW('PT2 (FILTRAR)'!$E$5)+1,NA()),ROWS($B$5:E90)),COLUMNS($B$5:E90)),"")</f>
        <v>SIN ADEUDO</v>
      </c>
    </row>
    <row r="91" spans="2:5" x14ac:dyDescent="0.3">
      <c r="B91" s="126" t="str">
        <f t="array" ref="B91">IFERROR(INDEX(BD[],_xlfn.AGGREGATE(15,6,IF(BD[CLASIFICACIÓN]=$B$2,ROW(BD[CLASIFICACIÓN])-ROW('PT2 (FILTRAR)'!$E$5)+1,NA()),ROWS($B$5:B91)),COLUMNS($B$5:B91)),"")</f>
        <v>104-003-011</v>
      </c>
      <c r="C91" s="127" t="str">
        <f t="array" ref="C91">IFERROR(INDEX(BD[],_xlfn.AGGREGATE(15,6,IF(BD[CLASIFICACIÓN]=$B$2,ROW(BD[CLASIFICACIÓN])-ROW('PT2 (FILTRAR)'!$E$5)+1,NA()),ROWS($B$5:C91)),COLUMNS($B$5:C91)),"")</f>
        <v xml:space="preserve">O2-605 ELISA SACAL </v>
      </c>
      <c r="D91" s="142">
        <f t="array" ref="D91">IFERROR(INDEX(BD[],_xlfn.AGGREGATE(15,6,IF(BD[CLASIFICACIÓN]=$B$2,ROW(BD[CLASIFICACIÓN])-ROW('PT2 (FILTRAR)'!$E$5)+1,NA()),ROWS($B$5:D91)),COLUMNS($B$5:D91)),"")</f>
        <v>0</v>
      </c>
      <c r="E91" s="126" t="str">
        <f t="array" ref="E91">IFERROR(INDEX(BD[],_xlfn.AGGREGATE(15,6,IF(BD[CLASIFICACIÓN]=$B$2,ROW(BD[CLASIFICACIÓN])-ROW('PT2 (FILTRAR)'!$E$5)+1,NA()),ROWS($B$5:E91)),COLUMNS($B$5:E91)),"")</f>
        <v>SIN ADEUDO</v>
      </c>
    </row>
    <row r="92" spans="2:5" x14ac:dyDescent="0.3">
      <c r="B92" s="126" t="str">
        <f t="array" ref="B92">IFERROR(INDEX(BD[],_xlfn.AGGREGATE(15,6,IF(BD[CLASIFICACIÓN]=$B$2,ROW(BD[CLASIFICACIÓN])-ROW('PT2 (FILTRAR)'!$E$5)+1,NA()),ROWS($B$5:B92)),COLUMNS($B$5:B92)),"")</f>
        <v>104-003-013</v>
      </c>
      <c r="C92" s="127" t="str">
        <f t="array" ref="C92">IFERROR(INDEX(BD[],_xlfn.AGGREGATE(15,6,IF(BD[CLASIFICACIÓN]=$B$2,ROW(BD[CLASIFICACIÓN])-ROW('PT2 (FILTRAR)'!$E$5)+1,NA()),ROWS($B$5:C92)),COLUMNS($B$5:C92)),"")</f>
        <v>O2-705 JOSE SHAYO</v>
      </c>
      <c r="D92" s="142">
        <f t="array" ref="D92">IFERROR(INDEX(BD[],_xlfn.AGGREGATE(15,6,IF(BD[CLASIFICACIÓN]=$B$2,ROW(BD[CLASIFICACIÓN])-ROW('PT2 (FILTRAR)'!$E$5)+1,NA()),ROWS($B$5:D92)),COLUMNS($B$5:D92)),"")</f>
        <v>0</v>
      </c>
      <c r="E92" s="126" t="str">
        <f t="array" ref="E92">IFERROR(INDEX(BD[],_xlfn.AGGREGATE(15,6,IF(BD[CLASIFICACIÓN]=$B$2,ROW(BD[CLASIFICACIÓN])-ROW('PT2 (FILTRAR)'!$E$5)+1,NA()),ROWS($B$5:E92)),COLUMNS($B$5:E92)),"")</f>
        <v>SIN ADEUDO</v>
      </c>
    </row>
    <row r="93" spans="2:5" x14ac:dyDescent="0.3">
      <c r="B93" s="126" t="str">
        <f t="array" ref="B93">IFERROR(INDEX(BD[],_xlfn.AGGREGATE(15,6,IF(BD[CLASIFICACIÓN]=$B$2,ROW(BD[CLASIFICACIÓN])-ROW('PT2 (FILTRAR)'!$E$5)+1,NA()),ROWS($B$5:B93)),COLUMNS($B$5:B93)),"")</f>
        <v>104-003-014</v>
      </c>
      <c r="C93" s="127" t="str">
        <f t="array" ref="C93">IFERROR(INDEX(BD[],_xlfn.AGGREGATE(15,6,IF(BD[CLASIFICACIÓN]=$B$2,ROW(BD[CLASIFICACIÓN])-ROW('PT2 (FILTRAR)'!$E$5)+1,NA()),ROWS($B$5:C93)),COLUMNS($B$5:C93)),"")</f>
        <v>O2-706 ADELA CHEREM</v>
      </c>
      <c r="D93" s="142">
        <f t="array" ref="D93">IFERROR(INDEX(BD[],_xlfn.AGGREGATE(15,6,IF(BD[CLASIFICACIÓN]=$B$2,ROW(BD[CLASIFICACIÓN])-ROW('PT2 (FILTRAR)'!$E$5)+1,NA()),ROWS($B$5:D93)),COLUMNS($B$5:D93)),"")</f>
        <v>0</v>
      </c>
      <c r="E93" s="126" t="str">
        <f t="array" ref="E93">IFERROR(INDEX(BD[],_xlfn.AGGREGATE(15,6,IF(BD[CLASIFICACIÓN]=$B$2,ROW(BD[CLASIFICACIÓN])-ROW('PT2 (FILTRAR)'!$E$5)+1,NA()),ROWS($B$5:E93)),COLUMNS($B$5:E93)),"")</f>
        <v>SIN ADEUDO</v>
      </c>
    </row>
    <row r="94" spans="2:5" x14ac:dyDescent="0.3">
      <c r="B94" s="126" t="str">
        <f t="array" ref="B94">IFERROR(INDEX(BD[],_xlfn.AGGREGATE(15,6,IF(BD[CLASIFICACIÓN]=$B$2,ROW(BD[CLASIFICACIÓN])-ROW('PT2 (FILTRAR)'!$E$5)+1,NA()),ROWS($B$5:B94)),COLUMNS($B$5:B94)),"")</f>
        <v>104-003-015</v>
      </c>
      <c r="C94" s="127" t="str">
        <f t="array" ref="C94">IFERROR(INDEX(BD[],_xlfn.AGGREGATE(15,6,IF(BD[CLASIFICACIÓN]=$B$2,ROW(BD[CLASIFICACIÓN])-ROW('PT2 (FILTRAR)'!$E$5)+1,NA()),ROWS($B$5:C94)),COLUMNS($B$5:C94)),"")</f>
        <v>O2-805 MAURICIO MESCHOULAM</v>
      </c>
      <c r="D94" s="142">
        <f t="array" ref="D94">IFERROR(INDEX(BD[],_xlfn.AGGREGATE(15,6,IF(BD[CLASIFICACIÓN]=$B$2,ROW(BD[CLASIFICACIÓN])-ROW('PT2 (FILTRAR)'!$E$5)+1,NA()),ROWS($B$5:D94)),COLUMNS($B$5:D94)),"")</f>
        <v>0</v>
      </c>
      <c r="E94" s="126" t="str">
        <f t="array" ref="E94">IFERROR(INDEX(BD[],_xlfn.AGGREGATE(15,6,IF(BD[CLASIFICACIÓN]=$B$2,ROW(BD[CLASIFICACIÓN])-ROW('PT2 (FILTRAR)'!$E$5)+1,NA()),ROWS($B$5:E94)),COLUMNS($B$5:E94)),"")</f>
        <v>SIN ADEUDO</v>
      </c>
    </row>
    <row r="95" spans="2:5" x14ac:dyDescent="0.3">
      <c r="B95" s="126" t="str">
        <f t="array" ref="B95">IFERROR(INDEX(BD[],_xlfn.AGGREGATE(15,6,IF(BD[CLASIFICACIÓN]=$B$2,ROW(BD[CLASIFICACIÓN])-ROW('PT2 (FILTRAR)'!$E$5)+1,NA()),ROWS($B$5:B95)),COLUMNS($B$5:B95)),"")</f>
        <v>104-003-016</v>
      </c>
      <c r="C95" s="127" t="str">
        <f t="array" ref="C95">IFERROR(INDEX(BD[],_xlfn.AGGREGATE(15,6,IF(BD[CLASIFICACIÓN]=$B$2,ROW(BD[CLASIFICACIÓN])-ROW('PT2 (FILTRAR)'!$E$5)+1,NA()),ROWS($B$5:C95)),COLUMNS($B$5:C95)),"")</f>
        <v>O2-806 JUAN C REBUELTA</v>
      </c>
      <c r="D95" s="142">
        <f t="array" ref="D95">IFERROR(INDEX(BD[],_xlfn.AGGREGATE(15,6,IF(BD[CLASIFICACIÓN]=$B$2,ROW(BD[CLASIFICACIÓN])-ROW('PT2 (FILTRAR)'!$E$5)+1,NA()),ROWS($B$5:D95)),COLUMNS($B$5:D95)),"")</f>
        <v>0</v>
      </c>
      <c r="E95" s="126" t="str">
        <f t="array" ref="E95">IFERROR(INDEX(BD[],_xlfn.AGGREGATE(15,6,IF(BD[CLASIFICACIÓN]=$B$2,ROW(BD[CLASIFICACIÓN])-ROW('PT2 (FILTRAR)'!$E$5)+1,NA()),ROWS($B$5:E95)),COLUMNS($B$5:E95)),"")</f>
        <v>SIN ADEUDO</v>
      </c>
    </row>
    <row r="96" spans="2:5" x14ac:dyDescent="0.3">
      <c r="B96" s="126" t="str">
        <f t="array" ref="B96">IFERROR(INDEX(BD[],_xlfn.AGGREGATE(15,6,IF(BD[CLASIFICACIÓN]=$B$2,ROW(BD[CLASIFICACIÓN])-ROW('PT2 (FILTRAR)'!$E$5)+1,NA()),ROWS($B$5:B96)),COLUMNS($B$5:B96)),"")</f>
        <v>104-003-017</v>
      </c>
      <c r="C96" s="127" t="str">
        <f t="array" ref="C96">IFERROR(INDEX(BD[],_xlfn.AGGREGATE(15,6,IF(BD[CLASIFICACIÓN]=$B$2,ROW(BD[CLASIFICACIÓN])-ROW('PT2 (FILTRAR)'!$E$5)+1,NA()),ROWS($B$5:C96)),COLUMNS($B$5:C96)),"")</f>
        <v>O2-905 JOSE SASSON</v>
      </c>
      <c r="D96" s="142">
        <f t="array" ref="D96">IFERROR(INDEX(BD[],_xlfn.AGGREGATE(15,6,IF(BD[CLASIFICACIÓN]=$B$2,ROW(BD[CLASIFICACIÓN])-ROW('PT2 (FILTRAR)'!$E$5)+1,NA()),ROWS($B$5:D96)),COLUMNS($B$5:D96)),"")</f>
        <v>0</v>
      </c>
      <c r="E96" s="126" t="str">
        <f t="array" ref="E96">IFERROR(INDEX(BD[],_xlfn.AGGREGATE(15,6,IF(BD[CLASIFICACIÓN]=$B$2,ROW(BD[CLASIFICACIÓN])-ROW('PT2 (FILTRAR)'!$E$5)+1,NA()),ROWS($B$5:E96)),COLUMNS($B$5:E96)),"")</f>
        <v>SIN ADEUDO</v>
      </c>
    </row>
    <row r="97" spans="2:5" x14ac:dyDescent="0.3">
      <c r="B97" s="126" t="str">
        <f t="array" ref="B97">IFERROR(INDEX(BD[],_xlfn.AGGREGATE(15,6,IF(BD[CLASIFICACIÓN]=$B$2,ROW(BD[CLASIFICACIÓN])-ROW('PT2 (FILTRAR)'!$E$5)+1,NA()),ROWS($B$5:B97)),COLUMNS($B$5:B97)),"")</f>
        <v>104-003-018</v>
      </c>
      <c r="C97" s="127" t="str">
        <f t="array" ref="C97">IFERROR(INDEX(BD[],_xlfn.AGGREGATE(15,6,IF(BD[CLASIFICACIÓN]=$B$2,ROW(BD[CLASIFICACIÓN])-ROW('PT2 (FILTRAR)'!$E$5)+1,NA()),ROWS($B$5:C97)),COLUMNS($B$5:C97)),"")</f>
        <v>O2-906 MOISES TUACHI</v>
      </c>
      <c r="D97" s="142">
        <f t="array" ref="D97">IFERROR(INDEX(BD[],_xlfn.AGGREGATE(15,6,IF(BD[CLASIFICACIÓN]=$B$2,ROW(BD[CLASIFICACIÓN])-ROW('PT2 (FILTRAR)'!$E$5)+1,NA()),ROWS($B$5:D97)),COLUMNS($B$5:D97)),"")</f>
        <v>0</v>
      </c>
      <c r="E97" s="126" t="str">
        <f t="array" ref="E97">IFERROR(INDEX(BD[],_xlfn.AGGREGATE(15,6,IF(BD[CLASIFICACIÓN]=$B$2,ROW(BD[CLASIFICACIÓN])-ROW('PT2 (FILTRAR)'!$E$5)+1,NA()),ROWS($B$5:E97)),COLUMNS($B$5:E97)),"")</f>
        <v>SIN ADEUDO</v>
      </c>
    </row>
    <row r="98" spans="2:5" x14ac:dyDescent="0.3">
      <c r="B98" s="126" t="str">
        <f t="array" ref="B98">IFERROR(INDEX(BD[],_xlfn.AGGREGATE(15,6,IF(BD[CLASIFICACIÓN]=$B$2,ROW(BD[CLASIFICACIÓN])-ROW('PT2 (FILTRAR)'!$E$5)+1,NA()),ROWS($B$5:B98)),COLUMNS($B$5:B98)),"")</f>
        <v>104-003-020</v>
      </c>
      <c r="C98" s="127" t="str">
        <f t="array" ref="C98">IFERROR(INDEX(BD[],_xlfn.AGGREGATE(15,6,IF(BD[CLASIFICACIÓN]=$B$2,ROW(BD[CLASIFICACIÓN])-ROW('PT2 (FILTRAR)'!$E$5)+1,NA()),ROWS($B$5:C98)),COLUMNS($B$5:C98)),"")</f>
        <v>O2-1006 LUCY FARCA</v>
      </c>
      <c r="D98" s="142">
        <f t="array" ref="D98">IFERROR(INDEX(BD[],_xlfn.AGGREGATE(15,6,IF(BD[CLASIFICACIÓN]=$B$2,ROW(BD[CLASIFICACIÓN])-ROW('PT2 (FILTRAR)'!$E$5)+1,NA()),ROWS($B$5:D98)),COLUMNS($B$5:D98)),"")</f>
        <v>0</v>
      </c>
      <c r="E98" s="126" t="str">
        <f t="array" ref="E98">IFERROR(INDEX(BD[],_xlfn.AGGREGATE(15,6,IF(BD[CLASIFICACIÓN]=$B$2,ROW(BD[CLASIFICACIÓN])-ROW('PT2 (FILTRAR)'!$E$5)+1,NA()),ROWS($B$5:E98)),COLUMNS($B$5:E98)),"")</f>
        <v>SIN ADEUDO</v>
      </c>
    </row>
    <row r="99" spans="2:5" x14ac:dyDescent="0.3">
      <c r="B99" s="126" t="str">
        <f t="array" ref="B99">IFERROR(INDEX(BD[],_xlfn.AGGREGATE(15,6,IF(BD[CLASIFICACIÓN]=$B$2,ROW(BD[CLASIFICACIÓN])-ROW('PT2 (FILTRAR)'!$E$5)+1,NA()),ROWS($B$5:B99)),COLUMNS($B$5:B99)),"")</f>
        <v>104-003-022</v>
      </c>
      <c r="C99" s="127" t="str">
        <f t="array" ref="C99">IFERROR(INDEX(BD[],_xlfn.AGGREGATE(15,6,IF(BD[CLASIFICACIÓN]=$B$2,ROW(BD[CLASIFICACIÓN])-ROW('PT2 (FILTRAR)'!$E$5)+1,NA()),ROWS($B$5:C99)),COLUMNS($B$5:C99)),"")</f>
        <v>O2-1106 MOISES GUINDI</v>
      </c>
      <c r="D99" s="142">
        <f t="array" ref="D99">IFERROR(INDEX(BD[],_xlfn.AGGREGATE(15,6,IF(BD[CLASIFICACIÓN]=$B$2,ROW(BD[CLASIFICACIÓN])-ROW('PT2 (FILTRAR)'!$E$5)+1,NA()),ROWS($B$5:D99)),COLUMNS($B$5:D99)),"")</f>
        <v>0</v>
      </c>
      <c r="E99" s="126" t="str">
        <f t="array" ref="E99">IFERROR(INDEX(BD[],_xlfn.AGGREGATE(15,6,IF(BD[CLASIFICACIÓN]=$B$2,ROW(BD[CLASIFICACIÓN])-ROW('PT2 (FILTRAR)'!$E$5)+1,NA()),ROWS($B$5:E99)),COLUMNS($B$5:E99)),"")</f>
        <v>SIN ADEUDO</v>
      </c>
    </row>
    <row r="100" spans="2:5" x14ac:dyDescent="0.3">
      <c r="B100" s="126" t="str">
        <f t="array" ref="B100">IFERROR(INDEX(BD[],_xlfn.AGGREGATE(15,6,IF(BD[CLASIFICACIÓN]=$B$2,ROW(BD[CLASIFICACIÓN])-ROW('PT2 (FILTRAR)'!$E$5)+1,NA()),ROWS($B$5:B100)),COLUMNS($B$5:B100)),"")</f>
        <v>104-003-025</v>
      </c>
      <c r="C100" s="127" t="str">
        <f t="array" ref="C100">IFERROR(INDEX(BD[],_xlfn.AGGREGATE(15,6,IF(BD[CLASIFICACIÓN]=$B$2,ROW(BD[CLASIFICACIÓN])-ROW('PT2 (FILTRAR)'!$E$5)+1,NA()),ROWS($B$5:C100)),COLUMNS($B$5:C100)),"")</f>
        <v>O2-1305 DANIEL AZAR</v>
      </c>
      <c r="D100" s="142">
        <f t="array" ref="D100">IFERROR(INDEX(BD[],_xlfn.AGGREGATE(15,6,IF(BD[CLASIFICACIÓN]=$B$2,ROW(BD[CLASIFICACIÓN])-ROW('PT2 (FILTRAR)'!$E$5)+1,NA()),ROWS($B$5:D100)),COLUMNS($B$5:D100)),"")</f>
        <v>0</v>
      </c>
      <c r="E100" s="126" t="str">
        <f t="array" ref="E100">IFERROR(INDEX(BD[],_xlfn.AGGREGATE(15,6,IF(BD[CLASIFICACIÓN]=$B$2,ROW(BD[CLASIFICACIÓN])-ROW('PT2 (FILTRAR)'!$E$5)+1,NA()),ROWS($B$5:E100)),COLUMNS($B$5:E100)),"")</f>
        <v>SIN ADEUDO</v>
      </c>
    </row>
    <row r="101" spans="2:5" x14ac:dyDescent="0.3">
      <c r="B101" s="126" t="str">
        <f t="array" ref="B101">IFERROR(INDEX(BD[],_xlfn.AGGREGATE(15,6,IF(BD[CLASIFICACIÓN]=$B$2,ROW(BD[CLASIFICACIÓN])-ROW('PT2 (FILTRAR)'!$E$5)+1,NA()),ROWS($B$5:B101)),COLUMNS($B$5:B101)),"")</f>
        <v>104-003-026</v>
      </c>
      <c r="C101" s="127" t="str">
        <f t="array" ref="C101">IFERROR(INDEX(BD[],_xlfn.AGGREGATE(15,6,IF(BD[CLASIFICACIÓN]=$B$2,ROW(BD[CLASIFICACIÓN])-ROW('PT2 (FILTRAR)'!$E$5)+1,NA()),ROWS($B$5:C101)),COLUMNS($B$5:C101)),"")</f>
        <v>O2-1306 GILDA RABIOVITZ</v>
      </c>
      <c r="D101" s="142">
        <f t="array" ref="D101">IFERROR(INDEX(BD[],_xlfn.AGGREGATE(15,6,IF(BD[CLASIFICACIÓN]=$B$2,ROW(BD[CLASIFICACIÓN])-ROW('PT2 (FILTRAR)'!$E$5)+1,NA()),ROWS($B$5:D101)),COLUMNS($B$5:D101)),"")</f>
        <v>0</v>
      </c>
      <c r="E101" s="126" t="str">
        <f t="array" ref="E101">IFERROR(INDEX(BD[],_xlfn.AGGREGATE(15,6,IF(BD[CLASIFICACIÓN]=$B$2,ROW(BD[CLASIFICACIÓN])-ROW('PT2 (FILTRAR)'!$E$5)+1,NA()),ROWS($B$5:E101)),COLUMNS($B$5:E101)),"")</f>
        <v>SIN ADEUDO</v>
      </c>
    </row>
    <row r="102" spans="2:5" x14ac:dyDescent="0.3">
      <c r="B102" s="126" t="str">
        <f t="array" ref="B102">IFERROR(INDEX(BD[],_xlfn.AGGREGATE(15,6,IF(BD[CLASIFICACIÓN]=$B$2,ROW(BD[CLASIFICACIÓN])-ROW('PT2 (FILTRAR)'!$E$5)+1,NA()),ROWS($B$5:B102)),COLUMNS($B$5:B102)),"")</f>
        <v>104-003-030</v>
      </c>
      <c r="C102" s="127" t="str">
        <f t="array" ref="C102">IFERROR(INDEX(BD[],_xlfn.AGGREGATE(15,6,IF(BD[CLASIFICACIÓN]=$B$2,ROW(BD[CLASIFICACIÓN])-ROW('PT2 (FILTRAR)'!$E$5)+1,NA()),ROWS($B$5:C102)),COLUMNS($B$5:C102)),"")</f>
        <v>O2-1506 KAREN DAYAN</v>
      </c>
      <c r="D102" s="142">
        <f t="array" ref="D102">IFERROR(INDEX(BD[],_xlfn.AGGREGATE(15,6,IF(BD[CLASIFICACIÓN]=$B$2,ROW(BD[CLASIFICACIÓN])-ROW('PT2 (FILTRAR)'!$E$5)+1,NA()),ROWS($B$5:D102)),COLUMNS($B$5:D102)),"")</f>
        <v>0</v>
      </c>
      <c r="E102" s="126" t="str">
        <f t="array" ref="E102">IFERROR(INDEX(BD[],_xlfn.AGGREGATE(15,6,IF(BD[CLASIFICACIÓN]=$B$2,ROW(BD[CLASIFICACIÓN])-ROW('PT2 (FILTRAR)'!$E$5)+1,NA()),ROWS($B$5:E102)),COLUMNS($B$5:E102)),"")</f>
        <v>SIN ADEUDO</v>
      </c>
    </row>
    <row r="103" spans="2:5" x14ac:dyDescent="0.3">
      <c r="B103" s="126" t="str">
        <f t="array" ref="B103">IFERROR(INDEX(BD[],_xlfn.AGGREGATE(15,6,IF(BD[CLASIFICACIÓN]=$B$2,ROW(BD[CLASIFICACIÓN])-ROW('PT2 (FILTRAR)'!$E$5)+1,NA()),ROWS($B$5:B103)),COLUMNS($B$5:B103)),"")</f>
        <v>104-003-031</v>
      </c>
      <c r="C103" s="127" t="str">
        <f t="array" ref="C103">IFERROR(INDEX(BD[],_xlfn.AGGREGATE(15,6,IF(BD[CLASIFICACIÓN]=$B$2,ROW(BD[CLASIFICACIÓN])-ROW('PT2 (FILTRAR)'!$E$5)+1,NA()),ROWS($B$5:C103)),COLUMNS($B$5:C103)),"")</f>
        <v>O2-1605 JOSE COHEN</v>
      </c>
      <c r="D103" s="142">
        <f t="array" ref="D103">IFERROR(INDEX(BD[],_xlfn.AGGREGATE(15,6,IF(BD[CLASIFICACIÓN]=$B$2,ROW(BD[CLASIFICACIÓN])-ROW('PT2 (FILTRAR)'!$E$5)+1,NA()),ROWS($B$5:D103)),COLUMNS($B$5:D103)),"")</f>
        <v>0</v>
      </c>
      <c r="E103" s="126" t="str">
        <f t="array" ref="E103">IFERROR(INDEX(BD[],_xlfn.AGGREGATE(15,6,IF(BD[CLASIFICACIÓN]=$B$2,ROW(BD[CLASIFICACIÓN])-ROW('PT2 (FILTRAR)'!$E$5)+1,NA()),ROWS($B$5:E103)),COLUMNS($B$5:E103)),"")</f>
        <v>SIN ADEUDO</v>
      </c>
    </row>
    <row r="104" spans="2:5" x14ac:dyDescent="0.3">
      <c r="B104" s="126" t="str">
        <f t="array" ref="B104">IFERROR(INDEX(BD[],_xlfn.AGGREGATE(15,6,IF(BD[CLASIFICACIÓN]=$B$2,ROW(BD[CLASIFICACIÓN])-ROW('PT2 (FILTRAR)'!$E$5)+1,NA()),ROWS($B$5:B104)),COLUMNS($B$5:B104)),"")</f>
        <v>104-003-032</v>
      </c>
      <c r="C104" s="127" t="str">
        <f t="array" ref="C104">IFERROR(INDEX(BD[],_xlfn.AGGREGATE(15,6,IF(BD[CLASIFICACIÓN]=$B$2,ROW(BD[CLASIFICACIÓN])-ROW('PT2 (FILTRAR)'!$E$5)+1,NA()),ROWS($B$5:C104)),COLUMNS($B$5:C104)),"")</f>
        <v>O2-1606 SHARON STEPESKY</v>
      </c>
      <c r="D104" s="142">
        <f t="array" ref="D104">IFERROR(INDEX(BD[],_xlfn.AGGREGATE(15,6,IF(BD[CLASIFICACIÓN]=$B$2,ROW(BD[CLASIFICACIÓN])-ROW('PT2 (FILTRAR)'!$E$5)+1,NA()),ROWS($B$5:D104)),COLUMNS($B$5:D104)),"")</f>
        <v>0</v>
      </c>
      <c r="E104" s="126" t="str">
        <f t="array" ref="E104">IFERROR(INDEX(BD[],_xlfn.AGGREGATE(15,6,IF(BD[CLASIFICACIÓN]=$B$2,ROW(BD[CLASIFICACIÓN])-ROW('PT2 (FILTRAR)'!$E$5)+1,NA()),ROWS($B$5:E104)),COLUMNS($B$5:E104)),"")</f>
        <v>SIN ADEUDO</v>
      </c>
    </row>
    <row r="105" spans="2:5" x14ac:dyDescent="0.3">
      <c r="B105" s="126" t="str">
        <f t="array" ref="B105">IFERROR(INDEX(BD[],_xlfn.AGGREGATE(15,6,IF(BD[CLASIFICACIÓN]=$B$2,ROW(BD[CLASIFICACIÓN])-ROW('PT2 (FILTRAR)'!$E$5)+1,NA()),ROWS($B$5:B105)),COLUMNS($B$5:B105)),"")</f>
        <v>104-003-034</v>
      </c>
      <c r="C105" s="127" t="str">
        <f t="array" ref="C105">IFERROR(INDEX(BD[],_xlfn.AGGREGATE(15,6,IF(BD[CLASIFICACIÓN]=$B$2,ROW(BD[CLASIFICACIÓN])-ROW('PT2 (FILTRAR)'!$E$5)+1,NA()),ROWS($B$5:C105)),COLUMNS($B$5:C105)),"")</f>
        <v>O2-1706 DANIEL FRANKLIN</v>
      </c>
      <c r="D105" s="142">
        <f t="array" ref="D105">IFERROR(INDEX(BD[],_xlfn.AGGREGATE(15,6,IF(BD[CLASIFICACIÓN]=$B$2,ROW(BD[CLASIFICACIÓN])-ROW('PT2 (FILTRAR)'!$E$5)+1,NA()),ROWS($B$5:D105)),COLUMNS($B$5:D105)),"")</f>
        <v>0</v>
      </c>
      <c r="E105" s="126" t="str">
        <f t="array" ref="E105">IFERROR(INDEX(BD[],_xlfn.AGGREGATE(15,6,IF(BD[CLASIFICACIÓN]=$B$2,ROW(BD[CLASIFICACIÓN])-ROW('PT2 (FILTRAR)'!$E$5)+1,NA()),ROWS($B$5:E105)),COLUMNS($B$5:E105)),"")</f>
        <v>SIN ADEUDO</v>
      </c>
    </row>
    <row r="106" spans="2:5" x14ac:dyDescent="0.3">
      <c r="B106" s="126" t="str">
        <f t="array" ref="B106">IFERROR(INDEX(BD[],_xlfn.AGGREGATE(15,6,IF(BD[CLASIFICACIÓN]=$B$2,ROW(BD[CLASIFICACIÓN])-ROW('PT2 (FILTRAR)'!$E$5)+1,NA()),ROWS($B$5:B106)),COLUMNS($B$5:B106)),"")</f>
        <v>104-003-035</v>
      </c>
      <c r="C106" s="127" t="str">
        <f t="array" ref="C106">IFERROR(INDEX(BD[],_xlfn.AGGREGATE(15,6,IF(BD[CLASIFICACIÓN]=$B$2,ROW(BD[CLASIFICACIÓN])-ROW('PT2 (FILTRAR)'!$E$5)+1,NA()),ROWS($B$5:C106)),COLUMNS($B$5:C106)),"")</f>
        <v xml:space="preserve">O2-1805 DAVID JASQUI R </v>
      </c>
      <c r="D106" s="142">
        <f t="array" ref="D106">IFERROR(INDEX(BD[],_xlfn.AGGREGATE(15,6,IF(BD[CLASIFICACIÓN]=$B$2,ROW(BD[CLASIFICACIÓN])-ROW('PT2 (FILTRAR)'!$E$5)+1,NA()),ROWS($B$5:D106)),COLUMNS($B$5:D106)),"")</f>
        <v>0</v>
      </c>
      <c r="E106" s="126" t="str">
        <f t="array" ref="E106">IFERROR(INDEX(BD[],_xlfn.AGGREGATE(15,6,IF(BD[CLASIFICACIÓN]=$B$2,ROW(BD[CLASIFICACIÓN])-ROW('PT2 (FILTRAR)'!$E$5)+1,NA()),ROWS($B$5:E106)),COLUMNS($B$5:E106)),"")</f>
        <v>SIN ADEUDO</v>
      </c>
    </row>
    <row r="107" spans="2:5" x14ac:dyDescent="0.3">
      <c r="B107" s="126" t="str">
        <f t="array" ref="B107">IFERROR(INDEX(BD[],_xlfn.AGGREGATE(15,6,IF(BD[CLASIFICACIÓN]=$B$2,ROW(BD[CLASIFICACIÓN])-ROW('PT2 (FILTRAR)'!$E$5)+1,NA()),ROWS($B$5:B107)),COLUMNS($B$5:B107)),"")</f>
        <v>104-003-036</v>
      </c>
      <c r="C107" s="127" t="str">
        <f t="array" ref="C107">IFERROR(INDEX(BD[],_xlfn.AGGREGATE(15,6,IF(BD[CLASIFICACIÓN]=$B$2,ROW(BD[CLASIFICACIÓN])-ROW('PT2 (FILTRAR)'!$E$5)+1,NA()),ROWS($B$5:C107)),COLUMNS($B$5:C107)),"")</f>
        <v>O2-1806 SALOMON KABLY</v>
      </c>
      <c r="D107" s="142">
        <f t="array" ref="D107">IFERROR(INDEX(BD[],_xlfn.AGGREGATE(15,6,IF(BD[CLASIFICACIÓN]=$B$2,ROW(BD[CLASIFICACIÓN])-ROW('PT2 (FILTRAR)'!$E$5)+1,NA()),ROWS($B$5:D107)),COLUMNS($B$5:D107)),"")</f>
        <v>0</v>
      </c>
      <c r="E107" s="126" t="str">
        <f t="array" ref="E107">IFERROR(INDEX(BD[],_xlfn.AGGREGATE(15,6,IF(BD[CLASIFICACIÓN]=$B$2,ROW(BD[CLASIFICACIÓN])-ROW('PT2 (FILTRAR)'!$E$5)+1,NA()),ROWS($B$5:E107)),COLUMNS($B$5:E107)),"")</f>
        <v>SIN ADEUDO</v>
      </c>
    </row>
    <row r="108" spans="2:5" x14ac:dyDescent="0.3">
      <c r="B108" s="126" t="str">
        <f t="array" ref="B108">IFERROR(INDEX(BD[],_xlfn.AGGREGATE(15,6,IF(BD[CLASIFICACIÓN]=$B$2,ROW(BD[CLASIFICACIÓN])-ROW('PT2 (FILTRAR)'!$E$5)+1,NA()),ROWS($B$5:B108)),COLUMNS($B$5:B108)),"")</f>
        <v>104-003-037</v>
      </c>
      <c r="C108" s="127" t="str">
        <f t="array" ref="C108">IFERROR(INDEX(BD[],_xlfn.AGGREGATE(15,6,IF(BD[CLASIFICACIÓN]=$B$2,ROW(BD[CLASIFICACIÓN])-ROW('PT2 (FILTRAR)'!$E$5)+1,NA()),ROWS($B$5:C108)),COLUMNS($B$5:C108)),"")</f>
        <v>O2-1905 MOISES IYABLONOVICH</v>
      </c>
      <c r="D108" s="142">
        <f t="array" ref="D108">IFERROR(INDEX(BD[],_xlfn.AGGREGATE(15,6,IF(BD[CLASIFICACIÓN]=$B$2,ROW(BD[CLASIFICACIÓN])-ROW('PT2 (FILTRAR)'!$E$5)+1,NA()),ROWS($B$5:D108)),COLUMNS($B$5:D108)),"")</f>
        <v>0</v>
      </c>
      <c r="E108" s="126" t="str">
        <f t="array" ref="E108">IFERROR(INDEX(BD[],_xlfn.AGGREGATE(15,6,IF(BD[CLASIFICACIÓN]=$B$2,ROW(BD[CLASIFICACIÓN])-ROW('PT2 (FILTRAR)'!$E$5)+1,NA()),ROWS($B$5:E108)),COLUMNS($B$5:E108)),"")</f>
        <v>SIN ADEUDO</v>
      </c>
    </row>
    <row r="109" spans="2:5" x14ac:dyDescent="0.3">
      <c r="B109" s="126" t="str">
        <f t="array" ref="B109">IFERROR(INDEX(BD[],_xlfn.AGGREGATE(15,6,IF(BD[CLASIFICACIÓN]=$B$2,ROW(BD[CLASIFICACIÓN])-ROW('PT2 (FILTRAR)'!$E$5)+1,NA()),ROWS($B$5:B109)),COLUMNS($B$5:B109)),"")</f>
        <v>104-003-039</v>
      </c>
      <c r="C109" s="127" t="str">
        <f t="array" ref="C109">IFERROR(INDEX(BD[],_xlfn.AGGREGATE(15,6,IF(BD[CLASIFICACIÓN]=$B$2,ROW(BD[CLASIFICACIÓN])-ROW('PT2 (FILTRAR)'!$E$5)+1,NA()),ROWS($B$5:C109)),COLUMNS($B$5:C109)),"")</f>
        <v>O2-2005 RAMON ZONANA</v>
      </c>
      <c r="D109" s="142">
        <f t="array" ref="D109">IFERROR(INDEX(BD[],_xlfn.AGGREGATE(15,6,IF(BD[CLASIFICACIÓN]=$B$2,ROW(BD[CLASIFICACIÓN])-ROW('PT2 (FILTRAR)'!$E$5)+1,NA()),ROWS($B$5:D109)),COLUMNS($B$5:D109)),"")</f>
        <v>0</v>
      </c>
      <c r="E109" s="126" t="str">
        <f t="array" ref="E109">IFERROR(INDEX(BD[],_xlfn.AGGREGATE(15,6,IF(BD[CLASIFICACIÓN]=$B$2,ROW(BD[CLASIFICACIÓN])-ROW('PT2 (FILTRAR)'!$E$5)+1,NA()),ROWS($B$5:E109)),COLUMNS($B$5:E109)),"")</f>
        <v>SIN ADEUDO</v>
      </c>
    </row>
    <row r="110" spans="2:5" x14ac:dyDescent="0.3">
      <c r="B110" s="126" t="str">
        <f t="array" ref="B110">IFERROR(INDEX(BD[],_xlfn.AGGREGATE(15,6,IF(BD[CLASIFICACIÓN]=$B$2,ROW(BD[CLASIFICACIÓN])-ROW('PT2 (FILTRAR)'!$E$5)+1,NA()),ROWS($B$5:B110)),COLUMNS($B$5:B110)),"")</f>
        <v>104-003-040</v>
      </c>
      <c r="C110" s="127" t="str">
        <f t="array" ref="C110">IFERROR(INDEX(BD[],_xlfn.AGGREGATE(15,6,IF(BD[CLASIFICACIÓN]=$B$2,ROW(BD[CLASIFICACIÓN])-ROW('PT2 (FILTRAR)'!$E$5)+1,NA()),ROWS($B$5:C110)),COLUMNS($B$5:C110)),"")</f>
        <v>O2-2006 LIC VANESSA OROZCO</v>
      </c>
      <c r="D110" s="142">
        <f t="array" ref="D110">IFERROR(INDEX(BD[],_xlfn.AGGREGATE(15,6,IF(BD[CLASIFICACIÓN]=$B$2,ROW(BD[CLASIFICACIÓN])-ROW('PT2 (FILTRAR)'!$E$5)+1,NA()),ROWS($B$5:D110)),COLUMNS($B$5:D110)),"")</f>
        <v>0</v>
      </c>
      <c r="E110" s="126" t="str">
        <f t="array" ref="E110">IFERROR(INDEX(BD[],_xlfn.AGGREGATE(15,6,IF(BD[CLASIFICACIÓN]=$B$2,ROW(BD[CLASIFICACIÓN])-ROW('PT2 (FILTRAR)'!$E$5)+1,NA()),ROWS($B$5:E110)),COLUMNS($B$5:E110)),"")</f>
        <v>SIN ADEUDO</v>
      </c>
    </row>
    <row r="111" spans="2:5" x14ac:dyDescent="0.3">
      <c r="B111" s="126" t="str">
        <f t="array" ref="B111">IFERROR(INDEX(BD[],_xlfn.AGGREGATE(15,6,IF(BD[CLASIFICACIÓN]=$B$2,ROW(BD[CLASIFICACIÓN])-ROW('PT2 (FILTRAR)'!$E$5)+1,NA()),ROWS($B$5:B111)),COLUMNS($B$5:B111)),"")</f>
        <v>104-003-041</v>
      </c>
      <c r="C111" s="127" t="str">
        <f t="array" ref="C111">IFERROR(INDEX(BD[],_xlfn.AGGREGATE(15,6,IF(BD[CLASIFICACIÓN]=$B$2,ROW(BD[CLASIFICACIÓN])-ROW('PT2 (FILTRAR)'!$E$5)+1,NA()),ROWS($B$5:C111)),COLUMNS($B$5:C111)),"")</f>
        <v>O2-2105 ROBERTO VILLEGAS</v>
      </c>
      <c r="D111" s="142">
        <f t="array" ref="D111">IFERROR(INDEX(BD[],_xlfn.AGGREGATE(15,6,IF(BD[CLASIFICACIÓN]=$B$2,ROW(BD[CLASIFICACIÓN])-ROW('PT2 (FILTRAR)'!$E$5)+1,NA()),ROWS($B$5:D111)),COLUMNS($B$5:D111)),"")</f>
        <v>0</v>
      </c>
      <c r="E111" s="126" t="str">
        <f t="array" ref="E111">IFERROR(INDEX(BD[],_xlfn.AGGREGATE(15,6,IF(BD[CLASIFICACIÓN]=$B$2,ROW(BD[CLASIFICACIÓN])-ROW('PT2 (FILTRAR)'!$E$5)+1,NA()),ROWS($B$5:E111)),COLUMNS($B$5:E111)),"")</f>
        <v>SIN ADEUDO</v>
      </c>
    </row>
    <row r="112" spans="2:5" x14ac:dyDescent="0.3">
      <c r="B112" s="126" t="str">
        <f t="array" ref="B112">IFERROR(INDEX(BD[],_xlfn.AGGREGATE(15,6,IF(BD[CLASIFICACIÓN]=$B$2,ROW(BD[CLASIFICACIÓN])-ROW('PT2 (FILTRAR)'!$E$5)+1,NA()),ROWS($B$5:B112)),COLUMNS($B$5:B112)),"")</f>
        <v>104-003-045</v>
      </c>
      <c r="C112" s="127" t="str">
        <f t="array" ref="C112">IFERROR(INDEX(BD[],_xlfn.AGGREGATE(15,6,IF(BD[CLASIFICACIÓN]=$B$2,ROW(BD[CLASIFICACIÓN])-ROW('PT2 (FILTRAR)'!$E$5)+1,NA()),ROWS($B$5:C112)),COLUMNS($B$5:C112)),"")</f>
        <v>O2-2305 CARLOS CALTUM</v>
      </c>
      <c r="D112" s="142">
        <f t="array" ref="D112">IFERROR(INDEX(BD[],_xlfn.AGGREGATE(15,6,IF(BD[CLASIFICACIÓN]=$B$2,ROW(BD[CLASIFICACIÓN])-ROW('PT2 (FILTRAR)'!$E$5)+1,NA()),ROWS($B$5:D112)),COLUMNS($B$5:D112)),"")</f>
        <v>0</v>
      </c>
      <c r="E112" s="126" t="str">
        <f t="array" ref="E112">IFERROR(INDEX(BD[],_xlfn.AGGREGATE(15,6,IF(BD[CLASIFICACIÓN]=$B$2,ROW(BD[CLASIFICACIÓN])-ROW('PT2 (FILTRAR)'!$E$5)+1,NA()),ROWS($B$5:E112)),COLUMNS($B$5:E112)),"")</f>
        <v>SIN ADEUDO</v>
      </c>
    </row>
    <row r="113" spans="2:5" x14ac:dyDescent="0.3">
      <c r="B113" s="126" t="str">
        <f t="array" ref="B113">IFERROR(INDEX(BD[],_xlfn.AGGREGATE(15,6,IF(BD[CLASIFICACIÓN]=$B$2,ROW(BD[CLASIFICACIÓN])-ROW('PT2 (FILTRAR)'!$E$5)+1,NA()),ROWS($B$5:B113)),COLUMNS($B$5:B113)),"")</f>
        <v>104-003-046</v>
      </c>
      <c r="C113" s="127" t="str">
        <f t="array" ref="C113">IFERROR(INDEX(BD[],_xlfn.AGGREGATE(15,6,IF(BD[CLASIFICACIÓN]=$B$2,ROW(BD[CLASIFICACIÓN])-ROW('PT2 (FILTRAR)'!$E$5)+1,NA()),ROWS($B$5:C113)),COLUMNS($B$5:C113)),"")</f>
        <v>O2-2306 ROCIO ARREDONDO</v>
      </c>
      <c r="D113" s="142">
        <f t="array" ref="D113">IFERROR(INDEX(BD[],_xlfn.AGGREGATE(15,6,IF(BD[CLASIFICACIÓN]=$B$2,ROW(BD[CLASIFICACIÓN])-ROW('PT2 (FILTRAR)'!$E$5)+1,NA()),ROWS($B$5:D113)),COLUMNS($B$5:D113)),"")</f>
        <v>0</v>
      </c>
      <c r="E113" s="126" t="str">
        <f t="array" ref="E113">IFERROR(INDEX(BD[],_xlfn.AGGREGATE(15,6,IF(BD[CLASIFICACIÓN]=$B$2,ROW(BD[CLASIFICACIÓN])-ROW('PT2 (FILTRAR)'!$E$5)+1,NA()),ROWS($B$5:E113)),COLUMNS($B$5:E113)),"")</f>
        <v>SIN ADEUDO</v>
      </c>
    </row>
    <row r="114" spans="2:5" x14ac:dyDescent="0.3">
      <c r="B114" s="126" t="str">
        <f t="array" ref="B114">IFERROR(INDEX(BD[],_xlfn.AGGREGATE(15,6,IF(BD[CLASIFICACIÓN]=$B$2,ROW(BD[CLASIFICACIÓN])-ROW('PT2 (FILTRAR)'!$E$5)+1,NA()),ROWS($B$5:B114)),COLUMNS($B$5:B114)),"")</f>
        <v>104-003-047</v>
      </c>
      <c r="C114" s="127" t="str">
        <f t="array" ref="C114">IFERROR(INDEX(BD[],_xlfn.AGGREGATE(15,6,IF(BD[CLASIFICACIÓN]=$B$2,ROW(BD[CLASIFICACIÓN])-ROW('PT2 (FILTRAR)'!$E$5)+1,NA()),ROWS($B$5:C114)),COLUMNS($B$5:C114)),"")</f>
        <v>O2-2405 SALVADOR BELTRAN</v>
      </c>
      <c r="D114" s="142">
        <f t="array" ref="D114">IFERROR(INDEX(BD[],_xlfn.AGGREGATE(15,6,IF(BD[CLASIFICACIÓN]=$B$2,ROW(BD[CLASIFICACIÓN])-ROW('PT2 (FILTRAR)'!$E$5)+1,NA()),ROWS($B$5:D114)),COLUMNS($B$5:D114)),"")</f>
        <v>0</v>
      </c>
      <c r="E114" s="126" t="str">
        <f t="array" ref="E114">IFERROR(INDEX(BD[],_xlfn.AGGREGATE(15,6,IF(BD[CLASIFICACIÓN]=$B$2,ROW(BD[CLASIFICACIÓN])-ROW('PT2 (FILTRAR)'!$E$5)+1,NA()),ROWS($B$5:E114)),COLUMNS($B$5:E114)),"")</f>
        <v>SIN ADEUDO</v>
      </c>
    </row>
    <row r="115" spans="2:5" x14ac:dyDescent="0.3">
      <c r="B115" s="126" t="str">
        <f t="array" ref="B115">IFERROR(INDEX(BD[],_xlfn.AGGREGATE(15,6,IF(BD[CLASIFICACIÓN]=$B$2,ROW(BD[CLASIFICACIÓN])-ROW('PT2 (FILTRAR)'!$E$5)+1,NA()),ROWS($B$5:B115)),COLUMNS($B$5:B115)),"")</f>
        <v>104-003-048</v>
      </c>
      <c r="C115" s="127" t="str">
        <f t="array" ref="C115">IFERROR(INDEX(BD[],_xlfn.AGGREGATE(15,6,IF(BD[CLASIFICACIÓN]=$B$2,ROW(BD[CLASIFICACIÓN])-ROW('PT2 (FILTRAR)'!$E$5)+1,NA()),ROWS($B$5:C115)),COLUMNS($B$5:C115)),"")</f>
        <v>O2-2406 RUTH GARCIA</v>
      </c>
      <c r="D115" s="142">
        <f t="array" ref="D115">IFERROR(INDEX(BD[],_xlfn.AGGREGATE(15,6,IF(BD[CLASIFICACIÓN]=$B$2,ROW(BD[CLASIFICACIÓN])-ROW('PT2 (FILTRAR)'!$E$5)+1,NA()),ROWS($B$5:D115)),COLUMNS($B$5:D115)),"")</f>
        <v>0</v>
      </c>
      <c r="E115" s="126" t="str">
        <f t="array" ref="E115">IFERROR(INDEX(BD[],_xlfn.AGGREGATE(15,6,IF(BD[CLASIFICACIÓN]=$B$2,ROW(BD[CLASIFICACIÓN])-ROW('PT2 (FILTRAR)'!$E$5)+1,NA()),ROWS($B$5:E115)),COLUMNS($B$5:E115)),"")</f>
        <v>SIN ADEUDO</v>
      </c>
    </row>
    <row r="116" spans="2:5" x14ac:dyDescent="0.3">
      <c r="B116" s="126" t="str">
        <f t="array" ref="B116">IFERROR(INDEX(BD[],_xlfn.AGGREGATE(15,6,IF(BD[CLASIFICACIÓN]=$B$2,ROW(BD[CLASIFICACIÓN])-ROW('PT2 (FILTRAR)'!$E$5)+1,NA()),ROWS($B$5:B116)),COLUMNS($B$5:B116)),"")</f>
        <v>104-003-049</v>
      </c>
      <c r="C116" s="127" t="str">
        <f t="array" ref="C116">IFERROR(INDEX(BD[],_xlfn.AGGREGATE(15,6,IF(BD[CLASIFICACIÓN]=$B$2,ROW(BD[CLASIFICACIÓN])-ROW('PT2 (FILTRAR)'!$E$5)+1,NA()),ROWS($B$5:C116)),COLUMNS($B$5:C116)),"")</f>
        <v>O2-2505 BEATRIZ CHAYET</v>
      </c>
      <c r="D116" s="142">
        <f t="array" ref="D116">IFERROR(INDEX(BD[],_xlfn.AGGREGATE(15,6,IF(BD[CLASIFICACIÓN]=$B$2,ROW(BD[CLASIFICACIÓN])-ROW('PT2 (FILTRAR)'!$E$5)+1,NA()),ROWS($B$5:D116)),COLUMNS($B$5:D116)),"")</f>
        <v>0</v>
      </c>
      <c r="E116" s="126" t="str">
        <f t="array" ref="E116">IFERROR(INDEX(BD[],_xlfn.AGGREGATE(15,6,IF(BD[CLASIFICACIÓN]=$B$2,ROW(BD[CLASIFICACIÓN])-ROW('PT2 (FILTRAR)'!$E$5)+1,NA()),ROWS($B$5:E116)),COLUMNS($B$5:E116)),"")</f>
        <v>SIN ADEUDO</v>
      </c>
    </row>
    <row r="117" spans="2:5" x14ac:dyDescent="0.3">
      <c r="B117" s="126" t="str">
        <f t="array" ref="B117">IFERROR(INDEX(BD[],_xlfn.AGGREGATE(15,6,IF(BD[CLASIFICACIÓN]=$B$2,ROW(BD[CLASIFICACIÓN])-ROW('PT2 (FILTRAR)'!$E$5)+1,NA()),ROWS($B$5:B117)),COLUMNS($B$5:B117)),"")</f>
        <v>104-004-002</v>
      </c>
      <c r="C117" s="127" t="str">
        <f t="array" ref="C117">IFERROR(INDEX(BD[],_xlfn.AGGREGATE(15,6,IF(BD[CLASIFICACIÓN]=$B$2,ROW(BD[CLASIFICACIÓN])-ROW('PT2 (FILTRAR)'!$E$5)+1,NA()),ROWS($B$5:C117)),COLUMNS($B$5:C117)),"")</f>
        <v>C1-108 NICOLE OLSOFF</v>
      </c>
      <c r="D117" s="142">
        <f t="array" ref="D117">IFERROR(INDEX(BD[],_xlfn.AGGREGATE(15,6,IF(BD[CLASIFICACIÓN]=$B$2,ROW(BD[CLASIFICACIÓN])-ROW('PT2 (FILTRAR)'!$E$5)+1,NA()),ROWS($B$5:D117)),COLUMNS($B$5:D117)),"")</f>
        <v>0</v>
      </c>
      <c r="E117" s="126" t="str">
        <f t="array" ref="E117">IFERROR(INDEX(BD[],_xlfn.AGGREGATE(15,6,IF(BD[CLASIFICACIÓN]=$B$2,ROW(BD[CLASIFICACIÓN])-ROW('PT2 (FILTRAR)'!$E$5)+1,NA()),ROWS($B$5:E117)),COLUMNS($B$5:E117)),"")</f>
        <v>SIN ADEUDO</v>
      </c>
    </row>
    <row r="118" spans="2:5" x14ac:dyDescent="0.3">
      <c r="B118" s="126" t="str">
        <f t="array" ref="B118">IFERROR(INDEX(BD[],_xlfn.AGGREGATE(15,6,IF(BD[CLASIFICACIÓN]=$B$2,ROW(BD[CLASIFICACIÓN])-ROW('PT2 (FILTRAR)'!$E$5)+1,NA()),ROWS($B$5:B118)),COLUMNS($B$5:B118)),"")</f>
        <v>104-004-004</v>
      </c>
      <c r="C118" s="127" t="str">
        <f t="array" ref="C118">IFERROR(INDEX(BD[],_xlfn.AGGREGATE(15,6,IF(BD[CLASIFICACIÓN]=$B$2,ROW(BD[CLASIFICACIÓN])-ROW('PT2 (FILTRAR)'!$E$5)+1,NA()),ROWS($B$5:C118)),COLUMNS($B$5:C118)),"")</f>
        <v>C1-208 JACOBO CHEREM A</v>
      </c>
      <c r="D118" s="142">
        <f t="array" ref="D118">IFERROR(INDEX(BD[],_xlfn.AGGREGATE(15,6,IF(BD[CLASIFICACIÓN]=$B$2,ROW(BD[CLASIFICACIÓN])-ROW('PT2 (FILTRAR)'!$E$5)+1,NA()),ROWS($B$5:D118)),COLUMNS($B$5:D118)),"")</f>
        <v>0</v>
      </c>
      <c r="E118" s="126" t="str">
        <f t="array" ref="E118">IFERROR(INDEX(BD[],_xlfn.AGGREGATE(15,6,IF(BD[CLASIFICACIÓN]=$B$2,ROW(BD[CLASIFICACIÓN])-ROW('PT2 (FILTRAR)'!$E$5)+1,NA()),ROWS($B$5:E118)),COLUMNS($B$5:E118)),"")</f>
        <v>SIN ADEUDO</v>
      </c>
    </row>
    <row r="119" spans="2:5" x14ac:dyDescent="0.3">
      <c r="B119" s="126" t="str">
        <f t="array" ref="B119">IFERROR(INDEX(BD[],_xlfn.AGGREGATE(15,6,IF(BD[CLASIFICACIÓN]=$B$2,ROW(BD[CLASIFICACIÓN])-ROW('PT2 (FILTRAR)'!$E$5)+1,NA()),ROWS($B$5:B119)),COLUMNS($B$5:B119)),"")</f>
        <v>104-004-005</v>
      </c>
      <c r="C119" s="127" t="str">
        <f t="array" ref="C119">IFERROR(INDEX(BD[],_xlfn.AGGREGATE(15,6,IF(BD[CLASIFICACIÓN]=$B$2,ROW(BD[CLASIFICACIÓN])-ROW('PT2 (FILTRAR)'!$E$5)+1,NA()),ROWS($B$5:C119)),COLUMNS($B$5:C119)),"")</f>
        <v>C1-307 ABRAHAM ATTIAS</v>
      </c>
      <c r="D119" s="142">
        <f t="array" ref="D119">IFERROR(INDEX(BD[],_xlfn.AGGREGATE(15,6,IF(BD[CLASIFICACIÓN]=$B$2,ROW(BD[CLASIFICACIÓN])-ROW('PT2 (FILTRAR)'!$E$5)+1,NA()),ROWS($B$5:D119)),COLUMNS($B$5:D119)),"")</f>
        <v>0</v>
      </c>
      <c r="E119" s="126" t="str">
        <f t="array" ref="E119">IFERROR(INDEX(BD[],_xlfn.AGGREGATE(15,6,IF(BD[CLASIFICACIÓN]=$B$2,ROW(BD[CLASIFICACIÓN])-ROW('PT2 (FILTRAR)'!$E$5)+1,NA()),ROWS($B$5:E119)),COLUMNS($B$5:E119)),"")</f>
        <v>SIN ADEUDO</v>
      </c>
    </row>
    <row r="120" spans="2:5" x14ac:dyDescent="0.3">
      <c r="B120" s="126" t="str">
        <f t="array" ref="B120">IFERROR(INDEX(BD[],_xlfn.AGGREGATE(15,6,IF(BD[CLASIFICACIÓN]=$B$2,ROW(BD[CLASIFICACIÓN])-ROW('PT2 (FILTRAR)'!$E$5)+1,NA()),ROWS($B$5:B120)),COLUMNS($B$5:B120)),"")</f>
        <v>104-004-006</v>
      </c>
      <c r="C120" s="127" t="str">
        <f t="array" ref="C120">IFERROR(INDEX(BD[],_xlfn.AGGREGATE(15,6,IF(BD[CLASIFICACIÓN]=$B$2,ROW(BD[CLASIFICACIÓN])-ROW('PT2 (FILTRAR)'!$E$5)+1,NA()),ROWS($B$5:C120)),COLUMNS($B$5:C120)),"")</f>
        <v>C1-308 ELIZABETH ABRUCH</v>
      </c>
      <c r="D120" s="142">
        <f t="array" ref="D120">IFERROR(INDEX(BD[],_xlfn.AGGREGATE(15,6,IF(BD[CLASIFICACIÓN]=$B$2,ROW(BD[CLASIFICACIÓN])-ROW('PT2 (FILTRAR)'!$E$5)+1,NA()),ROWS($B$5:D120)),COLUMNS($B$5:D120)),"")</f>
        <v>0</v>
      </c>
      <c r="E120" s="126" t="str">
        <f t="array" ref="E120">IFERROR(INDEX(BD[],_xlfn.AGGREGATE(15,6,IF(BD[CLASIFICACIÓN]=$B$2,ROW(BD[CLASIFICACIÓN])-ROW('PT2 (FILTRAR)'!$E$5)+1,NA()),ROWS($B$5:E120)),COLUMNS($B$5:E120)),"")</f>
        <v>SIN ADEUDO</v>
      </c>
    </row>
    <row r="121" spans="2:5" x14ac:dyDescent="0.3">
      <c r="B121" s="126" t="str">
        <f t="array" ref="B121">IFERROR(INDEX(BD[],_xlfn.AGGREGATE(15,6,IF(BD[CLASIFICACIÓN]=$B$2,ROW(BD[CLASIFICACIÓN])-ROW('PT2 (FILTRAR)'!$E$5)+1,NA()),ROWS($B$5:B121)),COLUMNS($B$5:B121)),"")</f>
        <v>104-004-007</v>
      </c>
      <c r="C121" s="127" t="str">
        <f t="array" ref="C121">IFERROR(INDEX(BD[],_xlfn.AGGREGATE(15,6,IF(BD[CLASIFICACIÓN]=$B$2,ROW(BD[CLASIFICACIÓN])-ROW('PT2 (FILTRAR)'!$E$5)+1,NA()),ROWS($B$5:C121)),COLUMNS($B$5:C121)),"")</f>
        <v>C1-407 JACOBO CHEREM A</v>
      </c>
      <c r="D121" s="142">
        <f t="array" ref="D121">IFERROR(INDEX(BD[],_xlfn.AGGREGATE(15,6,IF(BD[CLASIFICACIÓN]=$B$2,ROW(BD[CLASIFICACIÓN])-ROW('PT2 (FILTRAR)'!$E$5)+1,NA()),ROWS($B$5:D121)),COLUMNS($B$5:D121)),"")</f>
        <v>0</v>
      </c>
      <c r="E121" s="126" t="str">
        <f t="array" ref="E121">IFERROR(INDEX(BD[],_xlfn.AGGREGATE(15,6,IF(BD[CLASIFICACIÓN]=$B$2,ROW(BD[CLASIFICACIÓN])-ROW('PT2 (FILTRAR)'!$E$5)+1,NA()),ROWS($B$5:E121)),COLUMNS($B$5:E121)),"")</f>
        <v>SIN ADEUDO</v>
      </c>
    </row>
    <row r="122" spans="2:5" x14ac:dyDescent="0.3">
      <c r="B122" s="126" t="str">
        <f t="array" ref="B122">IFERROR(INDEX(BD[],_xlfn.AGGREGATE(15,6,IF(BD[CLASIFICACIÓN]=$B$2,ROW(BD[CLASIFICACIÓN])-ROW('PT2 (FILTRAR)'!$E$5)+1,NA()),ROWS($B$5:B122)),COLUMNS($B$5:B122)),"")</f>
        <v>104-004-011</v>
      </c>
      <c r="C122" s="127" t="str">
        <f t="array" ref="C122">IFERROR(INDEX(BD[],_xlfn.AGGREGATE(15,6,IF(BD[CLASIFICACIÓN]=$B$2,ROW(BD[CLASIFICACIÓN])-ROW('PT2 (FILTRAR)'!$E$5)+1,NA()),ROWS($B$5:C122)),COLUMNS($B$5:C122)),"")</f>
        <v>C1-607 JACOBO CHEREM A</v>
      </c>
      <c r="D122" s="142">
        <f t="array" ref="D122">IFERROR(INDEX(BD[],_xlfn.AGGREGATE(15,6,IF(BD[CLASIFICACIÓN]=$B$2,ROW(BD[CLASIFICACIÓN])-ROW('PT2 (FILTRAR)'!$E$5)+1,NA()),ROWS($B$5:D122)),COLUMNS($B$5:D122)),"")</f>
        <v>0</v>
      </c>
      <c r="E122" s="126" t="str">
        <f t="array" ref="E122">IFERROR(INDEX(BD[],_xlfn.AGGREGATE(15,6,IF(BD[CLASIFICACIÓN]=$B$2,ROW(BD[CLASIFICACIÓN])-ROW('PT2 (FILTRAR)'!$E$5)+1,NA()),ROWS($B$5:E122)),COLUMNS($B$5:E122)),"")</f>
        <v>SIN ADEUDO</v>
      </c>
    </row>
    <row r="123" spans="2:5" x14ac:dyDescent="0.3">
      <c r="B123" s="126" t="str">
        <f t="array" ref="B123">IFERROR(INDEX(BD[],_xlfn.AGGREGATE(15,6,IF(BD[CLASIFICACIÓN]=$B$2,ROW(BD[CLASIFICACIÓN])-ROW('PT2 (FILTRAR)'!$E$5)+1,NA()),ROWS($B$5:B123)),COLUMNS($B$5:B123)),"")</f>
        <v>104-004-012</v>
      </c>
      <c r="C123" s="127" t="str">
        <f t="array" ref="C123">IFERROR(INDEX(BD[],_xlfn.AGGREGATE(15,6,IF(BD[CLASIFICACIÓN]=$B$2,ROW(BD[CLASIFICACIÓN])-ROW('PT2 (FILTRAR)'!$E$5)+1,NA()),ROWS($B$5:C123)),COLUMNS($B$5:C123)),"")</f>
        <v>C1-608 FRIDA ASKENAZI</v>
      </c>
      <c r="D123" s="142">
        <f t="array" ref="D123">IFERROR(INDEX(BD[],_xlfn.AGGREGATE(15,6,IF(BD[CLASIFICACIÓN]=$B$2,ROW(BD[CLASIFICACIÓN])-ROW('PT2 (FILTRAR)'!$E$5)+1,NA()),ROWS($B$5:D123)),COLUMNS($B$5:D123)),"")</f>
        <v>0</v>
      </c>
      <c r="E123" s="126" t="str">
        <f t="array" ref="E123">IFERROR(INDEX(BD[],_xlfn.AGGREGATE(15,6,IF(BD[CLASIFICACIÓN]=$B$2,ROW(BD[CLASIFICACIÓN])-ROW('PT2 (FILTRAR)'!$E$5)+1,NA()),ROWS($B$5:E123)),COLUMNS($B$5:E123)),"")</f>
        <v>SIN ADEUDO</v>
      </c>
    </row>
    <row r="124" spans="2:5" x14ac:dyDescent="0.3">
      <c r="B124" s="126" t="str">
        <f t="array" ref="B124">IFERROR(INDEX(BD[],_xlfn.AGGREGATE(15,6,IF(BD[CLASIFICACIÓN]=$B$2,ROW(BD[CLASIFICACIÓN])-ROW('PT2 (FILTRAR)'!$E$5)+1,NA()),ROWS($B$5:B124)),COLUMNS($B$5:B124)),"")</f>
        <v>104-004-014</v>
      </c>
      <c r="C124" s="127" t="str">
        <f t="array" ref="C124">IFERROR(INDEX(BD[],_xlfn.AGGREGATE(15,6,IF(BD[CLASIFICACIÓN]=$B$2,ROW(BD[CLASIFICACIÓN])-ROW('PT2 (FILTRAR)'!$E$5)+1,NA()),ROWS($B$5:C124)),COLUMNS($B$5:C124)),"")</f>
        <v>C1-708 DANIEL CHICUREL</v>
      </c>
      <c r="D124" s="142">
        <f t="array" ref="D124">IFERROR(INDEX(BD[],_xlfn.AGGREGATE(15,6,IF(BD[CLASIFICACIÓN]=$B$2,ROW(BD[CLASIFICACIÓN])-ROW('PT2 (FILTRAR)'!$E$5)+1,NA()),ROWS($B$5:D124)),COLUMNS($B$5:D124)),"")</f>
        <v>0</v>
      </c>
      <c r="E124" s="126" t="str">
        <f t="array" ref="E124">IFERROR(INDEX(BD[],_xlfn.AGGREGATE(15,6,IF(BD[CLASIFICACIÓN]=$B$2,ROW(BD[CLASIFICACIÓN])-ROW('PT2 (FILTRAR)'!$E$5)+1,NA()),ROWS($B$5:E124)),COLUMNS($B$5:E124)),"")</f>
        <v>SIN ADEUDO</v>
      </c>
    </row>
    <row r="125" spans="2:5" x14ac:dyDescent="0.3">
      <c r="B125" s="126" t="str">
        <f t="array" ref="B125">IFERROR(INDEX(BD[],_xlfn.AGGREGATE(15,6,IF(BD[CLASIFICACIÓN]=$B$2,ROW(BD[CLASIFICACIÓN])-ROW('PT2 (FILTRAR)'!$E$5)+1,NA()),ROWS($B$5:B125)),COLUMNS($B$5:B125)),"")</f>
        <v>104-004-015</v>
      </c>
      <c r="C125" s="127" t="str">
        <f t="array" ref="C125">IFERROR(INDEX(BD[],_xlfn.AGGREGATE(15,6,IF(BD[CLASIFICACIÓN]=$B$2,ROW(BD[CLASIFICACIÓN])-ROW('PT2 (FILTRAR)'!$E$5)+1,NA()),ROWS($B$5:C125)),COLUMNS($B$5:C125)),"")</f>
        <v>C1-807 EDUARDO CHEREM</v>
      </c>
      <c r="D125" s="142">
        <f t="array" ref="D125">IFERROR(INDEX(BD[],_xlfn.AGGREGATE(15,6,IF(BD[CLASIFICACIÓN]=$B$2,ROW(BD[CLASIFICACIÓN])-ROW('PT2 (FILTRAR)'!$E$5)+1,NA()),ROWS($B$5:D125)),COLUMNS($B$5:D125)),"")</f>
        <v>0</v>
      </c>
      <c r="E125" s="126" t="str">
        <f t="array" ref="E125">IFERROR(INDEX(BD[],_xlfn.AGGREGATE(15,6,IF(BD[CLASIFICACIÓN]=$B$2,ROW(BD[CLASIFICACIÓN])-ROW('PT2 (FILTRAR)'!$E$5)+1,NA()),ROWS($B$5:E125)),COLUMNS($B$5:E125)),"")</f>
        <v>SIN ADEUDO</v>
      </c>
    </row>
    <row r="126" spans="2:5" x14ac:dyDescent="0.3">
      <c r="B126" s="126" t="str">
        <f t="array" ref="B126">IFERROR(INDEX(BD[],_xlfn.AGGREGATE(15,6,IF(BD[CLASIFICACIÓN]=$B$2,ROW(BD[CLASIFICACIÓN])-ROW('PT2 (FILTRAR)'!$E$5)+1,NA()),ROWS($B$5:B126)),COLUMNS($B$5:B126)),"")</f>
        <v>104-004-016</v>
      </c>
      <c r="C126" s="127" t="str">
        <f t="array" ref="C126">IFERROR(INDEX(BD[],_xlfn.AGGREGATE(15,6,IF(BD[CLASIFICACIÓN]=$B$2,ROW(BD[CLASIFICACIÓN])-ROW('PT2 (FILTRAR)'!$E$5)+1,NA()),ROWS($B$5:C126)),COLUMNS($B$5:C126)),"")</f>
        <v>C1-808 DAVID ATACH</v>
      </c>
      <c r="D126" s="142">
        <f t="array" ref="D126">IFERROR(INDEX(BD[],_xlfn.AGGREGATE(15,6,IF(BD[CLASIFICACIÓN]=$B$2,ROW(BD[CLASIFICACIÓN])-ROW('PT2 (FILTRAR)'!$E$5)+1,NA()),ROWS($B$5:D126)),COLUMNS($B$5:D126)),"")</f>
        <v>0</v>
      </c>
      <c r="E126" s="126" t="str">
        <f t="array" ref="E126">IFERROR(INDEX(BD[],_xlfn.AGGREGATE(15,6,IF(BD[CLASIFICACIÓN]=$B$2,ROW(BD[CLASIFICACIÓN])-ROW('PT2 (FILTRAR)'!$E$5)+1,NA()),ROWS($B$5:E126)),COLUMNS($B$5:E126)),"")</f>
        <v>SIN ADEUDO</v>
      </c>
    </row>
    <row r="127" spans="2:5" x14ac:dyDescent="0.3">
      <c r="B127" s="126" t="str">
        <f t="array" ref="B127">IFERROR(INDEX(BD[],_xlfn.AGGREGATE(15,6,IF(BD[CLASIFICACIÓN]=$B$2,ROW(BD[CLASIFICACIÓN])-ROW('PT2 (FILTRAR)'!$E$5)+1,NA()),ROWS($B$5:B127)),COLUMNS($B$5:B127)),"")</f>
        <v>104-004-018</v>
      </c>
      <c r="C127" s="127" t="str">
        <f t="array" ref="C127">IFERROR(INDEX(BD[],_xlfn.AGGREGATE(15,6,IF(BD[CLASIFICACIÓN]=$B$2,ROW(BD[CLASIFICACIÓN])-ROW('PT2 (FILTRAR)'!$E$5)+1,NA()),ROWS($B$5:C127)),COLUMNS($B$5:C127)),"")</f>
        <v>C1-908 MICHELLE CHIVER</v>
      </c>
      <c r="D127" s="142">
        <f t="array" ref="D127">IFERROR(INDEX(BD[],_xlfn.AGGREGATE(15,6,IF(BD[CLASIFICACIÓN]=$B$2,ROW(BD[CLASIFICACIÓN])-ROW('PT2 (FILTRAR)'!$E$5)+1,NA()),ROWS($B$5:D127)),COLUMNS($B$5:D127)),"")</f>
        <v>0</v>
      </c>
      <c r="E127" s="126" t="str">
        <f t="array" ref="E127">IFERROR(INDEX(BD[],_xlfn.AGGREGATE(15,6,IF(BD[CLASIFICACIÓN]=$B$2,ROW(BD[CLASIFICACIÓN])-ROW('PT2 (FILTRAR)'!$E$5)+1,NA()),ROWS($B$5:E127)),COLUMNS($B$5:E127)),"")</f>
        <v>SIN ADEUDO</v>
      </c>
    </row>
    <row r="128" spans="2:5" x14ac:dyDescent="0.3">
      <c r="B128" s="126" t="str">
        <f t="array" ref="B128">IFERROR(INDEX(BD[],_xlfn.AGGREGATE(15,6,IF(BD[CLASIFICACIÓN]=$B$2,ROW(BD[CLASIFICACIÓN])-ROW('PT2 (FILTRAR)'!$E$5)+1,NA()),ROWS($B$5:B128)),COLUMNS($B$5:B128)),"")</f>
        <v>104-004-020</v>
      </c>
      <c r="C128" s="127" t="str">
        <f t="array" ref="C128">IFERROR(INDEX(BD[],_xlfn.AGGREGATE(15,6,IF(BD[CLASIFICACIÓN]=$B$2,ROW(BD[CLASIFICACIÓN])-ROW('PT2 (FILTRAR)'!$E$5)+1,NA()),ROWS($B$5:C128)),COLUMNS($B$5:C128)),"")</f>
        <v>C1-1008 FERNANDA PUENTE</v>
      </c>
      <c r="D128" s="142">
        <f t="array" ref="D128">IFERROR(INDEX(BD[],_xlfn.AGGREGATE(15,6,IF(BD[CLASIFICACIÓN]=$B$2,ROW(BD[CLASIFICACIÓN])-ROW('PT2 (FILTRAR)'!$E$5)+1,NA()),ROWS($B$5:D128)),COLUMNS($B$5:D128)),"")</f>
        <v>0</v>
      </c>
      <c r="E128" s="126" t="str">
        <f t="array" ref="E128">IFERROR(INDEX(BD[],_xlfn.AGGREGATE(15,6,IF(BD[CLASIFICACIÓN]=$B$2,ROW(BD[CLASIFICACIÓN])-ROW('PT2 (FILTRAR)'!$E$5)+1,NA()),ROWS($B$5:E128)),COLUMNS($B$5:E128)),"")</f>
        <v>SIN ADEUDO</v>
      </c>
    </row>
    <row r="129" spans="2:5" x14ac:dyDescent="0.3">
      <c r="B129" s="126" t="str">
        <f t="array" ref="B129">IFERROR(INDEX(BD[],_xlfn.AGGREGATE(15,6,IF(BD[CLASIFICACIÓN]=$B$2,ROW(BD[CLASIFICACIÓN])-ROW('PT2 (FILTRAR)'!$E$5)+1,NA()),ROWS($B$5:B129)),COLUMNS($B$5:B129)),"")</f>
        <v>104-004-021</v>
      </c>
      <c r="C129" s="127" t="str">
        <f t="array" ref="C129">IFERROR(INDEX(BD[],_xlfn.AGGREGATE(15,6,IF(BD[CLASIFICACIÓN]=$B$2,ROW(BD[CLASIFICACIÓN])-ROW('PT2 (FILTRAR)'!$E$5)+1,NA()),ROWS($B$5:C129)),COLUMNS($B$5:C129)),"")</f>
        <v>C1-1107 ISAAC HENDY</v>
      </c>
      <c r="D129" s="142">
        <f t="array" ref="D129">IFERROR(INDEX(BD[],_xlfn.AGGREGATE(15,6,IF(BD[CLASIFICACIÓN]=$B$2,ROW(BD[CLASIFICACIÓN])-ROW('PT2 (FILTRAR)'!$E$5)+1,NA()),ROWS($B$5:D129)),COLUMNS($B$5:D129)),"")</f>
        <v>0</v>
      </c>
      <c r="E129" s="126" t="str">
        <f t="array" ref="E129">IFERROR(INDEX(BD[],_xlfn.AGGREGATE(15,6,IF(BD[CLASIFICACIÓN]=$B$2,ROW(BD[CLASIFICACIÓN])-ROW('PT2 (FILTRAR)'!$E$5)+1,NA()),ROWS($B$5:E129)),COLUMNS($B$5:E129)),"")</f>
        <v>SIN ADEUDO</v>
      </c>
    </row>
    <row r="130" spans="2:5" x14ac:dyDescent="0.3">
      <c r="B130" s="126" t="str">
        <f t="array" ref="B130">IFERROR(INDEX(BD[],_xlfn.AGGREGATE(15,6,IF(BD[CLASIFICACIÓN]=$B$2,ROW(BD[CLASIFICACIÓN])-ROW('PT2 (FILTRAR)'!$E$5)+1,NA()),ROWS($B$5:B130)),COLUMNS($B$5:B130)),"")</f>
        <v>104-004-026</v>
      </c>
      <c r="C130" s="127" t="str">
        <f t="array" ref="C130">IFERROR(INDEX(BD[],_xlfn.AGGREGATE(15,6,IF(BD[CLASIFICACIÓN]=$B$2,ROW(BD[CLASIFICACIÓN])-ROW('PT2 (FILTRAR)'!$E$5)+1,NA()),ROWS($B$5:C130)),COLUMNS($B$5:C130)),"")</f>
        <v>C1-1308 VICTOR KALIFA</v>
      </c>
      <c r="D130" s="142">
        <f t="array" ref="D130">IFERROR(INDEX(BD[],_xlfn.AGGREGATE(15,6,IF(BD[CLASIFICACIÓN]=$B$2,ROW(BD[CLASIFICACIÓN])-ROW('PT2 (FILTRAR)'!$E$5)+1,NA()),ROWS($B$5:D130)),COLUMNS($B$5:D130)),"")</f>
        <v>0</v>
      </c>
      <c r="E130" s="126" t="str">
        <f t="array" ref="E130">IFERROR(INDEX(BD[],_xlfn.AGGREGATE(15,6,IF(BD[CLASIFICACIÓN]=$B$2,ROW(BD[CLASIFICACIÓN])-ROW('PT2 (FILTRAR)'!$E$5)+1,NA()),ROWS($B$5:E130)),COLUMNS($B$5:E130)),"")</f>
        <v>SIN ADEUDO</v>
      </c>
    </row>
    <row r="131" spans="2:5" x14ac:dyDescent="0.3">
      <c r="B131" s="126" t="str">
        <f t="array" ref="B131">IFERROR(INDEX(BD[],_xlfn.AGGREGATE(15,6,IF(BD[CLASIFICACIÓN]=$B$2,ROW(BD[CLASIFICACIÓN])-ROW('PT2 (FILTRAR)'!$E$5)+1,NA()),ROWS($B$5:B131)),COLUMNS($B$5:B131)),"")</f>
        <v>104-004-027</v>
      </c>
      <c r="C131" s="127" t="str">
        <f t="array" ref="C131">IFERROR(INDEX(BD[],_xlfn.AGGREGATE(15,6,IF(BD[CLASIFICACIÓN]=$B$2,ROW(BD[CLASIFICACIÓN])-ROW('PT2 (FILTRAR)'!$E$5)+1,NA()),ROWS($B$5:C131)),COLUMNS($B$5:C131)),"")</f>
        <v>C1-1407 OSCAR ROMAN</v>
      </c>
      <c r="D131" s="142">
        <f t="array" ref="D131">IFERROR(INDEX(BD[],_xlfn.AGGREGATE(15,6,IF(BD[CLASIFICACIÓN]=$B$2,ROW(BD[CLASIFICACIÓN])-ROW('PT2 (FILTRAR)'!$E$5)+1,NA()),ROWS($B$5:D131)),COLUMNS($B$5:D131)),"")</f>
        <v>0</v>
      </c>
      <c r="E131" s="126" t="str">
        <f t="array" ref="E131">IFERROR(INDEX(BD[],_xlfn.AGGREGATE(15,6,IF(BD[CLASIFICACIÓN]=$B$2,ROW(BD[CLASIFICACIÓN])-ROW('PT2 (FILTRAR)'!$E$5)+1,NA()),ROWS($B$5:E131)),COLUMNS($B$5:E131)),"")</f>
        <v>SIN ADEUDO</v>
      </c>
    </row>
    <row r="132" spans="2:5" x14ac:dyDescent="0.3">
      <c r="B132" s="126" t="str">
        <f t="array" ref="B132">IFERROR(INDEX(BD[],_xlfn.AGGREGATE(15,6,IF(BD[CLASIFICACIÓN]=$B$2,ROW(BD[CLASIFICACIÓN])-ROW('PT2 (FILTRAR)'!$E$5)+1,NA()),ROWS($B$5:B132)),COLUMNS($B$5:B132)),"")</f>
        <v>104-004-029</v>
      </c>
      <c r="C132" s="127" t="str">
        <f t="array" ref="C132">IFERROR(INDEX(BD[],_xlfn.AGGREGATE(15,6,IF(BD[CLASIFICACIÓN]=$B$2,ROW(BD[CLASIFICACIÓN])-ROW('PT2 (FILTRAR)'!$E$5)+1,NA()),ROWS($B$5:C132)),COLUMNS($B$5:C132)),"")</f>
        <v>C1-1507 ANDREA PERLA</v>
      </c>
      <c r="D132" s="142">
        <f t="array" ref="D132">IFERROR(INDEX(BD[],_xlfn.AGGREGATE(15,6,IF(BD[CLASIFICACIÓN]=$B$2,ROW(BD[CLASIFICACIÓN])-ROW('PT2 (FILTRAR)'!$E$5)+1,NA()),ROWS($B$5:D132)),COLUMNS($B$5:D132)),"")</f>
        <v>0</v>
      </c>
      <c r="E132" s="126" t="str">
        <f t="array" ref="E132">IFERROR(INDEX(BD[],_xlfn.AGGREGATE(15,6,IF(BD[CLASIFICACIÓN]=$B$2,ROW(BD[CLASIFICACIÓN])-ROW('PT2 (FILTRAR)'!$E$5)+1,NA()),ROWS($B$5:E132)),COLUMNS($B$5:E132)),"")</f>
        <v>SIN ADEUDO</v>
      </c>
    </row>
    <row r="133" spans="2:5" x14ac:dyDescent="0.3">
      <c r="B133" s="126" t="str">
        <f t="array" ref="B133">IFERROR(INDEX(BD[],_xlfn.AGGREGATE(15,6,IF(BD[CLASIFICACIÓN]=$B$2,ROW(BD[CLASIFICACIÓN])-ROW('PT2 (FILTRAR)'!$E$5)+1,NA()),ROWS($B$5:B133)),COLUMNS($B$5:B133)),"")</f>
        <v>104-004-035</v>
      </c>
      <c r="C133" s="127" t="str">
        <f t="array" ref="C133">IFERROR(INDEX(BD[],_xlfn.AGGREGATE(15,6,IF(BD[CLASIFICACIÓN]=$B$2,ROW(BD[CLASIFICACIÓN])-ROW('PT2 (FILTRAR)'!$E$5)+1,NA()),ROWS($B$5:C133)),COLUMNS($B$5:C133)),"")</f>
        <v>C1-1807 MIRIAM HALABE</v>
      </c>
      <c r="D133" s="142">
        <f t="array" ref="D133">IFERROR(INDEX(BD[],_xlfn.AGGREGATE(15,6,IF(BD[CLASIFICACIÓN]=$B$2,ROW(BD[CLASIFICACIÓN])-ROW('PT2 (FILTRAR)'!$E$5)+1,NA()),ROWS($B$5:D133)),COLUMNS($B$5:D133)),"")</f>
        <v>0</v>
      </c>
      <c r="E133" s="126" t="str">
        <f t="array" ref="E133">IFERROR(INDEX(BD[],_xlfn.AGGREGATE(15,6,IF(BD[CLASIFICACIÓN]=$B$2,ROW(BD[CLASIFICACIÓN])-ROW('PT2 (FILTRAR)'!$E$5)+1,NA()),ROWS($B$5:E133)),COLUMNS($B$5:E133)),"")</f>
        <v>SIN ADEUDO</v>
      </c>
    </row>
    <row r="134" spans="2:5" x14ac:dyDescent="0.3">
      <c r="B134" s="126" t="str">
        <f t="array" ref="B134">IFERROR(INDEX(BD[],_xlfn.AGGREGATE(15,6,IF(BD[CLASIFICACIÓN]=$B$2,ROW(BD[CLASIFICACIÓN])-ROW('PT2 (FILTRAR)'!$E$5)+1,NA()),ROWS($B$5:B134)),COLUMNS($B$5:B134)),"")</f>
        <v>104-004-036</v>
      </c>
      <c r="C134" s="127" t="str">
        <f t="array" ref="C134">IFERROR(INDEX(BD[],_xlfn.AGGREGATE(15,6,IF(BD[CLASIFICACIÓN]=$B$2,ROW(BD[CLASIFICACIÓN])-ROW('PT2 (FILTRAR)'!$E$5)+1,NA()),ROWS($B$5:C134)),COLUMNS($B$5:C134)),"")</f>
        <v>C1-1808 JACOBO CHEREM A</v>
      </c>
      <c r="D134" s="142">
        <f t="array" ref="D134">IFERROR(INDEX(BD[],_xlfn.AGGREGATE(15,6,IF(BD[CLASIFICACIÓN]=$B$2,ROW(BD[CLASIFICACIÓN])-ROW('PT2 (FILTRAR)'!$E$5)+1,NA()),ROWS($B$5:D134)),COLUMNS($B$5:D134)),"")</f>
        <v>0</v>
      </c>
      <c r="E134" s="126" t="str">
        <f t="array" ref="E134">IFERROR(INDEX(BD[],_xlfn.AGGREGATE(15,6,IF(BD[CLASIFICACIÓN]=$B$2,ROW(BD[CLASIFICACIÓN])-ROW('PT2 (FILTRAR)'!$E$5)+1,NA()),ROWS($B$5:E134)),COLUMNS($B$5:E134)),"")</f>
        <v>SIN ADEUDO</v>
      </c>
    </row>
    <row r="135" spans="2:5" x14ac:dyDescent="0.3">
      <c r="B135" s="126" t="str">
        <f t="array" ref="B135">IFERROR(INDEX(BD[],_xlfn.AGGREGATE(15,6,IF(BD[CLASIFICACIÓN]=$B$2,ROW(BD[CLASIFICACIÓN])-ROW('PT2 (FILTRAR)'!$E$5)+1,NA()),ROWS($B$5:B135)),COLUMNS($B$5:B135)),"")</f>
        <v>104-004-037</v>
      </c>
      <c r="C135" s="127" t="str">
        <f t="array" ref="C135">IFERROR(INDEX(BD[],_xlfn.AGGREGATE(15,6,IF(BD[CLASIFICACIÓN]=$B$2,ROW(BD[CLASIFICACIÓN])-ROW('PT2 (FILTRAR)'!$E$5)+1,NA()),ROWS($B$5:C135)),COLUMNS($B$5:C135)),"")</f>
        <v>C1-1907 ERIC ZUCHOVICKI</v>
      </c>
      <c r="D135" s="142">
        <f t="array" ref="D135">IFERROR(INDEX(BD[],_xlfn.AGGREGATE(15,6,IF(BD[CLASIFICACIÓN]=$B$2,ROW(BD[CLASIFICACIÓN])-ROW('PT2 (FILTRAR)'!$E$5)+1,NA()),ROWS($B$5:D135)),COLUMNS($B$5:D135)),"")</f>
        <v>0</v>
      </c>
      <c r="E135" s="126" t="str">
        <f t="array" ref="E135">IFERROR(INDEX(BD[],_xlfn.AGGREGATE(15,6,IF(BD[CLASIFICACIÓN]=$B$2,ROW(BD[CLASIFICACIÓN])-ROW('PT2 (FILTRAR)'!$E$5)+1,NA()),ROWS($B$5:E135)),COLUMNS($B$5:E135)),"")</f>
        <v>SIN ADEUDO</v>
      </c>
    </row>
    <row r="136" spans="2:5" x14ac:dyDescent="0.3">
      <c r="B136" s="126" t="str">
        <f t="array" ref="B136">IFERROR(INDEX(BD[],_xlfn.AGGREGATE(15,6,IF(BD[CLASIFICACIÓN]=$B$2,ROW(BD[CLASIFICACIÓN])-ROW('PT2 (FILTRAR)'!$E$5)+1,NA()),ROWS($B$5:B136)),COLUMNS($B$5:B136)),"")</f>
        <v>104-004-038</v>
      </c>
      <c r="C136" s="127" t="str">
        <f t="array" ref="C136">IFERROR(INDEX(BD[],_xlfn.AGGREGATE(15,6,IF(BD[CLASIFICACIÓN]=$B$2,ROW(BD[CLASIFICACIÓN])-ROW('PT2 (FILTRAR)'!$E$5)+1,NA()),ROWS($B$5:C136)),COLUMNS($B$5:C136)),"")</f>
        <v>C1-1908 ALBERTO CATARIVAS</v>
      </c>
      <c r="D136" s="142">
        <f t="array" ref="D136">IFERROR(INDEX(BD[],_xlfn.AGGREGATE(15,6,IF(BD[CLASIFICACIÓN]=$B$2,ROW(BD[CLASIFICACIÓN])-ROW('PT2 (FILTRAR)'!$E$5)+1,NA()),ROWS($B$5:D136)),COLUMNS($B$5:D136)),"")</f>
        <v>0</v>
      </c>
      <c r="E136" s="126" t="str">
        <f t="array" ref="E136">IFERROR(INDEX(BD[],_xlfn.AGGREGATE(15,6,IF(BD[CLASIFICACIÓN]=$B$2,ROW(BD[CLASIFICACIÓN])-ROW('PT2 (FILTRAR)'!$E$5)+1,NA()),ROWS($B$5:E136)),COLUMNS($B$5:E136)),"")</f>
        <v>SIN ADEUDO</v>
      </c>
    </row>
    <row r="137" spans="2:5" x14ac:dyDescent="0.3">
      <c r="B137" s="126" t="str">
        <f t="array" ref="B137">IFERROR(INDEX(BD[],_xlfn.AGGREGATE(15,6,IF(BD[CLASIFICACIÓN]=$B$2,ROW(BD[CLASIFICACIÓN])-ROW('PT2 (FILTRAR)'!$E$5)+1,NA()),ROWS($B$5:B137)),COLUMNS($B$5:B137)),"")</f>
        <v>104-004-040</v>
      </c>
      <c r="C137" s="127" t="str">
        <f t="array" ref="C137">IFERROR(INDEX(BD[],_xlfn.AGGREGATE(15,6,IF(BD[CLASIFICACIÓN]=$B$2,ROW(BD[CLASIFICACIÓN])-ROW('PT2 (FILTRAR)'!$E$5)+1,NA()),ROWS($B$5:C137)),COLUMNS($B$5:C137)),"")</f>
        <v>C1-2008 SANDRA MARAIMA</v>
      </c>
      <c r="D137" s="142">
        <f t="array" ref="D137">IFERROR(INDEX(BD[],_xlfn.AGGREGATE(15,6,IF(BD[CLASIFICACIÓN]=$B$2,ROW(BD[CLASIFICACIÓN])-ROW('PT2 (FILTRAR)'!$E$5)+1,NA()),ROWS($B$5:D137)),COLUMNS($B$5:D137)),"")</f>
        <v>0</v>
      </c>
      <c r="E137" s="126" t="str">
        <f t="array" ref="E137">IFERROR(INDEX(BD[],_xlfn.AGGREGATE(15,6,IF(BD[CLASIFICACIÓN]=$B$2,ROW(BD[CLASIFICACIÓN])-ROW('PT2 (FILTRAR)'!$E$5)+1,NA()),ROWS($B$5:E137)),COLUMNS($B$5:E137)),"")</f>
        <v>SIN ADEUDO</v>
      </c>
    </row>
    <row r="138" spans="2:5" x14ac:dyDescent="0.3">
      <c r="B138" s="126" t="str">
        <f t="array" ref="B138">IFERROR(INDEX(BD[],_xlfn.AGGREGATE(15,6,IF(BD[CLASIFICACIÓN]=$B$2,ROW(BD[CLASIFICACIÓN])-ROW('PT2 (FILTRAR)'!$E$5)+1,NA()),ROWS($B$5:B138)),COLUMNS($B$5:B138)),"")</f>
        <v>104-004-042</v>
      </c>
      <c r="C138" s="127" t="str">
        <f t="array" ref="C138">IFERROR(INDEX(BD[],_xlfn.AGGREGATE(15,6,IF(BD[CLASIFICACIÓN]=$B$2,ROW(BD[CLASIFICACIÓN])-ROW('PT2 (FILTRAR)'!$E$5)+1,NA()),ROWS($B$5:C138)),COLUMNS($B$5:C138)),"")</f>
        <v>C1-2108 DANIA DJADDAH</v>
      </c>
      <c r="D138" s="142">
        <f t="array" ref="D138">IFERROR(INDEX(BD[],_xlfn.AGGREGATE(15,6,IF(BD[CLASIFICACIÓN]=$B$2,ROW(BD[CLASIFICACIÓN])-ROW('PT2 (FILTRAR)'!$E$5)+1,NA()),ROWS($B$5:D138)),COLUMNS($B$5:D138)),"")</f>
        <v>0</v>
      </c>
      <c r="E138" s="126" t="str">
        <f t="array" ref="E138">IFERROR(INDEX(BD[],_xlfn.AGGREGATE(15,6,IF(BD[CLASIFICACIÓN]=$B$2,ROW(BD[CLASIFICACIÓN])-ROW('PT2 (FILTRAR)'!$E$5)+1,NA()),ROWS($B$5:E138)),COLUMNS($B$5:E138)),"")</f>
        <v>SIN ADEUDO</v>
      </c>
    </row>
    <row r="139" spans="2:5" x14ac:dyDescent="0.3">
      <c r="B139" s="126" t="str">
        <f t="array" ref="B139">IFERROR(INDEX(BD[],_xlfn.AGGREGATE(15,6,IF(BD[CLASIFICACIÓN]=$B$2,ROW(BD[CLASIFICACIÓN])-ROW('PT2 (FILTRAR)'!$E$5)+1,NA()),ROWS($B$5:B139)),COLUMNS($B$5:B139)),"")</f>
        <v>104-004-043</v>
      </c>
      <c r="C139" s="127" t="str">
        <f t="array" ref="C139">IFERROR(INDEX(BD[],_xlfn.AGGREGATE(15,6,IF(BD[CLASIFICACIÓN]=$B$2,ROW(BD[CLASIFICACIÓN])-ROW('PT2 (FILTRAR)'!$E$5)+1,NA()),ROWS($B$5:C139)),COLUMNS($B$5:C139)),"")</f>
        <v>C1-2207 ALBERTO BALAS</v>
      </c>
      <c r="D139" s="142">
        <f t="array" ref="D139">IFERROR(INDEX(BD[],_xlfn.AGGREGATE(15,6,IF(BD[CLASIFICACIÓN]=$B$2,ROW(BD[CLASIFICACIÓN])-ROW('PT2 (FILTRAR)'!$E$5)+1,NA()),ROWS($B$5:D139)),COLUMNS($B$5:D139)),"")</f>
        <v>0</v>
      </c>
      <c r="E139" s="126" t="str">
        <f t="array" ref="E139">IFERROR(INDEX(BD[],_xlfn.AGGREGATE(15,6,IF(BD[CLASIFICACIÓN]=$B$2,ROW(BD[CLASIFICACIÓN])-ROW('PT2 (FILTRAR)'!$E$5)+1,NA()),ROWS($B$5:E139)),COLUMNS($B$5:E139)),"")</f>
        <v>SIN ADEUDO</v>
      </c>
    </row>
    <row r="140" spans="2:5" x14ac:dyDescent="0.3">
      <c r="B140" s="126" t="str">
        <f t="array" ref="B140">IFERROR(INDEX(BD[],_xlfn.AGGREGATE(15,6,IF(BD[CLASIFICACIÓN]=$B$2,ROW(BD[CLASIFICACIÓN])-ROW('PT2 (FILTRAR)'!$E$5)+1,NA()),ROWS($B$5:B140)),COLUMNS($B$5:B140)),"")</f>
        <v>104-004-045</v>
      </c>
      <c r="C140" s="127" t="str">
        <f t="array" ref="C140">IFERROR(INDEX(BD[],_xlfn.AGGREGATE(15,6,IF(BD[CLASIFICACIÓN]=$B$2,ROW(BD[CLASIFICACIÓN])-ROW('PT2 (FILTRAR)'!$E$5)+1,NA()),ROWS($B$5:C140)),COLUMNS($B$5:C140)),"")</f>
        <v>C1-2307 MARLEN KABLY</v>
      </c>
      <c r="D140" s="142">
        <f t="array" ref="D140">IFERROR(INDEX(BD[],_xlfn.AGGREGATE(15,6,IF(BD[CLASIFICACIÓN]=$B$2,ROW(BD[CLASIFICACIÓN])-ROW('PT2 (FILTRAR)'!$E$5)+1,NA()),ROWS($B$5:D140)),COLUMNS($B$5:D140)),"")</f>
        <v>0</v>
      </c>
      <c r="E140" s="126" t="str">
        <f t="array" ref="E140">IFERROR(INDEX(BD[],_xlfn.AGGREGATE(15,6,IF(BD[CLASIFICACIÓN]=$B$2,ROW(BD[CLASIFICACIÓN])-ROW('PT2 (FILTRAR)'!$E$5)+1,NA()),ROWS($B$5:E140)),COLUMNS($B$5:E140)),"")</f>
        <v>SIN ADEUDO</v>
      </c>
    </row>
    <row r="141" spans="2:5" x14ac:dyDescent="0.3">
      <c r="B141" s="126" t="str">
        <f t="array" ref="B141">IFERROR(INDEX(BD[],_xlfn.AGGREGATE(15,6,IF(BD[CLASIFICACIÓN]=$B$2,ROW(BD[CLASIFICACIÓN])-ROW('PT2 (FILTRAR)'!$E$5)+1,NA()),ROWS($B$5:B141)),COLUMNS($B$5:B141)),"")</f>
        <v>104-004-049</v>
      </c>
      <c r="C141" s="127" t="str">
        <f t="array" ref="C141">IFERROR(INDEX(BD[],_xlfn.AGGREGATE(15,6,IF(BD[CLASIFICACIÓN]=$B$2,ROW(BD[CLASIFICACIÓN])-ROW('PT2 (FILTRAR)'!$E$5)+1,NA()),ROWS($B$5:C141)),COLUMNS($B$5:C141)),"")</f>
        <v>C1-2507 BERNARDO SHTEREMBERG</v>
      </c>
      <c r="D141" s="142">
        <f t="array" ref="D141">IFERROR(INDEX(BD[],_xlfn.AGGREGATE(15,6,IF(BD[CLASIFICACIÓN]=$B$2,ROW(BD[CLASIFICACIÓN])-ROW('PT2 (FILTRAR)'!$E$5)+1,NA()),ROWS($B$5:D141)),COLUMNS($B$5:D141)),"")</f>
        <v>0</v>
      </c>
      <c r="E141" s="126" t="str">
        <f t="array" ref="E141">IFERROR(INDEX(BD[],_xlfn.AGGREGATE(15,6,IF(BD[CLASIFICACIÓN]=$B$2,ROW(BD[CLASIFICACIÓN])-ROW('PT2 (FILTRAR)'!$E$5)+1,NA()),ROWS($B$5:E141)),COLUMNS($B$5:E141)),"")</f>
        <v>SIN ADEUDO</v>
      </c>
    </row>
    <row r="142" spans="2:5" x14ac:dyDescent="0.3">
      <c r="B142" s="126" t="str">
        <f t="array" ref="B142">IFERROR(INDEX(BD[],_xlfn.AGGREGATE(15,6,IF(BD[CLASIFICACIÓN]=$B$2,ROW(BD[CLASIFICACIÓN])-ROW('PT2 (FILTRAR)'!$E$5)+1,NA()),ROWS($B$5:B142)),COLUMNS($B$5:B142)),"")</f>
        <v>104-004-051</v>
      </c>
      <c r="C142" s="127" t="str">
        <f t="array" ref="C142">IFERROR(INDEX(BD[],_xlfn.AGGREGATE(15,6,IF(BD[CLASIFICACIÓN]=$B$2,ROW(BD[CLASIFICACIÓN])-ROW('PT2 (FILTRAR)'!$E$5)+1,NA()),ROWS($B$5:C142)),COLUMNS($B$5:C142)),"")</f>
        <v xml:space="preserve">C1-PH07 </v>
      </c>
      <c r="D142" s="142">
        <f t="array" ref="D142">IFERROR(INDEX(BD[],_xlfn.AGGREGATE(15,6,IF(BD[CLASIFICACIÓN]=$B$2,ROW(BD[CLASIFICACIÓN])-ROW('PT2 (FILTRAR)'!$E$5)+1,NA()),ROWS($B$5:D142)),COLUMNS($B$5:D142)),"")</f>
        <v>0</v>
      </c>
      <c r="E142" s="126" t="str">
        <f t="array" ref="E142">IFERROR(INDEX(BD[],_xlfn.AGGREGATE(15,6,IF(BD[CLASIFICACIÓN]=$B$2,ROW(BD[CLASIFICACIÓN])-ROW('PT2 (FILTRAR)'!$E$5)+1,NA()),ROWS($B$5:E142)),COLUMNS($B$5:E142)),"")</f>
        <v>SIN ADEUDO</v>
      </c>
    </row>
    <row r="143" spans="2:5" x14ac:dyDescent="0.3">
      <c r="B143" s="126" t="str">
        <f t="array" ref="B143">IFERROR(INDEX(BD[],_xlfn.AGGREGATE(15,6,IF(BD[CLASIFICACIÓN]=$B$2,ROW(BD[CLASIFICACIÓN])-ROW('PT2 (FILTRAR)'!$E$5)+1,NA()),ROWS($B$5:B143)),COLUMNS($B$5:B143)),"")</f>
        <v>104-004-052</v>
      </c>
      <c r="C143" s="127" t="str">
        <f t="array" ref="C143">IFERROR(INDEX(BD[],_xlfn.AGGREGATE(15,6,IF(BD[CLASIFICACIÓN]=$B$2,ROW(BD[CLASIFICACIÓN])-ROW('PT2 (FILTRAR)'!$E$5)+1,NA()),ROWS($B$5:C143)),COLUMNS($B$5:C143)),"")</f>
        <v>C1-PH08 SALOMON ABADI</v>
      </c>
      <c r="D143" s="142">
        <f t="array" ref="D143">IFERROR(INDEX(BD[],_xlfn.AGGREGATE(15,6,IF(BD[CLASIFICACIÓN]=$B$2,ROW(BD[CLASIFICACIÓN])-ROW('PT2 (FILTRAR)'!$E$5)+1,NA()),ROWS($B$5:D143)),COLUMNS($B$5:D143)),"")</f>
        <v>0</v>
      </c>
      <c r="E143" s="126" t="str">
        <f t="array" ref="E143">IFERROR(INDEX(BD[],_xlfn.AGGREGATE(15,6,IF(BD[CLASIFICACIÓN]=$B$2,ROW(BD[CLASIFICACIÓN])-ROW('PT2 (FILTRAR)'!$E$5)+1,NA()),ROWS($B$5:E143)),COLUMNS($B$5:E143)),"")</f>
        <v>SIN ADEUDO</v>
      </c>
    </row>
    <row r="144" spans="2:5" x14ac:dyDescent="0.3">
      <c r="B144" s="126" t="str">
        <f t="array" ref="B144">IFERROR(INDEX(BD[],_xlfn.AGGREGATE(15,6,IF(BD[CLASIFICACIÓN]=$B$2,ROW(BD[CLASIFICACIÓN])-ROW('PT2 (FILTRAR)'!$E$5)+1,NA()),ROWS($B$5:B144)),COLUMNS($B$5:B144)),"")</f>
        <v>104-005-001</v>
      </c>
      <c r="C144" s="127" t="str">
        <f t="array" ref="C144">IFERROR(INDEX(BD[],_xlfn.AGGREGATE(15,6,IF(BD[CLASIFICACIÓN]=$B$2,ROW(BD[CLASIFICACIÓN])-ROW('PT2 (FILTRAR)'!$E$5)+1,NA()),ROWS($B$5:C144)),COLUMNS($B$5:C144)),"")</f>
        <v>C2-109 SALOMON BALAS</v>
      </c>
      <c r="D144" s="142">
        <f t="array" ref="D144">IFERROR(INDEX(BD[],_xlfn.AGGREGATE(15,6,IF(BD[CLASIFICACIÓN]=$B$2,ROW(BD[CLASIFICACIÓN])-ROW('PT2 (FILTRAR)'!$E$5)+1,NA()),ROWS($B$5:D144)),COLUMNS($B$5:D144)),"")</f>
        <v>0</v>
      </c>
      <c r="E144" s="126" t="str">
        <f t="array" ref="E144">IFERROR(INDEX(BD[],_xlfn.AGGREGATE(15,6,IF(BD[CLASIFICACIÓN]=$B$2,ROW(BD[CLASIFICACIÓN])-ROW('PT2 (FILTRAR)'!$E$5)+1,NA()),ROWS($B$5:E144)),COLUMNS($B$5:E144)),"")</f>
        <v>SIN ADEUDO</v>
      </c>
    </row>
    <row r="145" spans="2:5" x14ac:dyDescent="0.3">
      <c r="B145" s="126" t="str">
        <f t="array" ref="B145">IFERROR(INDEX(BD[],_xlfn.AGGREGATE(15,6,IF(BD[CLASIFICACIÓN]=$B$2,ROW(BD[CLASIFICACIÓN])-ROW('PT2 (FILTRAR)'!$E$5)+1,NA()),ROWS($B$5:B145)),COLUMNS($B$5:B145)),"")</f>
        <v>104-005-002</v>
      </c>
      <c r="C145" s="127" t="str">
        <f t="array" ref="C145">IFERROR(INDEX(BD[],_xlfn.AGGREGATE(15,6,IF(BD[CLASIFICACIÓN]=$B$2,ROW(BD[CLASIFICACIÓN])-ROW('PT2 (FILTRAR)'!$E$5)+1,NA()),ROWS($B$5:C145)),COLUMNS($B$5:C145)),"")</f>
        <v>C2-110 MAURICIO FINKELSTEIN</v>
      </c>
      <c r="D145" s="142">
        <f t="array" ref="D145">IFERROR(INDEX(BD[],_xlfn.AGGREGATE(15,6,IF(BD[CLASIFICACIÓN]=$B$2,ROW(BD[CLASIFICACIÓN])-ROW('PT2 (FILTRAR)'!$E$5)+1,NA()),ROWS($B$5:D145)),COLUMNS($B$5:D145)),"")</f>
        <v>0</v>
      </c>
      <c r="E145" s="126" t="str">
        <f t="array" ref="E145">IFERROR(INDEX(BD[],_xlfn.AGGREGATE(15,6,IF(BD[CLASIFICACIÓN]=$B$2,ROW(BD[CLASIFICACIÓN])-ROW('PT2 (FILTRAR)'!$E$5)+1,NA()),ROWS($B$5:E145)),COLUMNS($B$5:E145)),"")</f>
        <v>SIN ADEUDO</v>
      </c>
    </row>
    <row r="146" spans="2:5" x14ac:dyDescent="0.3">
      <c r="B146" s="126" t="str">
        <f t="array" ref="B146">IFERROR(INDEX(BD[],_xlfn.AGGREGATE(15,6,IF(BD[CLASIFICACIÓN]=$B$2,ROW(BD[CLASIFICACIÓN])-ROW('PT2 (FILTRAR)'!$E$5)+1,NA()),ROWS($B$5:B146)),COLUMNS($B$5:B146)),"")</f>
        <v>104-005-003</v>
      </c>
      <c r="C146" s="127" t="str">
        <f t="array" ref="C146">IFERROR(INDEX(BD[],_xlfn.AGGREGATE(15,6,IF(BD[CLASIFICACIÓN]=$B$2,ROW(BD[CLASIFICACIÓN])-ROW('PT2 (FILTRAR)'!$E$5)+1,NA()),ROWS($B$5:C146)),COLUMNS($B$5:C146)),"")</f>
        <v>C2-209 MIRELE DJADDAH</v>
      </c>
      <c r="D146" s="142">
        <f t="array" ref="D146">IFERROR(INDEX(BD[],_xlfn.AGGREGATE(15,6,IF(BD[CLASIFICACIÓN]=$B$2,ROW(BD[CLASIFICACIÓN])-ROW('PT2 (FILTRAR)'!$E$5)+1,NA()),ROWS($B$5:D146)),COLUMNS($B$5:D146)),"")</f>
        <v>0</v>
      </c>
      <c r="E146" s="126" t="str">
        <f t="array" ref="E146">IFERROR(INDEX(BD[],_xlfn.AGGREGATE(15,6,IF(BD[CLASIFICACIÓN]=$B$2,ROW(BD[CLASIFICACIÓN])-ROW('PT2 (FILTRAR)'!$E$5)+1,NA()),ROWS($B$5:E146)),COLUMNS($B$5:E146)),"")</f>
        <v>SIN ADEUDO</v>
      </c>
    </row>
    <row r="147" spans="2:5" x14ac:dyDescent="0.3">
      <c r="B147" s="126" t="str">
        <f t="array" ref="B147">IFERROR(INDEX(BD[],_xlfn.AGGREGATE(15,6,IF(BD[CLASIFICACIÓN]=$B$2,ROW(BD[CLASIFICACIÓN])-ROW('PT2 (FILTRAR)'!$E$5)+1,NA()),ROWS($B$5:B147)),COLUMNS($B$5:B147)),"")</f>
        <v>104-005-004</v>
      </c>
      <c r="C147" s="127" t="str">
        <f t="array" ref="C147">IFERROR(INDEX(BD[],_xlfn.AGGREGATE(15,6,IF(BD[CLASIFICACIÓN]=$B$2,ROW(BD[CLASIFICACIÓN])-ROW('PT2 (FILTRAR)'!$E$5)+1,NA()),ROWS($B$5:C147)),COLUMNS($B$5:C147)),"")</f>
        <v>C2-210 JACOBO CHEJA</v>
      </c>
      <c r="D147" s="142">
        <f t="array" ref="D147">IFERROR(INDEX(BD[],_xlfn.AGGREGATE(15,6,IF(BD[CLASIFICACIÓN]=$B$2,ROW(BD[CLASIFICACIÓN])-ROW('PT2 (FILTRAR)'!$E$5)+1,NA()),ROWS($B$5:D147)),COLUMNS($B$5:D147)),"")</f>
        <v>0</v>
      </c>
      <c r="E147" s="126" t="str">
        <f t="array" ref="E147">IFERROR(INDEX(BD[],_xlfn.AGGREGATE(15,6,IF(BD[CLASIFICACIÓN]=$B$2,ROW(BD[CLASIFICACIÓN])-ROW('PT2 (FILTRAR)'!$E$5)+1,NA()),ROWS($B$5:E147)),COLUMNS($B$5:E147)),"")</f>
        <v>SIN ADEUDO</v>
      </c>
    </row>
    <row r="148" spans="2:5" x14ac:dyDescent="0.3">
      <c r="B148" s="126" t="str">
        <f t="array" ref="B148">IFERROR(INDEX(BD[],_xlfn.AGGREGATE(15,6,IF(BD[CLASIFICACIÓN]=$B$2,ROW(BD[CLASIFICACIÓN])-ROW('PT2 (FILTRAR)'!$E$5)+1,NA()),ROWS($B$5:B148)),COLUMNS($B$5:B148)),"")</f>
        <v>104-005-007</v>
      </c>
      <c r="C148" s="127" t="str">
        <f t="array" ref="C148">IFERROR(INDEX(BD[],_xlfn.AGGREGATE(15,6,IF(BD[CLASIFICACIÓN]=$B$2,ROW(BD[CLASIFICACIÓN])-ROW('PT2 (FILTRAR)'!$E$5)+1,NA()),ROWS($B$5:C148)),COLUMNS($B$5:C148)),"")</f>
        <v>C2-409 ASUNCION CASTELAZO</v>
      </c>
      <c r="D148" s="142">
        <f t="array" ref="D148">IFERROR(INDEX(BD[],_xlfn.AGGREGATE(15,6,IF(BD[CLASIFICACIÓN]=$B$2,ROW(BD[CLASIFICACIÓN])-ROW('PT2 (FILTRAR)'!$E$5)+1,NA()),ROWS($B$5:D148)),COLUMNS($B$5:D148)),"")</f>
        <v>0</v>
      </c>
      <c r="E148" s="126" t="str">
        <f t="array" ref="E148">IFERROR(INDEX(BD[],_xlfn.AGGREGATE(15,6,IF(BD[CLASIFICACIÓN]=$B$2,ROW(BD[CLASIFICACIÓN])-ROW('PT2 (FILTRAR)'!$E$5)+1,NA()),ROWS($B$5:E148)),COLUMNS($B$5:E148)),"")</f>
        <v>SIN ADEUDO</v>
      </c>
    </row>
    <row r="149" spans="2:5" x14ac:dyDescent="0.3">
      <c r="B149" s="126" t="str">
        <f t="array" ref="B149">IFERROR(INDEX(BD[],_xlfn.AGGREGATE(15,6,IF(BD[CLASIFICACIÓN]=$B$2,ROW(BD[CLASIFICACIÓN])-ROW('PT2 (FILTRAR)'!$E$5)+1,NA()),ROWS($B$5:B149)),COLUMNS($B$5:B149)),"")</f>
        <v>104-005-008</v>
      </c>
      <c r="C149" s="127" t="str">
        <f t="array" ref="C149">IFERROR(INDEX(BD[],_xlfn.AGGREGATE(15,6,IF(BD[CLASIFICACIÓN]=$B$2,ROW(BD[CLASIFICACIÓN])-ROW('PT2 (FILTRAR)'!$E$5)+1,NA()),ROWS($B$5:C149)),COLUMNS($B$5:C149)),"")</f>
        <v>C2-410 LUIS GUILHERME</v>
      </c>
      <c r="D149" s="142">
        <f t="array" ref="D149">IFERROR(INDEX(BD[],_xlfn.AGGREGATE(15,6,IF(BD[CLASIFICACIÓN]=$B$2,ROW(BD[CLASIFICACIÓN])-ROW('PT2 (FILTRAR)'!$E$5)+1,NA()),ROWS($B$5:D149)),COLUMNS($B$5:D149)),"")</f>
        <v>0</v>
      </c>
      <c r="E149" s="126" t="str">
        <f t="array" ref="E149">IFERROR(INDEX(BD[],_xlfn.AGGREGATE(15,6,IF(BD[CLASIFICACIÓN]=$B$2,ROW(BD[CLASIFICACIÓN])-ROW('PT2 (FILTRAR)'!$E$5)+1,NA()),ROWS($B$5:E149)),COLUMNS($B$5:E149)),"")</f>
        <v>SIN ADEUDO</v>
      </c>
    </row>
    <row r="150" spans="2:5" x14ac:dyDescent="0.3">
      <c r="B150" s="126" t="str">
        <f t="array" ref="B150">IFERROR(INDEX(BD[],_xlfn.AGGREGATE(15,6,IF(BD[CLASIFICACIÓN]=$B$2,ROW(BD[CLASIFICACIÓN])-ROW('PT2 (FILTRAR)'!$E$5)+1,NA()),ROWS($B$5:B150)),COLUMNS($B$5:B150)),"")</f>
        <v>104-005-009</v>
      </c>
      <c r="C150" s="127" t="str">
        <f t="array" ref="C150">IFERROR(INDEX(BD[],_xlfn.AGGREGATE(15,6,IF(BD[CLASIFICACIÓN]=$B$2,ROW(BD[CLASIFICACIÓN])-ROW('PT2 (FILTRAR)'!$E$5)+1,NA()),ROWS($B$5:C150)),COLUMNS($B$5:C150)),"")</f>
        <v>C2-509 MARCOS TUACHI</v>
      </c>
      <c r="D150" s="142">
        <f t="array" ref="D150">IFERROR(INDEX(BD[],_xlfn.AGGREGATE(15,6,IF(BD[CLASIFICACIÓN]=$B$2,ROW(BD[CLASIFICACIÓN])-ROW('PT2 (FILTRAR)'!$E$5)+1,NA()),ROWS($B$5:D150)),COLUMNS($B$5:D150)),"")</f>
        <v>0</v>
      </c>
      <c r="E150" s="126" t="str">
        <f t="array" ref="E150">IFERROR(INDEX(BD[],_xlfn.AGGREGATE(15,6,IF(BD[CLASIFICACIÓN]=$B$2,ROW(BD[CLASIFICACIÓN])-ROW('PT2 (FILTRAR)'!$E$5)+1,NA()),ROWS($B$5:E150)),COLUMNS($B$5:E150)),"")</f>
        <v>SIN ADEUDO</v>
      </c>
    </row>
    <row r="151" spans="2:5" x14ac:dyDescent="0.3">
      <c r="B151" s="126" t="str">
        <f t="array" ref="B151">IFERROR(INDEX(BD[],_xlfn.AGGREGATE(15,6,IF(BD[CLASIFICACIÓN]=$B$2,ROW(BD[CLASIFICACIÓN])-ROW('PT2 (FILTRAR)'!$E$5)+1,NA()),ROWS($B$5:B151)),COLUMNS($B$5:B151)),"")</f>
        <v>104-005-010</v>
      </c>
      <c r="C151" s="127" t="str">
        <f t="array" ref="C151">IFERROR(INDEX(BD[],_xlfn.AGGREGATE(15,6,IF(BD[CLASIFICACIÓN]=$B$2,ROW(BD[CLASIFICACIÓN])-ROW('PT2 (FILTRAR)'!$E$5)+1,NA()),ROWS($B$5:C151)),COLUMNS($B$5:C151)),"")</f>
        <v>C2-510 SARITA AGAMI</v>
      </c>
      <c r="D151" s="142">
        <f t="array" ref="D151">IFERROR(INDEX(BD[],_xlfn.AGGREGATE(15,6,IF(BD[CLASIFICACIÓN]=$B$2,ROW(BD[CLASIFICACIÓN])-ROW('PT2 (FILTRAR)'!$E$5)+1,NA()),ROWS($B$5:D151)),COLUMNS($B$5:D151)),"")</f>
        <v>0</v>
      </c>
      <c r="E151" s="126" t="str">
        <f t="array" ref="E151">IFERROR(INDEX(BD[],_xlfn.AGGREGATE(15,6,IF(BD[CLASIFICACIÓN]=$B$2,ROW(BD[CLASIFICACIÓN])-ROW('PT2 (FILTRAR)'!$E$5)+1,NA()),ROWS($B$5:E151)),COLUMNS($B$5:E151)),"")</f>
        <v>SIN ADEUDO</v>
      </c>
    </row>
    <row r="152" spans="2:5" x14ac:dyDescent="0.3">
      <c r="B152" s="126" t="str">
        <f t="array" ref="B152">IFERROR(INDEX(BD[],_xlfn.AGGREGATE(15,6,IF(BD[CLASIFICACIÓN]=$B$2,ROW(BD[CLASIFICACIÓN])-ROW('PT2 (FILTRAR)'!$E$5)+1,NA()),ROWS($B$5:B152)),COLUMNS($B$5:B152)),"")</f>
        <v>104-005-011</v>
      </c>
      <c r="C152" s="127" t="str">
        <f t="array" ref="C152">IFERROR(INDEX(BD[],_xlfn.AGGREGATE(15,6,IF(BD[CLASIFICACIÓN]=$B$2,ROW(BD[CLASIFICACIÓN])-ROW('PT2 (FILTRAR)'!$E$5)+1,NA()),ROWS($B$5:C152)),COLUMNS($B$5:C152)),"")</f>
        <v>C2-609 MAURICIO FINKELSTEIN</v>
      </c>
      <c r="D152" s="142">
        <f t="array" ref="D152">IFERROR(INDEX(BD[],_xlfn.AGGREGATE(15,6,IF(BD[CLASIFICACIÓN]=$B$2,ROW(BD[CLASIFICACIÓN])-ROW('PT2 (FILTRAR)'!$E$5)+1,NA()),ROWS($B$5:D152)),COLUMNS($B$5:D152)),"")</f>
        <v>0</v>
      </c>
      <c r="E152" s="126" t="str">
        <f t="array" ref="E152">IFERROR(INDEX(BD[],_xlfn.AGGREGATE(15,6,IF(BD[CLASIFICACIÓN]=$B$2,ROW(BD[CLASIFICACIÓN])-ROW('PT2 (FILTRAR)'!$E$5)+1,NA()),ROWS($B$5:E152)),COLUMNS($B$5:E152)),"")</f>
        <v>SIN ADEUDO</v>
      </c>
    </row>
    <row r="153" spans="2:5" x14ac:dyDescent="0.3">
      <c r="B153" s="126" t="str">
        <f t="array" ref="B153">IFERROR(INDEX(BD[],_xlfn.AGGREGATE(15,6,IF(BD[CLASIFICACIÓN]=$B$2,ROW(BD[CLASIFICACIÓN])-ROW('PT2 (FILTRAR)'!$E$5)+1,NA()),ROWS($B$5:B153)),COLUMNS($B$5:B153)),"")</f>
        <v>104-005-012</v>
      </c>
      <c r="C153" s="127" t="str">
        <f t="array" ref="C153">IFERROR(INDEX(BD[],_xlfn.AGGREGATE(15,6,IF(BD[CLASIFICACIÓN]=$B$2,ROW(BD[CLASIFICACIÓN])-ROW('PT2 (FILTRAR)'!$E$5)+1,NA()),ROWS($B$5:C153)),COLUMNS($B$5:C153)),"")</f>
        <v>C2-610 MARK JERUSALMI</v>
      </c>
      <c r="D153" s="142">
        <f t="array" ref="D153">IFERROR(INDEX(BD[],_xlfn.AGGREGATE(15,6,IF(BD[CLASIFICACIÓN]=$B$2,ROW(BD[CLASIFICACIÓN])-ROW('PT2 (FILTRAR)'!$E$5)+1,NA()),ROWS($B$5:D153)),COLUMNS($B$5:D153)),"")</f>
        <v>0</v>
      </c>
      <c r="E153" s="126" t="str">
        <f t="array" ref="E153">IFERROR(INDEX(BD[],_xlfn.AGGREGATE(15,6,IF(BD[CLASIFICACIÓN]=$B$2,ROW(BD[CLASIFICACIÓN])-ROW('PT2 (FILTRAR)'!$E$5)+1,NA()),ROWS($B$5:E153)),COLUMNS($B$5:E153)),"")</f>
        <v>SIN ADEUDO</v>
      </c>
    </row>
    <row r="154" spans="2:5" x14ac:dyDescent="0.3">
      <c r="B154" s="126" t="str">
        <f t="array" ref="B154">IFERROR(INDEX(BD[],_xlfn.AGGREGATE(15,6,IF(BD[CLASIFICACIÓN]=$B$2,ROW(BD[CLASIFICACIÓN])-ROW('PT2 (FILTRAR)'!$E$5)+1,NA()),ROWS($B$5:B154)),COLUMNS($B$5:B154)),"")</f>
        <v>104-005-013</v>
      </c>
      <c r="C154" s="127" t="str">
        <f t="array" ref="C154">IFERROR(INDEX(BD[],_xlfn.AGGREGATE(15,6,IF(BD[CLASIFICACIÓN]=$B$2,ROW(BD[CLASIFICACIÓN])-ROW('PT2 (FILTRAR)'!$E$5)+1,NA()),ROWS($B$5:C154)),COLUMNS($B$5:C154)),"")</f>
        <v>C2-709 JACK GOLDBERG</v>
      </c>
      <c r="D154" s="142">
        <f t="array" ref="D154">IFERROR(INDEX(BD[],_xlfn.AGGREGATE(15,6,IF(BD[CLASIFICACIÓN]=$B$2,ROW(BD[CLASIFICACIÓN])-ROW('PT2 (FILTRAR)'!$E$5)+1,NA()),ROWS($B$5:D154)),COLUMNS($B$5:D154)),"")</f>
        <v>0</v>
      </c>
      <c r="E154" s="126" t="str">
        <f t="array" ref="E154">IFERROR(INDEX(BD[],_xlfn.AGGREGATE(15,6,IF(BD[CLASIFICACIÓN]=$B$2,ROW(BD[CLASIFICACIÓN])-ROW('PT2 (FILTRAR)'!$E$5)+1,NA()),ROWS($B$5:E154)),COLUMNS($B$5:E154)),"")</f>
        <v>SIN ADEUDO</v>
      </c>
    </row>
    <row r="155" spans="2:5" x14ac:dyDescent="0.3">
      <c r="B155" s="126" t="str">
        <f t="array" ref="B155">IFERROR(INDEX(BD[],_xlfn.AGGREGATE(15,6,IF(BD[CLASIFICACIÓN]=$B$2,ROW(BD[CLASIFICACIÓN])-ROW('PT2 (FILTRAR)'!$E$5)+1,NA()),ROWS($B$5:B155)),COLUMNS($B$5:B155)),"")</f>
        <v>104-005-014</v>
      </c>
      <c r="C155" s="127" t="str">
        <f t="array" ref="C155">IFERROR(INDEX(BD[],_xlfn.AGGREGATE(15,6,IF(BD[CLASIFICACIÓN]=$B$2,ROW(BD[CLASIFICACIÓN])-ROW('PT2 (FILTRAR)'!$E$5)+1,NA()),ROWS($B$5:C155)),COLUMNS($B$5:C155)),"")</f>
        <v>C2-710 MAURICIO COHEN</v>
      </c>
      <c r="D155" s="142">
        <f t="array" ref="D155">IFERROR(INDEX(BD[],_xlfn.AGGREGATE(15,6,IF(BD[CLASIFICACIÓN]=$B$2,ROW(BD[CLASIFICACIÓN])-ROW('PT2 (FILTRAR)'!$E$5)+1,NA()),ROWS($B$5:D155)),COLUMNS($B$5:D155)),"")</f>
        <v>0</v>
      </c>
      <c r="E155" s="126" t="str">
        <f t="array" ref="E155">IFERROR(INDEX(BD[],_xlfn.AGGREGATE(15,6,IF(BD[CLASIFICACIÓN]=$B$2,ROW(BD[CLASIFICACIÓN])-ROW('PT2 (FILTRAR)'!$E$5)+1,NA()),ROWS($B$5:E155)),COLUMNS($B$5:E155)),"")</f>
        <v>SIN ADEUDO</v>
      </c>
    </row>
    <row r="156" spans="2:5" x14ac:dyDescent="0.3">
      <c r="B156" s="126" t="str">
        <f t="array" ref="B156">IFERROR(INDEX(BD[],_xlfn.AGGREGATE(15,6,IF(BD[CLASIFICACIÓN]=$B$2,ROW(BD[CLASIFICACIÓN])-ROW('PT2 (FILTRAR)'!$E$5)+1,NA()),ROWS($B$5:B156)),COLUMNS($B$5:B156)),"")</f>
        <v>104-005-016</v>
      </c>
      <c r="C156" s="127" t="str">
        <f t="array" ref="C156">IFERROR(INDEX(BD[],_xlfn.AGGREGATE(15,6,IF(BD[CLASIFICACIÓN]=$B$2,ROW(BD[CLASIFICACIÓN])-ROW('PT2 (FILTRAR)'!$E$5)+1,NA()),ROWS($B$5:C156)),COLUMNS($B$5:C156)),"")</f>
        <v>C2-810 SONIA FUX</v>
      </c>
      <c r="D156" s="142">
        <f t="array" ref="D156">IFERROR(INDEX(BD[],_xlfn.AGGREGATE(15,6,IF(BD[CLASIFICACIÓN]=$B$2,ROW(BD[CLASIFICACIÓN])-ROW('PT2 (FILTRAR)'!$E$5)+1,NA()),ROWS($B$5:D156)),COLUMNS($B$5:D156)),"")</f>
        <v>0</v>
      </c>
      <c r="E156" s="126" t="str">
        <f t="array" ref="E156">IFERROR(INDEX(BD[],_xlfn.AGGREGATE(15,6,IF(BD[CLASIFICACIÓN]=$B$2,ROW(BD[CLASIFICACIÓN])-ROW('PT2 (FILTRAR)'!$E$5)+1,NA()),ROWS($B$5:E156)),COLUMNS($B$5:E156)),"")</f>
        <v>SIN ADEUDO</v>
      </c>
    </row>
    <row r="157" spans="2:5" x14ac:dyDescent="0.3">
      <c r="B157" s="126" t="str">
        <f t="array" ref="B157">IFERROR(INDEX(BD[],_xlfn.AGGREGATE(15,6,IF(BD[CLASIFICACIÓN]=$B$2,ROW(BD[CLASIFICACIÓN])-ROW('PT2 (FILTRAR)'!$E$5)+1,NA()),ROWS($B$5:B157)),COLUMNS($B$5:B157)),"")</f>
        <v>104-005-018</v>
      </c>
      <c r="C157" s="127" t="str">
        <f t="array" ref="C157">IFERROR(INDEX(BD[],_xlfn.AGGREGATE(15,6,IF(BD[CLASIFICACIÓN]=$B$2,ROW(BD[CLASIFICACIÓN])-ROW('PT2 (FILTRAR)'!$E$5)+1,NA()),ROWS($B$5:C157)),COLUMNS($B$5:C157)),"")</f>
        <v>C2-910 ALBERTO KABLY</v>
      </c>
      <c r="D157" s="142">
        <f t="array" ref="D157">IFERROR(INDEX(BD[],_xlfn.AGGREGATE(15,6,IF(BD[CLASIFICACIÓN]=$B$2,ROW(BD[CLASIFICACIÓN])-ROW('PT2 (FILTRAR)'!$E$5)+1,NA()),ROWS($B$5:D157)),COLUMNS($B$5:D157)),"")</f>
        <v>0</v>
      </c>
      <c r="E157" s="126" t="str">
        <f t="array" ref="E157">IFERROR(INDEX(BD[],_xlfn.AGGREGATE(15,6,IF(BD[CLASIFICACIÓN]=$B$2,ROW(BD[CLASIFICACIÓN])-ROW('PT2 (FILTRAR)'!$E$5)+1,NA()),ROWS($B$5:E157)),COLUMNS($B$5:E157)),"")</f>
        <v>SIN ADEUDO</v>
      </c>
    </row>
    <row r="158" spans="2:5" x14ac:dyDescent="0.3">
      <c r="B158" s="126" t="str">
        <f t="array" ref="B158">IFERROR(INDEX(BD[],_xlfn.AGGREGATE(15,6,IF(BD[CLASIFICACIÓN]=$B$2,ROW(BD[CLASIFICACIÓN])-ROW('PT2 (FILTRAR)'!$E$5)+1,NA()),ROWS($B$5:B158)),COLUMNS($B$5:B158)),"")</f>
        <v>104-005-019</v>
      </c>
      <c r="C158" s="127" t="str">
        <f t="array" ref="C158">IFERROR(INDEX(BD[],_xlfn.AGGREGATE(15,6,IF(BD[CLASIFICACIÓN]=$B$2,ROW(BD[CLASIFICACIÓN])-ROW('PT2 (FILTRAR)'!$E$5)+1,NA()),ROWS($B$5:C158)),COLUMNS($B$5:C158)),"")</f>
        <v>C2-1009 JONATHAN SALTIEL</v>
      </c>
      <c r="D158" s="142">
        <f t="array" ref="D158">IFERROR(INDEX(BD[],_xlfn.AGGREGATE(15,6,IF(BD[CLASIFICACIÓN]=$B$2,ROW(BD[CLASIFICACIÓN])-ROW('PT2 (FILTRAR)'!$E$5)+1,NA()),ROWS($B$5:D158)),COLUMNS($B$5:D158)),"")</f>
        <v>0</v>
      </c>
      <c r="E158" s="126" t="str">
        <f t="array" ref="E158">IFERROR(INDEX(BD[],_xlfn.AGGREGATE(15,6,IF(BD[CLASIFICACIÓN]=$B$2,ROW(BD[CLASIFICACIÓN])-ROW('PT2 (FILTRAR)'!$E$5)+1,NA()),ROWS($B$5:E158)),COLUMNS($B$5:E158)),"")</f>
        <v>SIN ADEUDO</v>
      </c>
    </row>
    <row r="159" spans="2:5" x14ac:dyDescent="0.3">
      <c r="B159" s="126" t="str">
        <f t="array" ref="B159">IFERROR(INDEX(BD[],_xlfn.AGGREGATE(15,6,IF(BD[CLASIFICACIÓN]=$B$2,ROW(BD[CLASIFICACIÓN])-ROW('PT2 (FILTRAR)'!$E$5)+1,NA()),ROWS($B$5:B159)),COLUMNS($B$5:B159)),"")</f>
        <v>104-005-020</v>
      </c>
      <c r="C159" s="127" t="str">
        <f t="array" ref="C159">IFERROR(INDEX(BD[],_xlfn.AGGREGATE(15,6,IF(BD[CLASIFICACIÓN]=$B$2,ROW(BD[CLASIFICACIÓN])-ROW('PT2 (FILTRAR)'!$E$5)+1,NA()),ROWS($B$5:C159)),COLUMNS($B$5:C159)),"")</f>
        <v>C2-1010 JOSE BEJAR</v>
      </c>
      <c r="D159" s="142">
        <f t="array" ref="D159">IFERROR(INDEX(BD[],_xlfn.AGGREGATE(15,6,IF(BD[CLASIFICACIÓN]=$B$2,ROW(BD[CLASIFICACIÓN])-ROW('PT2 (FILTRAR)'!$E$5)+1,NA()),ROWS($B$5:D159)),COLUMNS($B$5:D159)),"")</f>
        <v>0</v>
      </c>
      <c r="E159" s="126" t="str">
        <f t="array" ref="E159">IFERROR(INDEX(BD[],_xlfn.AGGREGATE(15,6,IF(BD[CLASIFICACIÓN]=$B$2,ROW(BD[CLASIFICACIÓN])-ROW('PT2 (FILTRAR)'!$E$5)+1,NA()),ROWS($B$5:E159)),COLUMNS($B$5:E159)),"")</f>
        <v>SIN ADEUDO</v>
      </c>
    </row>
    <row r="160" spans="2:5" x14ac:dyDescent="0.3">
      <c r="B160" s="126" t="str">
        <f t="array" ref="B160">IFERROR(INDEX(BD[],_xlfn.AGGREGATE(15,6,IF(BD[CLASIFICACIÓN]=$B$2,ROW(BD[CLASIFICACIÓN])-ROW('PT2 (FILTRAR)'!$E$5)+1,NA()),ROWS($B$5:B160)),COLUMNS($B$5:B160)),"")</f>
        <v>104-005-023</v>
      </c>
      <c r="C160" s="127" t="str">
        <f t="array" ref="C160">IFERROR(INDEX(BD[],_xlfn.AGGREGATE(15,6,IF(BD[CLASIFICACIÓN]=$B$2,ROW(BD[CLASIFICACIÓN])-ROW('PT2 (FILTRAR)'!$E$5)+1,NA()),ROWS($B$5:C160)),COLUMNS($B$5:C160)),"")</f>
        <v>C2-1209 SHELLY SEVILLA</v>
      </c>
      <c r="D160" s="142">
        <f t="array" ref="D160">IFERROR(INDEX(BD[],_xlfn.AGGREGATE(15,6,IF(BD[CLASIFICACIÓN]=$B$2,ROW(BD[CLASIFICACIÓN])-ROW('PT2 (FILTRAR)'!$E$5)+1,NA()),ROWS($B$5:D160)),COLUMNS($B$5:D160)),"")</f>
        <v>0</v>
      </c>
      <c r="E160" s="126" t="str">
        <f t="array" ref="E160">IFERROR(INDEX(BD[],_xlfn.AGGREGATE(15,6,IF(BD[CLASIFICACIÓN]=$B$2,ROW(BD[CLASIFICACIÓN])-ROW('PT2 (FILTRAR)'!$E$5)+1,NA()),ROWS($B$5:E160)),COLUMNS($B$5:E160)),"")</f>
        <v>SIN ADEUDO</v>
      </c>
    </row>
    <row r="161" spans="2:5" x14ac:dyDescent="0.3">
      <c r="B161" s="126" t="str">
        <f t="array" ref="B161">IFERROR(INDEX(BD[],_xlfn.AGGREGATE(15,6,IF(BD[CLASIFICACIÓN]=$B$2,ROW(BD[CLASIFICACIÓN])-ROW('PT2 (FILTRAR)'!$E$5)+1,NA()),ROWS($B$5:B161)),COLUMNS($B$5:B161)),"")</f>
        <v>104-005-026</v>
      </c>
      <c r="C161" s="127" t="str">
        <f t="array" ref="C161">IFERROR(INDEX(BD[],_xlfn.AGGREGATE(15,6,IF(BD[CLASIFICACIÓN]=$B$2,ROW(BD[CLASIFICACIÓN])-ROW('PT2 (FILTRAR)'!$E$5)+1,NA()),ROWS($B$5:C161)),COLUMNS($B$5:C161)),"")</f>
        <v>C2-1310 VICTOR COHEN</v>
      </c>
      <c r="D161" s="142">
        <f t="array" ref="D161">IFERROR(INDEX(BD[],_xlfn.AGGREGATE(15,6,IF(BD[CLASIFICACIÓN]=$B$2,ROW(BD[CLASIFICACIÓN])-ROW('PT2 (FILTRAR)'!$E$5)+1,NA()),ROWS($B$5:D161)),COLUMNS($B$5:D161)),"")</f>
        <v>0</v>
      </c>
      <c r="E161" s="126" t="str">
        <f t="array" ref="E161">IFERROR(INDEX(BD[],_xlfn.AGGREGATE(15,6,IF(BD[CLASIFICACIÓN]=$B$2,ROW(BD[CLASIFICACIÓN])-ROW('PT2 (FILTRAR)'!$E$5)+1,NA()),ROWS($B$5:E161)),COLUMNS($B$5:E161)),"")</f>
        <v>SIN ADEUDO</v>
      </c>
    </row>
    <row r="162" spans="2:5" x14ac:dyDescent="0.3">
      <c r="B162" s="126" t="str">
        <f t="array" ref="B162">IFERROR(INDEX(BD[],_xlfn.AGGREGATE(15,6,IF(BD[CLASIFICACIÓN]=$B$2,ROW(BD[CLASIFICACIÓN])-ROW('PT2 (FILTRAR)'!$E$5)+1,NA()),ROWS($B$5:B162)),COLUMNS($B$5:B162)),"")</f>
        <v>104-005-027</v>
      </c>
      <c r="C162" s="127" t="str">
        <f t="array" ref="C162">IFERROR(INDEX(BD[],_xlfn.AGGREGATE(15,6,IF(BD[CLASIFICACIÓN]=$B$2,ROW(BD[CLASIFICACIÓN])-ROW('PT2 (FILTRAR)'!$E$5)+1,NA()),ROWS($B$5:C162)),COLUMNS($B$5:C162)),"")</f>
        <v>C2-1409 SANTIAGO GONZALES</v>
      </c>
      <c r="D162" s="142">
        <f t="array" ref="D162">IFERROR(INDEX(BD[],_xlfn.AGGREGATE(15,6,IF(BD[CLASIFICACIÓN]=$B$2,ROW(BD[CLASIFICACIÓN])-ROW('PT2 (FILTRAR)'!$E$5)+1,NA()),ROWS($B$5:D162)),COLUMNS($B$5:D162)),"")</f>
        <v>0</v>
      </c>
      <c r="E162" s="126" t="str">
        <f t="array" ref="E162">IFERROR(INDEX(BD[],_xlfn.AGGREGATE(15,6,IF(BD[CLASIFICACIÓN]=$B$2,ROW(BD[CLASIFICACIÓN])-ROW('PT2 (FILTRAR)'!$E$5)+1,NA()),ROWS($B$5:E162)),COLUMNS($B$5:E162)),"")</f>
        <v>SIN ADEUDO</v>
      </c>
    </row>
    <row r="163" spans="2:5" x14ac:dyDescent="0.3">
      <c r="B163" s="126" t="str">
        <f t="array" ref="B163">IFERROR(INDEX(BD[],_xlfn.AGGREGATE(15,6,IF(BD[CLASIFICACIÓN]=$B$2,ROW(BD[CLASIFICACIÓN])-ROW('PT2 (FILTRAR)'!$E$5)+1,NA()),ROWS($B$5:B163)),COLUMNS($B$5:B163)),"")</f>
        <v>104-005-029</v>
      </c>
      <c r="C163" s="127" t="str">
        <f t="array" ref="C163">IFERROR(INDEX(BD[],_xlfn.AGGREGATE(15,6,IF(BD[CLASIFICACIÓN]=$B$2,ROW(BD[CLASIFICACIÓN])-ROW('PT2 (FILTRAR)'!$E$5)+1,NA()),ROWS($B$5:C163)),COLUMNS($B$5:C163)),"")</f>
        <v>C2-1509 MARCOS ZAGA</v>
      </c>
      <c r="D163" s="142">
        <f t="array" ref="D163">IFERROR(INDEX(BD[],_xlfn.AGGREGATE(15,6,IF(BD[CLASIFICACIÓN]=$B$2,ROW(BD[CLASIFICACIÓN])-ROW('PT2 (FILTRAR)'!$E$5)+1,NA()),ROWS($B$5:D163)),COLUMNS($B$5:D163)),"")</f>
        <v>0</v>
      </c>
      <c r="E163" s="126" t="str">
        <f t="array" ref="E163">IFERROR(INDEX(BD[],_xlfn.AGGREGATE(15,6,IF(BD[CLASIFICACIÓN]=$B$2,ROW(BD[CLASIFICACIÓN])-ROW('PT2 (FILTRAR)'!$E$5)+1,NA()),ROWS($B$5:E163)),COLUMNS($B$5:E163)),"")</f>
        <v>SIN ADEUDO</v>
      </c>
    </row>
    <row r="164" spans="2:5" x14ac:dyDescent="0.3">
      <c r="B164" s="126" t="str">
        <f t="array" ref="B164">IFERROR(INDEX(BD[],_xlfn.AGGREGATE(15,6,IF(BD[CLASIFICACIÓN]=$B$2,ROW(BD[CLASIFICACIÓN])-ROW('PT2 (FILTRAR)'!$E$5)+1,NA()),ROWS($B$5:B164)),COLUMNS($B$5:B164)),"")</f>
        <v>104-005-030</v>
      </c>
      <c r="C164" s="127" t="str">
        <f t="array" ref="C164">IFERROR(INDEX(BD[],_xlfn.AGGREGATE(15,6,IF(BD[CLASIFICACIÓN]=$B$2,ROW(BD[CLASIFICACIÓN])-ROW('PT2 (FILTRAR)'!$E$5)+1,NA()),ROWS($B$5:C164)),COLUMNS($B$5:C164)),"")</f>
        <v>C2-1510 ANA BARBA</v>
      </c>
      <c r="D164" s="142">
        <f t="array" ref="D164">IFERROR(INDEX(BD[],_xlfn.AGGREGATE(15,6,IF(BD[CLASIFICACIÓN]=$B$2,ROW(BD[CLASIFICACIÓN])-ROW('PT2 (FILTRAR)'!$E$5)+1,NA()),ROWS($B$5:D164)),COLUMNS($B$5:D164)),"")</f>
        <v>0</v>
      </c>
      <c r="E164" s="126" t="str">
        <f t="array" ref="E164">IFERROR(INDEX(BD[],_xlfn.AGGREGATE(15,6,IF(BD[CLASIFICACIÓN]=$B$2,ROW(BD[CLASIFICACIÓN])-ROW('PT2 (FILTRAR)'!$E$5)+1,NA()),ROWS($B$5:E164)),COLUMNS($B$5:E164)),"")</f>
        <v>SIN ADEUDO</v>
      </c>
    </row>
    <row r="165" spans="2:5" x14ac:dyDescent="0.3">
      <c r="B165" s="126" t="str">
        <f t="array" ref="B165">IFERROR(INDEX(BD[],_xlfn.AGGREGATE(15,6,IF(BD[CLASIFICACIÓN]=$B$2,ROW(BD[CLASIFICACIÓN])-ROW('PT2 (FILTRAR)'!$E$5)+1,NA()),ROWS($B$5:B165)),COLUMNS($B$5:B165)),"")</f>
        <v>104-005-031</v>
      </c>
      <c r="C165" s="127" t="str">
        <f t="array" ref="C165">IFERROR(INDEX(BD[],_xlfn.AGGREGATE(15,6,IF(BD[CLASIFICACIÓN]=$B$2,ROW(BD[CLASIFICACIÓN])-ROW('PT2 (FILTRAR)'!$E$5)+1,NA()),ROWS($B$5:C165)),COLUMNS($B$5:C165)),"")</f>
        <v>C2-1609 DANIA DJJADDAH</v>
      </c>
      <c r="D165" s="142">
        <f t="array" ref="D165">IFERROR(INDEX(BD[],_xlfn.AGGREGATE(15,6,IF(BD[CLASIFICACIÓN]=$B$2,ROW(BD[CLASIFICACIÓN])-ROW('PT2 (FILTRAR)'!$E$5)+1,NA()),ROWS($B$5:D165)),COLUMNS($B$5:D165)),"")</f>
        <v>0</v>
      </c>
      <c r="E165" s="126" t="str">
        <f t="array" ref="E165">IFERROR(INDEX(BD[],_xlfn.AGGREGATE(15,6,IF(BD[CLASIFICACIÓN]=$B$2,ROW(BD[CLASIFICACIÓN])-ROW('PT2 (FILTRAR)'!$E$5)+1,NA()),ROWS($B$5:E165)),COLUMNS($B$5:E165)),"")</f>
        <v>SIN ADEUDO</v>
      </c>
    </row>
    <row r="166" spans="2:5" x14ac:dyDescent="0.3">
      <c r="B166" s="126" t="str">
        <f t="array" ref="B166">IFERROR(INDEX(BD[],_xlfn.AGGREGATE(15,6,IF(BD[CLASIFICACIÓN]=$B$2,ROW(BD[CLASIFICACIÓN])-ROW('PT2 (FILTRAR)'!$E$5)+1,NA()),ROWS($B$5:B166)),COLUMNS($B$5:B166)),"")</f>
        <v>104-005-033</v>
      </c>
      <c r="C166" s="127" t="str">
        <f t="array" ref="C166">IFERROR(INDEX(BD[],_xlfn.AGGREGATE(15,6,IF(BD[CLASIFICACIÓN]=$B$2,ROW(BD[CLASIFICACIÓN])-ROW('PT2 (FILTRAR)'!$E$5)+1,NA()),ROWS($B$5:C166)),COLUMNS($B$5:C166)),"")</f>
        <v>C2-1709 JOSE CAIN</v>
      </c>
      <c r="D166" s="142">
        <f t="array" ref="D166">IFERROR(INDEX(BD[],_xlfn.AGGREGATE(15,6,IF(BD[CLASIFICACIÓN]=$B$2,ROW(BD[CLASIFICACIÓN])-ROW('PT2 (FILTRAR)'!$E$5)+1,NA()),ROWS($B$5:D166)),COLUMNS($B$5:D166)),"")</f>
        <v>0</v>
      </c>
      <c r="E166" s="126" t="str">
        <f t="array" ref="E166">IFERROR(INDEX(BD[],_xlfn.AGGREGATE(15,6,IF(BD[CLASIFICACIÓN]=$B$2,ROW(BD[CLASIFICACIÓN])-ROW('PT2 (FILTRAR)'!$E$5)+1,NA()),ROWS($B$5:E166)),COLUMNS($B$5:E166)),"")</f>
        <v>SIN ADEUDO</v>
      </c>
    </row>
    <row r="167" spans="2:5" x14ac:dyDescent="0.3">
      <c r="B167" s="126" t="str">
        <f t="array" ref="B167">IFERROR(INDEX(BD[],_xlfn.AGGREGATE(15,6,IF(BD[CLASIFICACIÓN]=$B$2,ROW(BD[CLASIFICACIÓN])-ROW('PT2 (FILTRAR)'!$E$5)+1,NA()),ROWS($B$5:B167)),COLUMNS($B$5:B167)),"")</f>
        <v>104-005-034</v>
      </c>
      <c r="C167" s="127" t="str">
        <f t="array" ref="C167">IFERROR(INDEX(BD[],_xlfn.AGGREGATE(15,6,IF(BD[CLASIFICACIÓN]=$B$2,ROW(BD[CLASIFICACIÓN])-ROW('PT2 (FILTRAR)'!$E$5)+1,NA()),ROWS($B$5:C167)),COLUMNS($B$5:C167)),"")</f>
        <v>C2-1710 JOE SITT</v>
      </c>
      <c r="D167" s="142">
        <f t="array" ref="D167">IFERROR(INDEX(BD[],_xlfn.AGGREGATE(15,6,IF(BD[CLASIFICACIÓN]=$B$2,ROW(BD[CLASIFICACIÓN])-ROW('PT2 (FILTRAR)'!$E$5)+1,NA()),ROWS($B$5:D167)),COLUMNS($B$5:D167)),"")</f>
        <v>0</v>
      </c>
      <c r="E167" s="126" t="str">
        <f t="array" ref="E167">IFERROR(INDEX(BD[],_xlfn.AGGREGATE(15,6,IF(BD[CLASIFICACIÓN]=$B$2,ROW(BD[CLASIFICACIÓN])-ROW('PT2 (FILTRAR)'!$E$5)+1,NA()),ROWS($B$5:E167)),COLUMNS($B$5:E167)),"")</f>
        <v>SIN ADEUDO</v>
      </c>
    </row>
    <row r="168" spans="2:5" x14ac:dyDescent="0.3">
      <c r="B168" s="126" t="str">
        <f t="array" ref="B168">IFERROR(INDEX(BD[],_xlfn.AGGREGATE(15,6,IF(BD[CLASIFICACIÓN]=$B$2,ROW(BD[CLASIFICACIÓN])-ROW('PT2 (FILTRAR)'!$E$5)+1,NA()),ROWS($B$5:B168)),COLUMNS($B$5:B168)),"")</f>
        <v>104-005-036</v>
      </c>
      <c r="C168" s="127" t="str">
        <f t="array" ref="C168">IFERROR(INDEX(BD[],_xlfn.AGGREGATE(15,6,IF(BD[CLASIFICACIÓN]=$B$2,ROW(BD[CLASIFICACIÓN])-ROW('PT2 (FILTRAR)'!$E$5)+1,NA()),ROWS($B$5:C168)),COLUMNS($B$5:C168)),"")</f>
        <v>C2-1810 JACOBO CHEREM A</v>
      </c>
      <c r="D168" s="142">
        <f t="array" ref="D168">IFERROR(INDEX(BD[],_xlfn.AGGREGATE(15,6,IF(BD[CLASIFICACIÓN]=$B$2,ROW(BD[CLASIFICACIÓN])-ROW('PT2 (FILTRAR)'!$E$5)+1,NA()),ROWS($B$5:D168)),COLUMNS($B$5:D168)),"")</f>
        <v>0</v>
      </c>
      <c r="E168" s="126" t="str">
        <f t="array" ref="E168">IFERROR(INDEX(BD[],_xlfn.AGGREGATE(15,6,IF(BD[CLASIFICACIÓN]=$B$2,ROW(BD[CLASIFICACIÓN])-ROW('PT2 (FILTRAR)'!$E$5)+1,NA()),ROWS($B$5:E168)),COLUMNS($B$5:E168)),"")</f>
        <v>SIN ADEUDO</v>
      </c>
    </row>
    <row r="169" spans="2:5" x14ac:dyDescent="0.3">
      <c r="B169" s="126" t="str">
        <f t="array" ref="B169">IFERROR(INDEX(BD[],_xlfn.AGGREGATE(15,6,IF(BD[CLASIFICACIÓN]=$B$2,ROW(BD[CLASIFICACIÓN])-ROW('PT2 (FILTRAR)'!$E$5)+1,NA()),ROWS($B$5:B169)),COLUMNS($B$5:B169)),"")</f>
        <v>104-005-037</v>
      </c>
      <c r="C169" s="127" t="str">
        <f t="array" ref="C169">IFERROR(INDEX(BD[],_xlfn.AGGREGATE(15,6,IF(BD[CLASIFICACIÓN]=$B$2,ROW(BD[CLASIFICACIÓN])-ROW('PT2 (FILTRAR)'!$E$5)+1,NA()),ROWS($B$5:C169)),COLUMNS($B$5:C169)),"")</f>
        <v>C2-1909 EDUARDO CHEREM</v>
      </c>
      <c r="D169" s="142">
        <f t="array" ref="D169">IFERROR(INDEX(BD[],_xlfn.AGGREGATE(15,6,IF(BD[CLASIFICACIÓN]=$B$2,ROW(BD[CLASIFICACIÓN])-ROW('PT2 (FILTRAR)'!$E$5)+1,NA()),ROWS($B$5:D169)),COLUMNS($B$5:D169)),"")</f>
        <v>0</v>
      </c>
      <c r="E169" s="126" t="str">
        <f t="array" ref="E169">IFERROR(INDEX(BD[],_xlfn.AGGREGATE(15,6,IF(BD[CLASIFICACIÓN]=$B$2,ROW(BD[CLASIFICACIÓN])-ROW('PT2 (FILTRAR)'!$E$5)+1,NA()),ROWS($B$5:E169)),COLUMNS($B$5:E169)),"")</f>
        <v>SIN ADEUDO</v>
      </c>
    </row>
    <row r="170" spans="2:5" x14ac:dyDescent="0.3">
      <c r="B170" s="126" t="str">
        <f t="array" ref="B170">IFERROR(INDEX(BD[],_xlfn.AGGREGATE(15,6,IF(BD[CLASIFICACIÓN]=$B$2,ROW(BD[CLASIFICACIÓN])-ROW('PT2 (FILTRAR)'!$E$5)+1,NA()),ROWS($B$5:B170)),COLUMNS($B$5:B170)),"")</f>
        <v>104-005-038</v>
      </c>
      <c r="C170" s="127" t="str">
        <f t="array" ref="C170">IFERROR(INDEX(BD[],_xlfn.AGGREGATE(15,6,IF(BD[CLASIFICACIÓN]=$B$2,ROW(BD[CLASIFICACIÓN])-ROW('PT2 (FILTRAR)'!$E$5)+1,NA()),ROWS($B$5:C170)),COLUMNS($B$5:C170)),"")</f>
        <v>C2-1910 BENJAMIN FARCA</v>
      </c>
      <c r="D170" s="142">
        <f t="array" ref="D170">IFERROR(INDEX(BD[],_xlfn.AGGREGATE(15,6,IF(BD[CLASIFICACIÓN]=$B$2,ROW(BD[CLASIFICACIÓN])-ROW('PT2 (FILTRAR)'!$E$5)+1,NA()),ROWS($B$5:D170)),COLUMNS($B$5:D170)),"")</f>
        <v>0</v>
      </c>
      <c r="E170" s="126" t="str">
        <f t="array" ref="E170">IFERROR(INDEX(BD[],_xlfn.AGGREGATE(15,6,IF(BD[CLASIFICACIÓN]=$B$2,ROW(BD[CLASIFICACIÓN])-ROW('PT2 (FILTRAR)'!$E$5)+1,NA()),ROWS($B$5:E170)),COLUMNS($B$5:E170)),"")</f>
        <v>SIN ADEUDO</v>
      </c>
    </row>
    <row r="171" spans="2:5" x14ac:dyDescent="0.3">
      <c r="B171" s="126" t="str">
        <f t="array" ref="B171">IFERROR(INDEX(BD[],_xlfn.AGGREGATE(15,6,IF(BD[CLASIFICACIÓN]=$B$2,ROW(BD[CLASIFICACIÓN])-ROW('PT2 (FILTRAR)'!$E$5)+1,NA()),ROWS($B$5:B171)),COLUMNS($B$5:B171)),"")</f>
        <v>104-005-039</v>
      </c>
      <c r="C171" s="127" t="str">
        <f t="array" ref="C171">IFERROR(INDEX(BD[],_xlfn.AGGREGATE(15,6,IF(BD[CLASIFICACIÓN]=$B$2,ROW(BD[CLASIFICACIÓN])-ROW('PT2 (FILTRAR)'!$E$5)+1,NA()),ROWS($B$5:C171)),COLUMNS($B$5:C171)),"")</f>
        <v>C2-2009 POLA CALTUM</v>
      </c>
      <c r="D171" s="142">
        <f t="array" ref="D171">IFERROR(INDEX(BD[],_xlfn.AGGREGATE(15,6,IF(BD[CLASIFICACIÓN]=$B$2,ROW(BD[CLASIFICACIÓN])-ROW('PT2 (FILTRAR)'!$E$5)+1,NA()),ROWS($B$5:D171)),COLUMNS($B$5:D171)),"")</f>
        <v>0</v>
      </c>
      <c r="E171" s="126" t="str">
        <f t="array" ref="E171">IFERROR(INDEX(BD[],_xlfn.AGGREGATE(15,6,IF(BD[CLASIFICACIÓN]=$B$2,ROW(BD[CLASIFICACIÓN])-ROW('PT2 (FILTRAR)'!$E$5)+1,NA()),ROWS($B$5:E171)),COLUMNS($B$5:E171)),"")</f>
        <v>SIN ADEUDO</v>
      </c>
    </row>
    <row r="172" spans="2:5" x14ac:dyDescent="0.3">
      <c r="B172" s="126" t="str">
        <f t="array" ref="B172">IFERROR(INDEX(BD[],_xlfn.AGGREGATE(15,6,IF(BD[CLASIFICACIÓN]=$B$2,ROW(BD[CLASIFICACIÓN])-ROW('PT2 (FILTRAR)'!$E$5)+1,NA()),ROWS($B$5:B172)),COLUMNS($B$5:B172)),"")</f>
        <v>104-005-042</v>
      </c>
      <c r="C172" s="127" t="str">
        <f t="array" ref="C172">IFERROR(INDEX(BD[],_xlfn.AGGREGATE(15,6,IF(BD[CLASIFICACIÓN]=$B$2,ROW(BD[CLASIFICACIÓN])-ROW('PT2 (FILTRAR)'!$E$5)+1,NA()),ROWS($B$5:C172)),COLUMNS($B$5:C172)),"")</f>
        <v>C2-2110 SUSANA CATARIVAS</v>
      </c>
      <c r="D172" s="142">
        <f t="array" ref="D172">IFERROR(INDEX(BD[],_xlfn.AGGREGATE(15,6,IF(BD[CLASIFICACIÓN]=$B$2,ROW(BD[CLASIFICACIÓN])-ROW('PT2 (FILTRAR)'!$E$5)+1,NA()),ROWS($B$5:D172)),COLUMNS($B$5:D172)),"")</f>
        <v>0</v>
      </c>
      <c r="E172" s="126" t="str">
        <f t="array" ref="E172">IFERROR(INDEX(BD[],_xlfn.AGGREGATE(15,6,IF(BD[CLASIFICACIÓN]=$B$2,ROW(BD[CLASIFICACIÓN])-ROW('PT2 (FILTRAR)'!$E$5)+1,NA()),ROWS($B$5:E172)),COLUMNS($B$5:E172)),"")</f>
        <v>SIN ADEUDO</v>
      </c>
    </row>
    <row r="173" spans="2:5" x14ac:dyDescent="0.3">
      <c r="B173" s="126" t="str">
        <f t="array" ref="B173">IFERROR(INDEX(BD[],_xlfn.AGGREGATE(15,6,IF(BD[CLASIFICACIÓN]=$B$2,ROW(BD[CLASIFICACIÓN])-ROW('PT2 (FILTRAR)'!$E$5)+1,NA()),ROWS($B$5:B173)),COLUMNS($B$5:B173)),"")</f>
        <v>104-005-044</v>
      </c>
      <c r="C173" s="127" t="str">
        <f t="array" ref="C173">IFERROR(INDEX(BD[],_xlfn.AGGREGATE(15,6,IF(BD[CLASIFICACIÓN]=$B$2,ROW(BD[CLASIFICACIÓN])-ROW('PT2 (FILTRAR)'!$E$5)+1,NA()),ROWS($B$5:C173)),COLUMNS($B$5:C173)),"")</f>
        <v>C2-2210 AARON MASRI</v>
      </c>
      <c r="D173" s="142">
        <f t="array" ref="D173">IFERROR(INDEX(BD[],_xlfn.AGGREGATE(15,6,IF(BD[CLASIFICACIÓN]=$B$2,ROW(BD[CLASIFICACIÓN])-ROW('PT2 (FILTRAR)'!$E$5)+1,NA()),ROWS($B$5:D173)),COLUMNS($B$5:D173)),"")</f>
        <v>0</v>
      </c>
      <c r="E173" s="126" t="str">
        <f t="array" ref="E173">IFERROR(INDEX(BD[],_xlfn.AGGREGATE(15,6,IF(BD[CLASIFICACIÓN]=$B$2,ROW(BD[CLASIFICACIÓN])-ROW('PT2 (FILTRAR)'!$E$5)+1,NA()),ROWS($B$5:E173)),COLUMNS($B$5:E173)),"")</f>
        <v>SIN ADEUDO</v>
      </c>
    </row>
    <row r="174" spans="2:5" x14ac:dyDescent="0.3">
      <c r="B174" s="126" t="str">
        <f t="array" ref="B174">IFERROR(INDEX(BD[],_xlfn.AGGREGATE(15,6,IF(BD[CLASIFICACIÓN]=$B$2,ROW(BD[CLASIFICACIÓN])-ROW('PT2 (FILTRAR)'!$E$5)+1,NA()),ROWS($B$5:B174)),COLUMNS($B$5:B174)),"")</f>
        <v>104-005-045</v>
      </c>
      <c r="C174" s="127" t="str">
        <f t="array" ref="C174">IFERROR(INDEX(BD[],_xlfn.AGGREGATE(15,6,IF(BD[CLASIFICACIÓN]=$B$2,ROW(BD[CLASIFICACIÓN])-ROW('PT2 (FILTRAR)'!$E$5)+1,NA()),ROWS($B$5:C174)),COLUMNS($B$5:C174)),"")</f>
        <v>C2-2309 ISAAC ADES</v>
      </c>
      <c r="D174" s="142">
        <f t="array" ref="D174">IFERROR(INDEX(BD[],_xlfn.AGGREGATE(15,6,IF(BD[CLASIFICACIÓN]=$B$2,ROW(BD[CLASIFICACIÓN])-ROW('PT2 (FILTRAR)'!$E$5)+1,NA()),ROWS($B$5:D174)),COLUMNS($B$5:D174)),"")</f>
        <v>0</v>
      </c>
      <c r="E174" s="126" t="str">
        <f t="array" ref="E174">IFERROR(INDEX(BD[],_xlfn.AGGREGATE(15,6,IF(BD[CLASIFICACIÓN]=$B$2,ROW(BD[CLASIFICACIÓN])-ROW('PT2 (FILTRAR)'!$E$5)+1,NA()),ROWS($B$5:E174)),COLUMNS($B$5:E174)),"")</f>
        <v>SIN ADEUDO</v>
      </c>
    </row>
    <row r="175" spans="2:5" x14ac:dyDescent="0.3">
      <c r="B175" s="126" t="str">
        <f t="array" ref="B175">IFERROR(INDEX(BD[],_xlfn.AGGREGATE(15,6,IF(BD[CLASIFICACIÓN]=$B$2,ROW(BD[CLASIFICACIÓN])-ROW('PT2 (FILTRAR)'!$E$5)+1,NA()),ROWS($B$5:B175)),COLUMNS($B$5:B175)),"")</f>
        <v>104-005-046</v>
      </c>
      <c r="C175" s="127" t="str">
        <f t="array" ref="C175">IFERROR(INDEX(BD[],_xlfn.AGGREGATE(15,6,IF(BD[CLASIFICACIÓN]=$B$2,ROW(BD[CLASIFICACIÓN])-ROW('PT2 (FILTRAR)'!$E$5)+1,NA()),ROWS($B$5:C175)),COLUMNS($B$5:C175)),"")</f>
        <v>C2-2310 ISAAC JAFIF</v>
      </c>
      <c r="D175" s="142">
        <f t="array" ref="D175">IFERROR(INDEX(BD[],_xlfn.AGGREGATE(15,6,IF(BD[CLASIFICACIÓN]=$B$2,ROW(BD[CLASIFICACIÓN])-ROW('PT2 (FILTRAR)'!$E$5)+1,NA()),ROWS($B$5:D175)),COLUMNS($B$5:D175)),"")</f>
        <v>0</v>
      </c>
      <c r="E175" s="126" t="str">
        <f t="array" ref="E175">IFERROR(INDEX(BD[],_xlfn.AGGREGATE(15,6,IF(BD[CLASIFICACIÓN]=$B$2,ROW(BD[CLASIFICACIÓN])-ROW('PT2 (FILTRAR)'!$E$5)+1,NA()),ROWS($B$5:E175)),COLUMNS($B$5:E175)),"")</f>
        <v>SIN ADEUDO</v>
      </c>
    </row>
    <row r="176" spans="2:5" x14ac:dyDescent="0.3">
      <c r="B176" s="126" t="str">
        <f t="array" ref="B176">IFERROR(INDEX(BD[],_xlfn.AGGREGATE(15,6,IF(BD[CLASIFICACIÓN]=$B$2,ROW(BD[CLASIFICACIÓN])-ROW('PT2 (FILTRAR)'!$E$5)+1,NA()),ROWS($B$5:B176)),COLUMNS($B$5:B176)),"")</f>
        <v>104-005-049</v>
      </c>
      <c r="C176" s="127" t="str">
        <f t="array" ref="C176">IFERROR(INDEX(BD[],_xlfn.AGGREGATE(15,6,IF(BD[CLASIFICACIÓN]=$B$2,ROW(BD[CLASIFICACIÓN])-ROW('PT2 (FILTRAR)'!$E$5)+1,NA()),ROWS($B$5:C176)),COLUMNS($B$5:C176)),"")</f>
        <v>C2-2509 ELIAS ZAGA</v>
      </c>
      <c r="D176" s="142">
        <f t="array" ref="D176">IFERROR(INDEX(BD[],_xlfn.AGGREGATE(15,6,IF(BD[CLASIFICACIÓN]=$B$2,ROW(BD[CLASIFICACIÓN])-ROW('PT2 (FILTRAR)'!$E$5)+1,NA()),ROWS($B$5:D176)),COLUMNS($B$5:D176)),"")</f>
        <v>0</v>
      </c>
      <c r="E176" s="126" t="str">
        <f t="array" ref="E176">IFERROR(INDEX(BD[],_xlfn.AGGREGATE(15,6,IF(BD[CLASIFICACIÓN]=$B$2,ROW(BD[CLASIFICACIÓN])-ROW('PT2 (FILTRAR)'!$E$5)+1,NA()),ROWS($B$5:E176)),COLUMNS($B$5:E176)),"")</f>
        <v>SIN ADEUDO</v>
      </c>
    </row>
    <row r="177" spans="2:5" x14ac:dyDescent="0.3">
      <c r="B177" s="126" t="str">
        <f t="array" ref="B177">IFERROR(INDEX(BD[],_xlfn.AGGREGATE(15,6,IF(BD[CLASIFICACIÓN]=$B$2,ROW(BD[CLASIFICACIÓN])-ROW('PT2 (FILTRAR)'!$E$5)+1,NA()),ROWS($B$5:B177)),COLUMNS($B$5:B177)),"")</f>
        <v>104-005-050</v>
      </c>
      <c r="C177" s="127" t="str">
        <f t="array" ref="C177">IFERROR(INDEX(BD[],_xlfn.AGGREGATE(15,6,IF(BD[CLASIFICACIÓN]=$B$2,ROW(BD[CLASIFICACIÓN])-ROW('PT2 (FILTRAR)'!$E$5)+1,NA()),ROWS($B$5:C177)),COLUMNS($B$5:C177)),"")</f>
        <v>C2-2510 ALLAN LEVY</v>
      </c>
      <c r="D177" s="142">
        <f t="array" ref="D177">IFERROR(INDEX(BD[],_xlfn.AGGREGATE(15,6,IF(BD[CLASIFICACIÓN]=$B$2,ROW(BD[CLASIFICACIÓN])-ROW('PT2 (FILTRAR)'!$E$5)+1,NA()),ROWS($B$5:D177)),COLUMNS($B$5:D177)),"")</f>
        <v>0</v>
      </c>
      <c r="E177" s="126" t="str">
        <f t="array" ref="E177">IFERROR(INDEX(BD[],_xlfn.AGGREGATE(15,6,IF(BD[CLASIFICACIÓN]=$B$2,ROW(BD[CLASIFICACIÓN])-ROW('PT2 (FILTRAR)'!$E$5)+1,NA()),ROWS($B$5:E177)),COLUMNS($B$5:E177)),"")</f>
        <v>SIN ADEUDO</v>
      </c>
    </row>
    <row r="178" spans="2:5" x14ac:dyDescent="0.3">
      <c r="B178" s="126" t="str">
        <f t="array" ref="B178">IFERROR(INDEX(BD[],_xlfn.AGGREGATE(15,6,IF(BD[CLASIFICACIÓN]=$B$2,ROW(BD[CLASIFICACIÓN])-ROW('PT2 (FILTRAR)'!$E$5)+1,NA()),ROWS($B$5:B178)),COLUMNS($B$5:B178)),"")</f>
        <v>104-005-051</v>
      </c>
      <c r="C178" s="127" t="str">
        <f t="array" ref="C178">IFERROR(INDEX(BD[],_xlfn.AGGREGATE(15,6,IF(BD[CLASIFICACIÓN]=$B$2,ROW(BD[CLASIFICACIÓN])-ROW('PT2 (FILTRAR)'!$E$5)+1,NA()),ROWS($B$5:C178)),COLUMNS($B$5:C178)),"")</f>
        <v>C2-PH09 JUAN SAN MILLAN</v>
      </c>
      <c r="D178" s="142">
        <f t="array" ref="D178">IFERROR(INDEX(BD[],_xlfn.AGGREGATE(15,6,IF(BD[CLASIFICACIÓN]=$B$2,ROW(BD[CLASIFICACIÓN])-ROW('PT2 (FILTRAR)'!$E$5)+1,NA()),ROWS($B$5:D178)),COLUMNS($B$5:D178)),"")</f>
        <v>0</v>
      </c>
      <c r="E178" s="126" t="str">
        <f t="array" ref="E178">IFERROR(INDEX(BD[],_xlfn.AGGREGATE(15,6,IF(BD[CLASIFICACIÓN]=$B$2,ROW(BD[CLASIFICACIÓN])-ROW('PT2 (FILTRAR)'!$E$5)+1,NA()),ROWS($B$5:E178)),COLUMNS($B$5:E178)),"")</f>
        <v>SIN ADEUDO</v>
      </c>
    </row>
    <row r="179" spans="2:5" x14ac:dyDescent="0.3">
      <c r="B179" s="126" t="str">
        <f t="array" ref="B179">IFERROR(INDEX(BD[],_xlfn.AGGREGATE(15,6,IF(BD[CLASIFICACIÓN]=$B$2,ROW(BD[CLASIFICACIÓN])-ROW('PT2 (FILTRAR)'!$E$5)+1,NA()),ROWS($B$5:B179)),COLUMNS($B$5:B179)),"")</f>
        <v>104-006-002</v>
      </c>
      <c r="C179" s="127" t="str">
        <f t="array" ref="C179">IFERROR(INDEX(BD[],_xlfn.AGGREGATE(15,6,IF(BD[CLASIFICACIÓN]=$B$2,ROW(BD[CLASIFICACIÓN])-ROW('PT2 (FILTRAR)'!$E$5)+1,NA()),ROWS($B$5:C179)),COLUMNS($B$5:C179)),"")</f>
        <v>C3-112 YOLANDA PRZYSZWA</v>
      </c>
      <c r="D179" s="142">
        <f t="array" ref="D179">IFERROR(INDEX(BD[],_xlfn.AGGREGATE(15,6,IF(BD[CLASIFICACIÓN]=$B$2,ROW(BD[CLASIFICACIÓN])-ROW('PT2 (FILTRAR)'!$E$5)+1,NA()),ROWS($B$5:D179)),COLUMNS($B$5:D179)),"")</f>
        <v>0</v>
      </c>
      <c r="E179" s="126" t="str">
        <f t="array" ref="E179">IFERROR(INDEX(BD[],_xlfn.AGGREGATE(15,6,IF(BD[CLASIFICACIÓN]=$B$2,ROW(BD[CLASIFICACIÓN])-ROW('PT2 (FILTRAR)'!$E$5)+1,NA()),ROWS($B$5:E179)),COLUMNS($B$5:E179)),"")</f>
        <v>SIN ADEUDO</v>
      </c>
    </row>
    <row r="180" spans="2:5" x14ac:dyDescent="0.3">
      <c r="B180" s="126" t="str">
        <f t="array" ref="B180">IFERROR(INDEX(BD[],_xlfn.AGGREGATE(15,6,IF(BD[CLASIFICACIÓN]=$B$2,ROW(BD[CLASIFICACIÓN])-ROW('PT2 (FILTRAR)'!$E$5)+1,NA()),ROWS($B$5:B180)),COLUMNS($B$5:B180)),"")</f>
        <v>104-006-007</v>
      </c>
      <c r="C180" s="127" t="str">
        <f t="array" ref="C180">IFERROR(INDEX(BD[],_xlfn.AGGREGATE(15,6,IF(BD[CLASIFICACIÓN]=$B$2,ROW(BD[CLASIFICACIÓN])-ROW('PT2 (FILTRAR)'!$E$5)+1,NA()),ROWS($B$5:C180)),COLUMNS($B$5:C180)),"")</f>
        <v>C3-411 DANIEL NACACH</v>
      </c>
      <c r="D180" s="142">
        <f t="array" ref="D180">IFERROR(INDEX(BD[],_xlfn.AGGREGATE(15,6,IF(BD[CLASIFICACIÓN]=$B$2,ROW(BD[CLASIFICACIÓN])-ROW('PT2 (FILTRAR)'!$E$5)+1,NA()),ROWS($B$5:D180)),COLUMNS($B$5:D180)),"")</f>
        <v>0</v>
      </c>
      <c r="E180" s="126" t="str">
        <f t="array" ref="E180">IFERROR(INDEX(BD[],_xlfn.AGGREGATE(15,6,IF(BD[CLASIFICACIÓN]=$B$2,ROW(BD[CLASIFICACIÓN])-ROW('PT2 (FILTRAR)'!$E$5)+1,NA()),ROWS($B$5:E180)),COLUMNS($B$5:E180)),"")</f>
        <v>SIN ADEUDO</v>
      </c>
    </row>
    <row r="181" spans="2:5" x14ac:dyDescent="0.3">
      <c r="B181" s="126" t="str">
        <f t="array" ref="B181">IFERROR(INDEX(BD[],_xlfn.AGGREGATE(15,6,IF(BD[CLASIFICACIÓN]=$B$2,ROW(BD[CLASIFICACIÓN])-ROW('PT2 (FILTRAR)'!$E$5)+1,NA()),ROWS($B$5:B181)),COLUMNS($B$5:B181)),"")</f>
        <v>104-006-011</v>
      </c>
      <c r="C181" s="127" t="str">
        <f t="array" ref="C181">IFERROR(INDEX(BD[],_xlfn.AGGREGATE(15,6,IF(BD[CLASIFICACIÓN]=$B$2,ROW(BD[CLASIFICACIÓN])-ROW('PT2 (FILTRAR)'!$E$5)+1,NA()),ROWS($B$5:C181)),COLUMNS($B$5:C181)),"")</f>
        <v>C3-611 JOSE CAIN</v>
      </c>
      <c r="D181" s="142">
        <f t="array" ref="D181">IFERROR(INDEX(BD[],_xlfn.AGGREGATE(15,6,IF(BD[CLASIFICACIÓN]=$B$2,ROW(BD[CLASIFICACIÓN])-ROW('PT2 (FILTRAR)'!$E$5)+1,NA()),ROWS($B$5:D181)),COLUMNS($B$5:D181)),"")</f>
        <v>0</v>
      </c>
      <c r="E181" s="126" t="str">
        <f t="array" ref="E181">IFERROR(INDEX(BD[],_xlfn.AGGREGATE(15,6,IF(BD[CLASIFICACIÓN]=$B$2,ROW(BD[CLASIFICACIÓN])-ROW('PT2 (FILTRAR)'!$E$5)+1,NA()),ROWS($B$5:E181)),COLUMNS($B$5:E181)),"")</f>
        <v>SIN ADEUDO</v>
      </c>
    </row>
    <row r="182" spans="2:5" x14ac:dyDescent="0.3">
      <c r="B182" s="126" t="str">
        <f t="array" ref="B182">IFERROR(INDEX(BD[],_xlfn.AGGREGATE(15,6,IF(BD[CLASIFICACIÓN]=$B$2,ROW(BD[CLASIFICACIÓN])-ROW('PT2 (FILTRAR)'!$E$5)+1,NA()),ROWS($B$5:B182)),COLUMNS($B$5:B182)),"")</f>
        <v>104-006-013</v>
      </c>
      <c r="C182" s="127" t="str">
        <f t="array" ref="C182">IFERROR(INDEX(BD[],_xlfn.AGGREGATE(15,6,IF(BD[CLASIFICACIÓN]=$B$2,ROW(BD[CLASIFICACIÓN])-ROW('PT2 (FILTRAR)'!$E$5)+1,NA()),ROWS($B$5:C182)),COLUMNS($B$5:C182)),"")</f>
        <v>C3-711 RONY JERUSALMI</v>
      </c>
      <c r="D182" s="142">
        <f t="array" ref="D182">IFERROR(INDEX(BD[],_xlfn.AGGREGATE(15,6,IF(BD[CLASIFICACIÓN]=$B$2,ROW(BD[CLASIFICACIÓN])-ROW('PT2 (FILTRAR)'!$E$5)+1,NA()),ROWS($B$5:D182)),COLUMNS($B$5:D182)),"")</f>
        <v>0</v>
      </c>
      <c r="E182" s="126" t="str">
        <f t="array" ref="E182">IFERROR(INDEX(BD[],_xlfn.AGGREGATE(15,6,IF(BD[CLASIFICACIÓN]=$B$2,ROW(BD[CLASIFICACIÓN])-ROW('PT2 (FILTRAR)'!$E$5)+1,NA()),ROWS($B$5:E182)),COLUMNS($B$5:E182)),"")</f>
        <v>SIN ADEUDO</v>
      </c>
    </row>
    <row r="183" spans="2:5" x14ac:dyDescent="0.3">
      <c r="B183" s="126" t="str">
        <f t="array" ref="B183">IFERROR(INDEX(BD[],_xlfn.AGGREGATE(15,6,IF(BD[CLASIFICACIÓN]=$B$2,ROW(BD[CLASIFICACIÓN])-ROW('PT2 (FILTRAR)'!$E$5)+1,NA()),ROWS($B$5:B183)),COLUMNS($B$5:B183)),"")</f>
        <v>104-006-015</v>
      </c>
      <c r="C183" s="127" t="str">
        <f t="array" ref="C183">IFERROR(INDEX(BD[],_xlfn.AGGREGATE(15,6,IF(BD[CLASIFICACIÓN]=$B$2,ROW(BD[CLASIFICACIÓN])-ROW('PT2 (FILTRAR)'!$E$5)+1,NA()),ROWS($B$5:C183)),COLUMNS($B$5:C183)),"")</f>
        <v>C3-811 ELIAS TUACHI</v>
      </c>
      <c r="D183" s="142">
        <f t="array" ref="D183">IFERROR(INDEX(BD[],_xlfn.AGGREGATE(15,6,IF(BD[CLASIFICACIÓN]=$B$2,ROW(BD[CLASIFICACIÓN])-ROW('PT2 (FILTRAR)'!$E$5)+1,NA()),ROWS($B$5:D183)),COLUMNS($B$5:D183)),"")</f>
        <v>0</v>
      </c>
      <c r="E183" s="126" t="str">
        <f t="array" ref="E183">IFERROR(INDEX(BD[],_xlfn.AGGREGATE(15,6,IF(BD[CLASIFICACIÓN]=$B$2,ROW(BD[CLASIFICACIÓN])-ROW('PT2 (FILTRAR)'!$E$5)+1,NA()),ROWS($B$5:E183)),COLUMNS($B$5:E183)),"")</f>
        <v>SIN ADEUDO</v>
      </c>
    </row>
    <row r="184" spans="2:5" x14ac:dyDescent="0.3">
      <c r="B184" s="126" t="str">
        <f t="array" ref="B184">IFERROR(INDEX(BD[],_xlfn.AGGREGATE(15,6,IF(BD[CLASIFICACIÓN]=$B$2,ROW(BD[CLASIFICACIÓN])-ROW('PT2 (FILTRAR)'!$E$5)+1,NA()),ROWS($B$5:B184)),COLUMNS($B$5:B184)),"")</f>
        <v>104-006-018</v>
      </c>
      <c r="C184" s="127" t="str">
        <f t="array" ref="C184">IFERROR(INDEX(BD[],_xlfn.AGGREGATE(15,6,IF(BD[CLASIFICACIÓN]=$B$2,ROW(BD[CLASIFICACIÓN])-ROW('PT2 (FILTRAR)'!$E$5)+1,NA()),ROWS($B$5:C184)),COLUMNS($B$5:C184)),"")</f>
        <v>C3-912 ALBERTO ALVO</v>
      </c>
      <c r="D184" s="142">
        <f t="array" ref="D184">IFERROR(INDEX(BD[],_xlfn.AGGREGATE(15,6,IF(BD[CLASIFICACIÓN]=$B$2,ROW(BD[CLASIFICACIÓN])-ROW('PT2 (FILTRAR)'!$E$5)+1,NA()),ROWS($B$5:D184)),COLUMNS($B$5:D184)),"")</f>
        <v>0</v>
      </c>
      <c r="E184" s="126" t="str">
        <f t="array" ref="E184">IFERROR(INDEX(BD[],_xlfn.AGGREGATE(15,6,IF(BD[CLASIFICACIÓN]=$B$2,ROW(BD[CLASIFICACIÓN])-ROW('PT2 (FILTRAR)'!$E$5)+1,NA()),ROWS($B$5:E184)),COLUMNS($B$5:E184)),"")</f>
        <v>SIN ADEUDO</v>
      </c>
    </row>
    <row r="185" spans="2:5" x14ac:dyDescent="0.3">
      <c r="B185" s="126" t="str">
        <f t="array" ref="B185">IFERROR(INDEX(BD[],_xlfn.AGGREGATE(15,6,IF(BD[CLASIFICACIÓN]=$B$2,ROW(BD[CLASIFICACIÓN])-ROW('PT2 (FILTRAR)'!$E$5)+1,NA()),ROWS($B$5:B185)),COLUMNS($B$5:B185)),"")</f>
        <v>104-006-019</v>
      </c>
      <c r="C185" s="127" t="str">
        <f t="array" ref="C185">IFERROR(INDEX(BD[],_xlfn.AGGREGATE(15,6,IF(BD[CLASIFICACIÓN]=$B$2,ROW(BD[CLASIFICACIÓN])-ROW('PT2 (FILTRAR)'!$E$5)+1,NA()),ROWS($B$5:C185)),COLUMNS($B$5:C185)),"")</f>
        <v>C3-1011 DALIA GUTIERREZ</v>
      </c>
      <c r="D185" s="142">
        <f t="array" ref="D185">IFERROR(INDEX(BD[],_xlfn.AGGREGATE(15,6,IF(BD[CLASIFICACIÓN]=$B$2,ROW(BD[CLASIFICACIÓN])-ROW('PT2 (FILTRAR)'!$E$5)+1,NA()),ROWS($B$5:D185)),COLUMNS($B$5:D185)),"")</f>
        <v>0</v>
      </c>
      <c r="E185" s="126" t="str">
        <f t="array" ref="E185">IFERROR(INDEX(BD[],_xlfn.AGGREGATE(15,6,IF(BD[CLASIFICACIÓN]=$B$2,ROW(BD[CLASIFICACIÓN])-ROW('PT2 (FILTRAR)'!$E$5)+1,NA()),ROWS($B$5:E185)),COLUMNS($B$5:E185)),"")</f>
        <v>SIN ADEUDO</v>
      </c>
    </row>
    <row r="186" spans="2:5" x14ac:dyDescent="0.3">
      <c r="B186" s="126" t="str">
        <f t="array" ref="B186">IFERROR(INDEX(BD[],_xlfn.AGGREGATE(15,6,IF(BD[CLASIFICACIÓN]=$B$2,ROW(BD[CLASIFICACIÓN])-ROW('PT2 (FILTRAR)'!$E$5)+1,NA()),ROWS($B$5:B186)),COLUMNS($B$5:B186)),"")</f>
        <v>104-006-020</v>
      </c>
      <c r="C186" s="127" t="str">
        <f t="array" ref="C186">IFERROR(INDEX(BD[],_xlfn.AGGREGATE(15,6,IF(BD[CLASIFICACIÓN]=$B$2,ROW(BD[CLASIFICACIÓN])-ROW('PT2 (FILTRAR)'!$E$5)+1,NA()),ROWS($B$5:C186)),COLUMNS($B$5:C186)),"")</f>
        <v>C3-1012 DAVID COHEN</v>
      </c>
      <c r="D186" s="142">
        <f t="array" ref="D186">IFERROR(INDEX(BD[],_xlfn.AGGREGATE(15,6,IF(BD[CLASIFICACIÓN]=$B$2,ROW(BD[CLASIFICACIÓN])-ROW('PT2 (FILTRAR)'!$E$5)+1,NA()),ROWS($B$5:D186)),COLUMNS($B$5:D186)),"")</f>
        <v>0</v>
      </c>
      <c r="E186" s="126" t="str">
        <f t="array" ref="E186">IFERROR(INDEX(BD[],_xlfn.AGGREGATE(15,6,IF(BD[CLASIFICACIÓN]=$B$2,ROW(BD[CLASIFICACIÓN])-ROW('PT2 (FILTRAR)'!$E$5)+1,NA()),ROWS($B$5:E186)),COLUMNS($B$5:E186)),"")</f>
        <v>SIN ADEUDO</v>
      </c>
    </row>
    <row r="187" spans="2:5" x14ac:dyDescent="0.3">
      <c r="B187" s="126" t="str">
        <f t="array" ref="B187">IFERROR(INDEX(BD[],_xlfn.AGGREGATE(15,6,IF(BD[CLASIFICACIÓN]=$B$2,ROW(BD[CLASIFICACIÓN])-ROW('PT2 (FILTRAR)'!$E$5)+1,NA()),ROWS($B$5:B187)),COLUMNS($B$5:B187)),"")</f>
        <v>104-006-022</v>
      </c>
      <c r="C187" s="127" t="str">
        <f t="array" ref="C187">IFERROR(INDEX(BD[],_xlfn.AGGREGATE(15,6,IF(BD[CLASIFICACIÓN]=$B$2,ROW(BD[CLASIFICACIÓN])-ROW('PT2 (FILTRAR)'!$E$5)+1,NA()),ROWS($B$5:C187)),COLUMNS($B$5:C187)),"")</f>
        <v xml:space="preserve">C3-1112 JOSE METTA </v>
      </c>
      <c r="D187" s="142">
        <f t="array" ref="D187">IFERROR(INDEX(BD[],_xlfn.AGGREGATE(15,6,IF(BD[CLASIFICACIÓN]=$B$2,ROW(BD[CLASIFICACIÓN])-ROW('PT2 (FILTRAR)'!$E$5)+1,NA()),ROWS($B$5:D187)),COLUMNS($B$5:D187)),"")</f>
        <v>0</v>
      </c>
      <c r="E187" s="126" t="str">
        <f t="array" ref="E187">IFERROR(INDEX(BD[],_xlfn.AGGREGATE(15,6,IF(BD[CLASIFICACIÓN]=$B$2,ROW(BD[CLASIFICACIÓN])-ROW('PT2 (FILTRAR)'!$E$5)+1,NA()),ROWS($B$5:E187)),COLUMNS($B$5:E187)),"")</f>
        <v>SIN ADEUDO</v>
      </c>
    </row>
    <row r="188" spans="2:5" x14ac:dyDescent="0.3">
      <c r="B188" s="126" t="str">
        <f t="array" ref="B188">IFERROR(INDEX(BD[],_xlfn.AGGREGATE(15,6,IF(BD[CLASIFICACIÓN]=$B$2,ROW(BD[CLASIFICACIÓN])-ROW('PT2 (FILTRAR)'!$E$5)+1,NA()),ROWS($B$5:B188)),COLUMNS($B$5:B188)),"")</f>
        <v>104-006-023</v>
      </c>
      <c r="C188" s="127" t="str">
        <f t="array" ref="C188">IFERROR(INDEX(BD[],_xlfn.AGGREGATE(15,6,IF(BD[CLASIFICACIÓN]=$B$2,ROW(BD[CLASIFICACIÓN])-ROW('PT2 (FILTRAR)'!$E$5)+1,NA()),ROWS($B$5:C188)),COLUMNS($B$5:C188)),"")</f>
        <v>C3-1211 TERESA ENTEBI</v>
      </c>
      <c r="D188" s="142">
        <f t="array" ref="D188">IFERROR(INDEX(BD[],_xlfn.AGGREGATE(15,6,IF(BD[CLASIFICACIÓN]=$B$2,ROW(BD[CLASIFICACIÓN])-ROW('PT2 (FILTRAR)'!$E$5)+1,NA()),ROWS($B$5:D188)),COLUMNS($B$5:D188)),"")</f>
        <v>0</v>
      </c>
      <c r="E188" s="126" t="str">
        <f t="array" ref="E188">IFERROR(INDEX(BD[],_xlfn.AGGREGATE(15,6,IF(BD[CLASIFICACIÓN]=$B$2,ROW(BD[CLASIFICACIÓN])-ROW('PT2 (FILTRAR)'!$E$5)+1,NA()),ROWS($B$5:E188)),COLUMNS($B$5:E188)),"")</f>
        <v>SIN ADEUDO</v>
      </c>
    </row>
    <row r="189" spans="2:5" x14ac:dyDescent="0.3">
      <c r="B189" s="126" t="str">
        <f t="array" ref="B189">IFERROR(INDEX(BD[],_xlfn.AGGREGATE(15,6,IF(BD[CLASIFICACIÓN]=$B$2,ROW(BD[CLASIFICACIÓN])-ROW('PT2 (FILTRAR)'!$E$5)+1,NA()),ROWS($B$5:B189)),COLUMNS($B$5:B189)),"")</f>
        <v>104-006-025</v>
      </c>
      <c r="C189" s="127" t="str">
        <f t="array" ref="C189">IFERROR(INDEX(BD[],_xlfn.AGGREGATE(15,6,IF(BD[CLASIFICACIÓN]=$B$2,ROW(BD[CLASIFICACIÓN])-ROW('PT2 (FILTRAR)'!$E$5)+1,NA()),ROWS($B$5:C189)),COLUMNS($B$5:C189)),"")</f>
        <v>C3-1311 ESTHER GALANTE</v>
      </c>
      <c r="D189" s="142">
        <f t="array" ref="D189">IFERROR(INDEX(BD[],_xlfn.AGGREGATE(15,6,IF(BD[CLASIFICACIÓN]=$B$2,ROW(BD[CLASIFICACIÓN])-ROW('PT2 (FILTRAR)'!$E$5)+1,NA()),ROWS($B$5:D189)),COLUMNS($B$5:D189)),"")</f>
        <v>0</v>
      </c>
      <c r="E189" s="126" t="str">
        <f t="array" ref="E189">IFERROR(INDEX(BD[],_xlfn.AGGREGATE(15,6,IF(BD[CLASIFICACIÓN]=$B$2,ROW(BD[CLASIFICACIÓN])-ROW('PT2 (FILTRAR)'!$E$5)+1,NA()),ROWS($B$5:E189)),COLUMNS($B$5:E189)),"")</f>
        <v>SIN ADEUDO</v>
      </c>
    </row>
    <row r="190" spans="2:5" x14ac:dyDescent="0.3">
      <c r="B190" s="126" t="str">
        <f t="array" ref="B190">IFERROR(INDEX(BD[],_xlfn.AGGREGATE(15,6,IF(BD[CLASIFICACIÓN]=$B$2,ROW(BD[CLASIFICACIÓN])-ROW('PT2 (FILTRAR)'!$E$5)+1,NA()),ROWS($B$5:B190)),COLUMNS($B$5:B190)),"")</f>
        <v>104-006-026</v>
      </c>
      <c r="C190" s="127" t="str">
        <f t="array" ref="C190">IFERROR(INDEX(BD[],_xlfn.AGGREGATE(15,6,IF(BD[CLASIFICACIÓN]=$B$2,ROW(BD[CLASIFICACIÓN])-ROW('PT2 (FILTRAR)'!$E$5)+1,NA()),ROWS($B$5:C190)),COLUMNS($B$5:C190)),"")</f>
        <v>C3-1312 RAYMOND ZETUNE</v>
      </c>
      <c r="D190" s="142">
        <f t="array" ref="D190">IFERROR(INDEX(BD[],_xlfn.AGGREGATE(15,6,IF(BD[CLASIFICACIÓN]=$B$2,ROW(BD[CLASIFICACIÓN])-ROW('PT2 (FILTRAR)'!$E$5)+1,NA()),ROWS($B$5:D190)),COLUMNS($B$5:D190)),"")</f>
        <v>0</v>
      </c>
      <c r="E190" s="126" t="str">
        <f t="array" ref="E190">IFERROR(INDEX(BD[],_xlfn.AGGREGATE(15,6,IF(BD[CLASIFICACIÓN]=$B$2,ROW(BD[CLASIFICACIÓN])-ROW('PT2 (FILTRAR)'!$E$5)+1,NA()),ROWS($B$5:E190)),COLUMNS($B$5:E190)),"")</f>
        <v>SIN ADEUDO</v>
      </c>
    </row>
    <row r="191" spans="2:5" x14ac:dyDescent="0.3">
      <c r="B191" s="126" t="str">
        <f t="array" ref="B191">IFERROR(INDEX(BD[],_xlfn.AGGREGATE(15,6,IF(BD[CLASIFICACIÓN]=$B$2,ROW(BD[CLASIFICACIÓN])-ROW('PT2 (FILTRAR)'!$E$5)+1,NA()),ROWS($B$5:B191)),COLUMNS($B$5:B191)),"")</f>
        <v>104-006-028</v>
      </c>
      <c r="C191" s="127" t="str">
        <f t="array" ref="C191">IFERROR(INDEX(BD[],_xlfn.AGGREGATE(15,6,IF(BD[CLASIFICACIÓN]=$B$2,ROW(BD[CLASIFICACIÓN])-ROW('PT2 (FILTRAR)'!$E$5)+1,NA()),ROWS($B$5:C191)),COLUMNS($B$5:C191)),"")</f>
        <v>C3-1412 GABRIEL TUACHI</v>
      </c>
      <c r="D191" s="142">
        <f t="array" ref="D191">IFERROR(INDEX(BD[],_xlfn.AGGREGATE(15,6,IF(BD[CLASIFICACIÓN]=$B$2,ROW(BD[CLASIFICACIÓN])-ROW('PT2 (FILTRAR)'!$E$5)+1,NA()),ROWS($B$5:D191)),COLUMNS($B$5:D191)),"")</f>
        <v>0</v>
      </c>
      <c r="E191" s="126" t="str">
        <f t="array" ref="E191">IFERROR(INDEX(BD[],_xlfn.AGGREGATE(15,6,IF(BD[CLASIFICACIÓN]=$B$2,ROW(BD[CLASIFICACIÓN])-ROW('PT2 (FILTRAR)'!$E$5)+1,NA()),ROWS($B$5:E191)),COLUMNS($B$5:E191)),"")</f>
        <v>SIN ADEUDO</v>
      </c>
    </row>
    <row r="192" spans="2:5" x14ac:dyDescent="0.3">
      <c r="B192" s="126" t="str">
        <f t="array" ref="B192">IFERROR(INDEX(BD[],_xlfn.AGGREGATE(15,6,IF(BD[CLASIFICACIÓN]=$B$2,ROW(BD[CLASIFICACIÓN])-ROW('PT2 (FILTRAR)'!$E$5)+1,NA()),ROWS($B$5:B192)),COLUMNS($B$5:B192)),"")</f>
        <v>104-006-030</v>
      </c>
      <c r="C192" s="127" t="str">
        <f t="array" ref="C192">IFERROR(INDEX(BD[],_xlfn.AGGREGATE(15,6,IF(BD[CLASIFICACIÓN]=$B$2,ROW(BD[CLASIFICACIÓN])-ROW('PT2 (FILTRAR)'!$E$5)+1,NA()),ROWS($B$5:C192)),COLUMNS($B$5:C192)),"")</f>
        <v>C3-1512 RODRIGO LAMBRE</v>
      </c>
      <c r="D192" s="142">
        <f t="array" ref="D192">IFERROR(INDEX(BD[],_xlfn.AGGREGATE(15,6,IF(BD[CLASIFICACIÓN]=$B$2,ROW(BD[CLASIFICACIÓN])-ROW('PT2 (FILTRAR)'!$E$5)+1,NA()),ROWS($B$5:D192)),COLUMNS($B$5:D192)),"")</f>
        <v>0</v>
      </c>
      <c r="E192" s="126" t="str">
        <f t="array" ref="E192">IFERROR(INDEX(BD[],_xlfn.AGGREGATE(15,6,IF(BD[CLASIFICACIÓN]=$B$2,ROW(BD[CLASIFICACIÓN])-ROW('PT2 (FILTRAR)'!$E$5)+1,NA()),ROWS($B$5:E192)),COLUMNS($B$5:E192)),"")</f>
        <v>SIN ADEUDO</v>
      </c>
    </row>
    <row r="193" spans="2:5" x14ac:dyDescent="0.3">
      <c r="B193" s="126" t="str">
        <f t="array" ref="B193">IFERROR(INDEX(BD[],_xlfn.AGGREGATE(15,6,IF(BD[CLASIFICACIÓN]=$B$2,ROW(BD[CLASIFICACIÓN])-ROW('PT2 (FILTRAR)'!$E$5)+1,NA()),ROWS($B$5:B193)),COLUMNS($B$5:B193)),"")</f>
        <v>104-006-031</v>
      </c>
      <c r="C193" s="127" t="str">
        <f t="array" ref="C193">IFERROR(INDEX(BD[],_xlfn.AGGREGATE(15,6,IF(BD[CLASIFICACIÓN]=$B$2,ROW(BD[CLASIFICACIÓN])-ROW('PT2 (FILTRAR)'!$E$5)+1,NA()),ROWS($B$5:C193)),COLUMNS($B$5:C193)),"")</f>
        <v>C3-1611 ESTHER HARARI ACHAR DE CHEREM</v>
      </c>
      <c r="D193" s="142">
        <f t="array" ref="D193">IFERROR(INDEX(BD[],_xlfn.AGGREGATE(15,6,IF(BD[CLASIFICACIÓN]=$B$2,ROW(BD[CLASIFICACIÓN])-ROW('PT2 (FILTRAR)'!$E$5)+1,NA()),ROWS($B$5:D193)),COLUMNS($B$5:D193)),"")</f>
        <v>0</v>
      </c>
      <c r="E193" s="126" t="str">
        <f t="array" ref="E193">IFERROR(INDEX(BD[],_xlfn.AGGREGATE(15,6,IF(BD[CLASIFICACIÓN]=$B$2,ROW(BD[CLASIFICACIÓN])-ROW('PT2 (FILTRAR)'!$E$5)+1,NA()),ROWS($B$5:E193)),COLUMNS($B$5:E193)),"")</f>
        <v>SIN ADEUDO</v>
      </c>
    </row>
    <row r="194" spans="2:5" x14ac:dyDescent="0.3">
      <c r="B194" s="126" t="str">
        <f t="array" ref="B194">IFERROR(INDEX(BD[],_xlfn.AGGREGATE(15,6,IF(BD[CLASIFICACIÓN]=$B$2,ROW(BD[CLASIFICACIÓN])-ROW('PT2 (FILTRAR)'!$E$5)+1,NA()),ROWS($B$5:B194)),COLUMNS($B$5:B194)),"")</f>
        <v>104-006-033</v>
      </c>
      <c r="C194" s="127" t="str">
        <f t="array" ref="C194">IFERROR(INDEX(BD[],_xlfn.AGGREGATE(15,6,IF(BD[CLASIFICACIÓN]=$B$2,ROW(BD[CLASIFICACIÓN])-ROW('PT2 (FILTRAR)'!$E$5)+1,NA()),ROWS($B$5:C194)),COLUMNS($B$5:C194)),"")</f>
        <v>C3-1711 EDITH OURFALI</v>
      </c>
      <c r="D194" s="142">
        <f t="array" ref="D194">IFERROR(INDEX(BD[],_xlfn.AGGREGATE(15,6,IF(BD[CLASIFICACIÓN]=$B$2,ROW(BD[CLASIFICACIÓN])-ROW('PT2 (FILTRAR)'!$E$5)+1,NA()),ROWS($B$5:D194)),COLUMNS($B$5:D194)),"")</f>
        <v>0</v>
      </c>
      <c r="E194" s="126" t="str">
        <f t="array" ref="E194">IFERROR(INDEX(BD[],_xlfn.AGGREGATE(15,6,IF(BD[CLASIFICACIÓN]=$B$2,ROW(BD[CLASIFICACIÓN])-ROW('PT2 (FILTRAR)'!$E$5)+1,NA()),ROWS($B$5:E194)),COLUMNS($B$5:E194)),"")</f>
        <v>SIN ADEUDO</v>
      </c>
    </row>
    <row r="195" spans="2:5" x14ac:dyDescent="0.3">
      <c r="B195" s="126" t="str">
        <f t="array" ref="B195">IFERROR(INDEX(BD[],_xlfn.AGGREGATE(15,6,IF(BD[CLASIFICACIÓN]=$B$2,ROW(BD[CLASIFICACIÓN])-ROW('PT2 (FILTRAR)'!$E$5)+1,NA()),ROWS($B$5:B195)),COLUMNS($B$5:B195)),"")</f>
        <v>104-006-036</v>
      </c>
      <c r="C195" s="127" t="str">
        <f t="array" ref="C195">IFERROR(INDEX(BD[],_xlfn.AGGREGATE(15,6,IF(BD[CLASIFICACIÓN]=$B$2,ROW(BD[CLASIFICACIÓN])-ROW('PT2 (FILTRAR)'!$E$5)+1,NA()),ROWS($B$5:C195)),COLUMNS($B$5:C195)),"")</f>
        <v>C3-1812 DALIA CASPI</v>
      </c>
      <c r="D195" s="142">
        <f t="array" ref="D195">IFERROR(INDEX(BD[],_xlfn.AGGREGATE(15,6,IF(BD[CLASIFICACIÓN]=$B$2,ROW(BD[CLASIFICACIÓN])-ROW('PT2 (FILTRAR)'!$E$5)+1,NA()),ROWS($B$5:D195)),COLUMNS($B$5:D195)),"")</f>
        <v>0</v>
      </c>
      <c r="E195" s="126" t="str">
        <f t="array" ref="E195">IFERROR(INDEX(BD[],_xlfn.AGGREGATE(15,6,IF(BD[CLASIFICACIÓN]=$B$2,ROW(BD[CLASIFICACIÓN])-ROW('PT2 (FILTRAR)'!$E$5)+1,NA()),ROWS($B$5:E195)),COLUMNS($B$5:E195)),"")</f>
        <v>SIN ADEUDO</v>
      </c>
    </row>
    <row r="196" spans="2:5" x14ac:dyDescent="0.3">
      <c r="B196" s="126" t="str">
        <f t="array" ref="B196">IFERROR(INDEX(BD[],_xlfn.AGGREGATE(15,6,IF(BD[CLASIFICACIÓN]=$B$2,ROW(BD[CLASIFICACIÓN])-ROW('PT2 (FILTRAR)'!$E$5)+1,NA()),ROWS($B$5:B196)),COLUMNS($B$5:B196)),"")</f>
        <v>104-006-038</v>
      </c>
      <c r="C196" s="127" t="str">
        <f t="array" ref="C196">IFERROR(INDEX(BD[],_xlfn.AGGREGATE(15,6,IF(BD[CLASIFICACIÓN]=$B$2,ROW(BD[CLASIFICACIÓN])-ROW('PT2 (FILTRAR)'!$E$5)+1,NA()),ROWS($B$5:C196)),COLUMNS($B$5:C196)),"")</f>
        <v xml:space="preserve">C3-1912 JACOBO CHEREM A </v>
      </c>
      <c r="D196" s="142">
        <f t="array" ref="D196">IFERROR(INDEX(BD[],_xlfn.AGGREGATE(15,6,IF(BD[CLASIFICACIÓN]=$B$2,ROW(BD[CLASIFICACIÓN])-ROW('PT2 (FILTRAR)'!$E$5)+1,NA()),ROWS($B$5:D196)),COLUMNS($B$5:D196)),"")</f>
        <v>0</v>
      </c>
      <c r="E196" s="126" t="str">
        <f t="array" ref="E196">IFERROR(INDEX(BD[],_xlfn.AGGREGATE(15,6,IF(BD[CLASIFICACIÓN]=$B$2,ROW(BD[CLASIFICACIÓN])-ROW('PT2 (FILTRAR)'!$E$5)+1,NA()),ROWS($B$5:E196)),COLUMNS($B$5:E196)),"")</f>
        <v>SIN ADEUDO</v>
      </c>
    </row>
    <row r="197" spans="2:5" x14ac:dyDescent="0.3">
      <c r="B197" s="126" t="str">
        <f t="array" ref="B197">IFERROR(INDEX(BD[],_xlfn.AGGREGATE(15,6,IF(BD[CLASIFICACIÓN]=$B$2,ROW(BD[CLASIFICACIÓN])-ROW('PT2 (FILTRAR)'!$E$5)+1,NA()),ROWS($B$5:B197)),COLUMNS($B$5:B197)),"")</f>
        <v>104-006-041</v>
      </c>
      <c r="C197" s="127" t="str">
        <f t="array" ref="C197">IFERROR(INDEX(BD[],_xlfn.AGGREGATE(15,6,IF(BD[CLASIFICACIÓN]=$B$2,ROW(BD[CLASIFICACIÓN])-ROW('PT2 (FILTRAR)'!$E$5)+1,NA()),ROWS($B$5:C197)),COLUMNS($B$5:C197)),"")</f>
        <v>C3-2111 JACOBO LEVY</v>
      </c>
      <c r="D197" s="142">
        <f t="array" ref="D197">IFERROR(INDEX(BD[],_xlfn.AGGREGATE(15,6,IF(BD[CLASIFICACIÓN]=$B$2,ROW(BD[CLASIFICACIÓN])-ROW('PT2 (FILTRAR)'!$E$5)+1,NA()),ROWS($B$5:D197)),COLUMNS($B$5:D197)),"")</f>
        <v>0</v>
      </c>
      <c r="E197" s="126" t="str">
        <f t="array" ref="E197">IFERROR(INDEX(BD[],_xlfn.AGGREGATE(15,6,IF(BD[CLASIFICACIÓN]=$B$2,ROW(BD[CLASIFICACIÓN])-ROW('PT2 (FILTRAR)'!$E$5)+1,NA()),ROWS($B$5:E197)),COLUMNS($B$5:E197)),"")</f>
        <v>SIN ADEUDO</v>
      </c>
    </row>
    <row r="198" spans="2:5" x14ac:dyDescent="0.3">
      <c r="B198" s="126" t="str">
        <f t="array" ref="B198">IFERROR(INDEX(BD[],_xlfn.AGGREGATE(15,6,IF(BD[CLASIFICACIÓN]=$B$2,ROW(BD[CLASIFICACIÓN])-ROW('PT2 (FILTRAR)'!$E$5)+1,NA()),ROWS($B$5:B198)),COLUMNS($B$5:B198)),"")</f>
        <v>104-006-045</v>
      </c>
      <c r="C198" s="127" t="str">
        <f t="array" ref="C198">IFERROR(INDEX(BD[],_xlfn.AGGREGATE(15,6,IF(BD[CLASIFICACIÓN]=$B$2,ROW(BD[CLASIFICACIÓN])-ROW('PT2 (FILTRAR)'!$E$5)+1,NA()),ROWS($B$5:C198)),COLUMNS($B$5:C198)),"")</f>
        <v>C3-2311 RAQUEL ACHAR</v>
      </c>
      <c r="D198" s="142">
        <f t="array" ref="D198">IFERROR(INDEX(BD[],_xlfn.AGGREGATE(15,6,IF(BD[CLASIFICACIÓN]=$B$2,ROW(BD[CLASIFICACIÓN])-ROW('PT2 (FILTRAR)'!$E$5)+1,NA()),ROWS($B$5:D198)),COLUMNS($B$5:D198)),"")</f>
        <v>0</v>
      </c>
      <c r="E198" s="126" t="str">
        <f t="array" ref="E198">IFERROR(INDEX(BD[],_xlfn.AGGREGATE(15,6,IF(BD[CLASIFICACIÓN]=$B$2,ROW(BD[CLASIFICACIÓN])-ROW('PT2 (FILTRAR)'!$E$5)+1,NA()),ROWS($B$5:E198)),COLUMNS($B$5:E198)),"")</f>
        <v>SIN ADEUDO</v>
      </c>
    </row>
    <row r="199" spans="2:5" x14ac:dyDescent="0.3">
      <c r="B199" s="126" t="str">
        <f t="array" ref="B199">IFERROR(INDEX(BD[],_xlfn.AGGREGATE(15,6,IF(BD[CLASIFICACIÓN]=$B$2,ROW(BD[CLASIFICACIÓN])-ROW('PT2 (FILTRAR)'!$E$5)+1,NA()),ROWS($B$5:B199)),COLUMNS($B$5:B199)),"")</f>
        <v>104-006-046</v>
      </c>
      <c r="C199" s="127" t="str">
        <f t="array" ref="C199">IFERROR(INDEX(BD[],_xlfn.AGGREGATE(15,6,IF(BD[CLASIFICACIÓN]=$B$2,ROW(BD[CLASIFICACIÓN])-ROW('PT2 (FILTRAR)'!$E$5)+1,NA()),ROWS($B$5:C199)),COLUMNS($B$5:C199)),"")</f>
        <v>C3-2312 MOISES PERLA</v>
      </c>
      <c r="D199" s="142">
        <f t="array" ref="D199">IFERROR(INDEX(BD[],_xlfn.AGGREGATE(15,6,IF(BD[CLASIFICACIÓN]=$B$2,ROW(BD[CLASIFICACIÓN])-ROW('PT2 (FILTRAR)'!$E$5)+1,NA()),ROWS($B$5:D199)),COLUMNS($B$5:D199)),"")</f>
        <v>0</v>
      </c>
      <c r="E199" s="126" t="str">
        <f t="array" ref="E199">IFERROR(INDEX(BD[],_xlfn.AGGREGATE(15,6,IF(BD[CLASIFICACIÓN]=$B$2,ROW(BD[CLASIFICACIÓN])-ROW('PT2 (FILTRAR)'!$E$5)+1,NA()),ROWS($B$5:E199)),COLUMNS($B$5:E199)),"")</f>
        <v>SIN ADEUDO</v>
      </c>
    </row>
    <row r="200" spans="2:5" x14ac:dyDescent="0.3">
      <c r="B200" s="126" t="str">
        <f t="array" ref="B200">IFERROR(INDEX(BD[],_xlfn.AGGREGATE(15,6,IF(BD[CLASIFICACIÓN]=$B$2,ROW(BD[CLASIFICACIÓN])-ROW('PT2 (FILTRAR)'!$E$5)+1,NA()),ROWS($B$5:B200)),COLUMNS($B$5:B200)),"")</f>
        <v>104-006-047</v>
      </c>
      <c r="C200" s="127" t="str">
        <f t="array" ref="C200">IFERROR(INDEX(BD[],_xlfn.AGGREGATE(15,6,IF(BD[CLASIFICACIÓN]=$B$2,ROW(BD[CLASIFICACIÓN])-ROW('PT2 (FILTRAR)'!$E$5)+1,NA()),ROWS($B$5:C200)),COLUMNS($B$5:C200)),"")</f>
        <v>C3-2411 JOSE MASRI</v>
      </c>
      <c r="D200" s="142">
        <f t="array" ref="D200">IFERROR(INDEX(BD[],_xlfn.AGGREGATE(15,6,IF(BD[CLASIFICACIÓN]=$B$2,ROW(BD[CLASIFICACIÓN])-ROW('PT2 (FILTRAR)'!$E$5)+1,NA()),ROWS($B$5:D200)),COLUMNS($B$5:D200)),"")</f>
        <v>0</v>
      </c>
      <c r="E200" s="126" t="str">
        <f t="array" ref="E200">IFERROR(INDEX(BD[],_xlfn.AGGREGATE(15,6,IF(BD[CLASIFICACIÓN]=$B$2,ROW(BD[CLASIFICACIÓN])-ROW('PT2 (FILTRAR)'!$E$5)+1,NA()),ROWS($B$5:E200)),COLUMNS($B$5:E200)),"")</f>
        <v>SIN ADEUDO</v>
      </c>
    </row>
    <row r="201" spans="2:5" x14ac:dyDescent="0.3">
      <c r="B201" s="126" t="str">
        <f t="array" ref="B201">IFERROR(INDEX(BD[],_xlfn.AGGREGATE(15,6,IF(BD[CLASIFICACIÓN]=$B$2,ROW(BD[CLASIFICACIÓN])-ROW('PT2 (FILTRAR)'!$E$5)+1,NA()),ROWS($B$5:B201)),COLUMNS($B$5:B201)),"")</f>
        <v>104-006-048</v>
      </c>
      <c r="C201" s="127" t="str">
        <f t="array" ref="C201">IFERROR(INDEX(BD[],_xlfn.AGGREGATE(15,6,IF(BD[CLASIFICACIÓN]=$B$2,ROW(BD[CLASIFICACIÓN])-ROW('PT2 (FILTRAR)'!$E$5)+1,NA()),ROWS($B$5:C201)),COLUMNS($B$5:C201)),"")</f>
        <v xml:space="preserve">C3-2412 MICHELLE SALTIEL </v>
      </c>
      <c r="D201" s="142">
        <f t="array" ref="D201">IFERROR(INDEX(BD[],_xlfn.AGGREGATE(15,6,IF(BD[CLASIFICACIÓN]=$B$2,ROW(BD[CLASIFICACIÓN])-ROW('PT2 (FILTRAR)'!$E$5)+1,NA()),ROWS($B$5:D201)),COLUMNS($B$5:D201)),"")</f>
        <v>0</v>
      </c>
      <c r="E201" s="126" t="str">
        <f t="array" ref="E201">IFERROR(INDEX(BD[],_xlfn.AGGREGATE(15,6,IF(BD[CLASIFICACIÓN]=$B$2,ROW(BD[CLASIFICACIÓN])-ROW('PT2 (FILTRAR)'!$E$5)+1,NA()),ROWS($B$5:E201)),COLUMNS($B$5:E201)),"")</f>
        <v>SIN ADEUDO</v>
      </c>
    </row>
    <row r="202" spans="2:5" x14ac:dyDescent="0.3">
      <c r="B202" s="126" t="str">
        <f t="array" ref="B202">IFERROR(INDEX(BD[],_xlfn.AGGREGATE(15,6,IF(BD[CLASIFICACIÓN]=$B$2,ROW(BD[CLASIFICACIÓN])-ROW('PT2 (FILTRAR)'!$E$5)+1,NA()),ROWS($B$5:B202)),COLUMNS($B$5:B202)),"")</f>
        <v>104-006-049</v>
      </c>
      <c r="C202" s="127" t="str">
        <f t="array" ref="C202">IFERROR(INDEX(BD[],_xlfn.AGGREGATE(15,6,IF(BD[CLASIFICACIÓN]=$B$2,ROW(BD[CLASIFICACIÓN])-ROW('PT2 (FILTRAR)'!$E$5)+1,NA()),ROWS($B$5:C202)),COLUMNS($B$5:C202)),"")</f>
        <v>C3-2511 LEON KASSIN</v>
      </c>
      <c r="D202" s="142">
        <f t="array" ref="D202">IFERROR(INDEX(BD[],_xlfn.AGGREGATE(15,6,IF(BD[CLASIFICACIÓN]=$B$2,ROW(BD[CLASIFICACIÓN])-ROW('PT2 (FILTRAR)'!$E$5)+1,NA()),ROWS($B$5:D202)),COLUMNS($B$5:D202)),"")</f>
        <v>0</v>
      </c>
      <c r="E202" s="126" t="str">
        <f t="array" ref="E202">IFERROR(INDEX(BD[],_xlfn.AGGREGATE(15,6,IF(BD[CLASIFICACIÓN]=$B$2,ROW(BD[CLASIFICACIÓN])-ROW('PT2 (FILTRAR)'!$E$5)+1,NA()),ROWS($B$5:E202)),COLUMNS($B$5:E202)),"")</f>
        <v>SIN ADEUDO</v>
      </c>
    </row>
    <row r="203" spans="2:5" x14ac:dyDescent="0.3">
      <c r="B203" s="126" t="str">
        <f t="array" ref="B203">IFERROR(INDEX(BD[],_xlfn.AGGREGATE(15,6,IF(BD[CLASIFICACIÓN]=$B$2,ROW(BD[CLASIFICACIÓN])-ROW('PT2 (FILTRAR)'!$E$5)+1,NA()),ROWS($B$5:B203)),COLUMNS($B$5:B203)),"")</f>
        <v>104-001-012</v>
      </c>
      <c r="C203" s="127" t="str">
        <f t="array" ref="C203">IFERROR(INDEX(BD[],_xlfn.AGGREGATE(15,6,IF(BD[CLASIFICACIÓN]=$B$2,ROW(BD[CLASIFICACIÓN])-ROW('PT2 (FILTRAR)'!$E$5)+1,NA()),ROWS($B$5:C203)),COLUMNS($B$5:C203)),"")</f>
        <v>A-602 EMILIO SACAL</v>
      </c>
      <c r="D203" s="142">
        <f t="array" ref="D203">IFERROR(INDEX(BD[],_xlfn.AGGREGATE(15,6,IF(BD[CLASIFICACIÓN]=$B$2,ROW(BD[CLASIFICACIÓN])-ROW('PT2 (FILTRAR)'!$E$5)+1,NA()),ROWS($B$5:D203)),COLUMNS($B$5:D203)),"")</f>
        <v>0</v>
      </c>
      <c r="E203" s="126" t="str">
        <f t="array" ref="E203">IFERROR(INDEX(BD[],_xlfn.AGGREGATE(15,6,IF(BD[CLASIFICACIÓN]=$B$2,ROW(BD[CLASIFICACIÓN])-ROW('PT2 (FILTRAR)'!$E$5)+1,NA()),ROWS($B$5:E203)),COLUMNS($B$5:E203)),"")</f>
        <v>SIN ADEUDO</v>
      </c>
    </row>
    <row r="204" spans="2:5" x14ac:dyDescent="0.3">
      <c r="B204" s="126" t="str">
        <f t="array" ref="B204">IFERROR(INDEX(BD[],_xlfn.AGGREGATE(15,6,IF(BD[CLASIFICACIÓN]=$B$2,ROW(BD[CLASIFICACIÓN])-ROW('PT2 (FILTRAR)'!$E$5)+1,NA()),ROWS($B$5:B204)),COLUMNS($B$5:B204)),"")</f>
        <v>104-004-046</v>
      </c>
      <c r="C204" s="127" t="str">
        <f t="array" ref="C204">IFERROR(INDEX(BD[],_xlfn.AGGREGATE(15,6,IF(BD[CLASIFICACIÓN]=$B$2,ROW(BD[CLASIFICACIÓN])-ROW('PT2 (FILTRAR)'!$E$5)+1,NA()),ROWS($B$5:C204)),COLUMNS($B$5:C204)),"")</f>
        <v>C1-2308 CARLOS OJEDA</v>
      </c>
      <c r="D204" s="142">
        <f t="array" ref="D204">IFERROR(INDEX(BD[],_xlfn.AGGREGATE(15,6,IF(BD[CLASIFICACIÓN]=$B$2,ROW(BD[CLASIFICACIÓN])-ROW('PT2 (FILTRAR)'!$E$5)+1,NA()),ROWS($B$5:D204)),COLUMNS($B$5:D204)),"")</f>
        <v>0</v>
      </c>
      <c r="E204" s="126" t="str">
        <f t="array" ref="E204">IFERROR(INDEX(BD[],_xlfn.AGGREGATE(15,6,IF(BD[CLASIFICACIÓN]=$B$2,ROW(BD[CLASIFICACIÓN])-ROW('PT2 (FILTRAR)'!$E$5)+1,NA()),ROWS($B$5:E204)),COLUMNS($B$5:E204)),"")</f>
        <v>SIN ADEUDO</v>
      </c>
    </row>
    <row r="205" spans="2:5" x14ac:dyDescent="0.3">
      <c r="B205" s="126" t="str">
        <f t="array" ref="B205">IFERROR(INDEX(BD[],_xlfn.AGGREGATE(15,6,IF(BD[CLASIFICACIÓN]=$B$2,ROW(BD[CLASIFICACIÓN])-ROW('PT2 (FILTRAR)'!$E$5)+1,NA()),ROWS($B$5:B205)),COLUMNS($B$5:B205)),"")</f>
        <v>104-004-010</v>
      </c>
      <c r="C205" s="127" t="str">
        <f t="array" ref="C205">IFERROR(INDEX(BD[],_xlfn.AGGREGATE(15,6,IF(BD[CLASIFICACIÓN]=$B$2,ROW(BD[CLASIFICACIÓN])-ROW('PT2 (FILTRAR)'!$E$5)+1,NA()),ROWS($B$5:C205)),COLUMNS($B$5:C205)),"")</f>
        <v>C1-508 JEANETTE SITTON</v>
      </c>
      <c r="D205" s="142">
        <f t="array" ref="D205">IFERROR(INDEX(BD[],_xlfn.AGGREGATE(15,6,IF(BD[CLASIFICACIÓN]=$B$2,ROW(BD[CLASIFICACIÓN])-ROW('PT2 (FILTRAR)'!$E$5)+1,NA()),ROWS($B$5:D205)),COLUMNS($B$5:D205)),"")</f>
        <v>0</v>
      </c>
      <c r="E205" s="126" t="str">
        <f t="array" ref="E205">IFERROR(INDEX(BD[],_xlfn.AGGREGATE(15,6,IF(BD[CLASIFICACIÓN]=$B$2,ROW(BD[CLASIFICACIÓN])-ROW('PT2 (FILTRAR)'!$E$5)+1,NA()),ROWS($B$5:E205)),COLUMNS($B$5:E205)),"")</f>
        <v>SIN ADEUDO</v>
      </c>
    </row>
    <row r="206" spans="2:5" x14ac:dyDescent="0.3">
      <c r="B206" s="126" t="str">
        <f t="array" ref="B206">IFERROR(INDEX(BD[],_xlfn.AGGREGATE(15,6,IF(BD[CLASIFICACIÓN]=$B$2,ROW(BD[CLASIFICACIÓN])-ROW('PT2 (FILTRAR)'!$E$5)+1,NA()),ROWS($B$5:B206)),COLUMNS($B$5:B206)),"")</f>
        <v>104-006-004</v>
      </c>
      <c r="C206" s="127" t="str">
        <f t="array" ref="C206">IFERROR(INDEX(BD[],_xlfn.AGGREGATE(15,6,IF(BD[CLASIFICACIÓN]=$B$2,ROW(BD[CLASIFICACIÓN])-ROW('PT2 (FILTRAR)'!$E$5)+1,NA()),ROWS($B$5:C206)),COLUMNS($B$5:C206)),"")</f>
        <v>C3-212 YEMI NAGAR</v>
      </c>
      <c r="D206" s="142">
        <f t="array" ref="D206">IFERROR(INDEX(BD[],_xlfn.AGGREGATE(15,6,IF(BD[CLASIFICACIÓN]=$B$2,ROW(BD[CLASIFICACIÓN])-ROW('PT2 (FILTRAR)'!$E$5)+1,NA()),ROWS($B$5:D206)),COLUMNS($B$5:D206)),"")</f>
        <v>0</v>
      </c>
      <c r="E206" s="126" t="str">
        <f t="array" ref="E206">IFERROR(INDEX(BD[],_xlfn.AGGREGATE(15,6,IF(BD[CLASIFICACIÓN]=$B$2,ROW(BD[CLASIFICACIÓN])-ROW('PT2 (FILTRAR)'!$E$5)+1,NA()),ROWS($B$5:E206)),COLUMNS($B$5:E206)),"")</f>
        <v>SIN ADEUDO</v>
      </c>
    </row>
    <row r="207" spans="2:5" x14ac:dyDescent="0.3">
      <c r="B207" s="126" t="str">
        <f t="array" ref="B207">IFERROR(INDEX(BD[],_xlfn.AGGREGATE(15,6,IF(BD[CLASIFICACIÓN]=$B$2,ROW(BD[CLASIFICACIÓN])-ROW('PT2 (FILTRAR)'!$E$5)+1,NA()),ROWS($B$5:B207)),COLUMNS($B$5:B207)),"")</f>
        <v>104-001-030</v>
      </c>
      <c r="C207" s="127" t="str">
        <f t="array" ref="C207">IFERROR(INDEX(BD[],_xlfn.AGGREGATE(15,6,IF(BD[CLASIFICACIÓN]=$B$2,ROW(BD[CLASIFICACIÓN])-ROW('PT2 (FILTRAR)'!$E$5)+1,NA()),ROWS($B$5:C207)),COLUMNS($B$5:C207)),"")</f>
        <v>A-1502 SAMUEL SEVILLA</v>
      </c>
      <c r="D207" s="142">
        <f t="array" ref="D207">IFERROR(INDEX(BD[],_xlfn.AGGREGATE(15,6,IF(BD[CLASIFICACIÓN]=$B$2,ROW(BD[CLASIFICACIÓN])-ROW('PT2 (FILTRAR)'!$E$5)+1,NA()),ROWS($B$5:D207)),COLUMNS($B$5:D207)),"")</f>
        <v>0</v>
      </c>
      <c r="E207" s="126" t="str">
        <f t="array" ref="E207">IFERROR(INDEX(BD[],_xlfn.AGGREGATE(15,6,IF(BD[CLASIFICACIÓN]=$B$2,ROW(BD[CLASIFICACIÓN])-ROW('PT2 (FILTRAR)'!$E$5)+1,NA()),ROWS($B$5:E207)),COLUMNS($B$5:E207)),"")</f>
        <v>SIN ADEUDO</v>
      </c>
    </row>
    <row r="208" spans="2:5" x14ac:dyDescent="0.3">
      <c r="B208" s="126" t="str">
        <f t="array" ref="B208">IFERROR(INDEX(BD[],_xlfn.AGGREGATE(15,6,IF(BD[CLASIFICACIÓN]=$B$2,ROW(BD[CLASIFICACIÓN])-ROW('PT2 (FILTRAR)'!$E$5)+1,NA()),ROWS($B$5:B208)),COLUMNS($B$5:B208)),"")</f>
        <v>104-001-028</v>
      </c>
      <c r="C208" s="127" t="str">
        <f t="array" ref="C208">IFERROR(INDEX(BD[],_xlfn.AGGREGATE(15,6,IF(BD[CLASIFICACIÓN]=$B$2,ROW(BD[CLASIFICACIÓN])-ROW('PT2 (FILTRAR)'!$E$5)+1,NA()),ROWS($B$5:C208)),COLUMNS($B$5:C208)),"")</f>
        <v>A-1402 JOSE MAYA</v>
      </c>
      <c r="D208" s="142">
        <f t="array" ref="D208">IFERROR(INDEX(BD[],_xlfn.AGGREGATE(15,6,IF(BD[CLASIFICACIÓN]=$B$2,ROW(BD[CLASIFICACIÓN])-ROW('PT2 (FILTRAR)'!$E$5)+1,NA()),ROWS($B$5:D208)),COLUMNS($B$5:D208)),"")</f>
        <v>0</v>
      </c>
      <c r="E208" s="126" t="str">
        <f t="array" ref="E208">IFERROR(INDEX(BD[],_xlfn.AGGREGATE(15,6,IF(BD[CLASIFICACIÓN]=$B$2,ROW(BD[CLASIFICACIÓN])-ROW('PT2 (FILTRAR)'!$E$5)+1,NA()),ROWS($B$5:E208)),COLUMNS($B$5:E208)),"")</f>
        <v>SIN ADEUDO</v>
      </c>
    </row>
    <row r="209" spans="2:5" x14ac:dyDescent="0.3">
      <c r="B209" s="126" t="str">
        <f t="array" ref="B209">IFERROR(INDEX(BD[],_xlfn.AGGREGATE(15,6,IF(BD[CLASIFICACIÓN]=$B$2,ROW(BD[CLASIFICACIÓN])-ROW('PT2 (FILTRAR)'!$E$5)+1,NA()),ROWS($B$5:B209)),COLUMNS($B$5:B209)),"")</f>
        <v>104-001-052</v>
      </c>
      <c r="C209" s="127" t="str">
        <f t="array" ref="C209">IFERROR(INDEX(BD[],_xlfn.AGGREGATE(15,6,IF(BD[CLASIFICACIÓN]=$B$2,ROW(BD[CLASIFICACIÓN])-ROW('PT2 (FILTRAR)'!$E$5)+1,NA()),ROWS($B$5:C209)),COLUMNS($B$5:C209)),"")</f>
        <v>A-PH02 SALOMON JASQUI</v>
      </c>
      <c r="D209" s="142">
        <f t="array" ref="D209">IFERROR(INDEX(BD[],_xlfn.AGGREGATE(15,6,IF(BD[CLASIFICACIÓN]=$B$2,ROW(BD[CLASIFICACIÓN])-ROW('PT2 (FILTRAR)'!$E$5)+1,NA()),ROWS($B$5:D209)),COLUMNS($B$5:D209)),"")</f>
        <v>0</v>
      </c>
      <c r="E209" s="126" t="str">
        <f t="array" ref="E209">IFERROR(INDEX(BD[],_xlfn.AGGREGATE(15,6,IF(BD[CLASIFICACIÓN]=$B$2,ROW(BD[CLASIFICACIÓN])-ROW('PT2 (FILTRAR)'!$E$5)+1,NA()),ROWS($B$5:E209)),COLUMNS($B$5:E209)),"")</f>
        <v>SIN ADEUDO</v>
      </c>
    </row>
    <row r="210" spans="2:5" x14ac:dyDescent="0.3">
      <c r="B210" s="126" t="str">
        <f t="array" ref="B210">IFERROR(INDEX(BD[],_xlfn.AGGREGATE(15,6,IF(BD[CLASIFICACIÓN]=$B$2,ROW(BD[CLASIFICACIÓN])-ROW('PT2 (FILTRAR)'!$E$5)+1,NA()),ROWS($B$5:B210)),COLUMNS($B$5:B210)),"")</f>
        <v>104-002-044</v>
      </c>
      <c r="C210" s="127" t="str">
        <f t="array" ref="C210">IFERROR(INDEX(BD[],_xlfn.AGGREGATE(15,6,IF(BD[CLASIFICACIÓN]=$B$2,ROW(BD[CLASIFICACIÓN])-ROW('PT2 (FILTRAR)'!$E$5)+1,NA()),ROWS($B$5:C210)),COLUMNS($B$5:C210)),"")</f>
        <v xml:space="preserve">O1-2204 RAQUEL BUCAY </v>
      </c>
      <c r="D210" s="142">
        <f t="array" ref="D210">IFERROR(INDEX(BD[],_xlfn.AGGREGATE(15,6,IF(BD[CLASIFICACIÓN]=$B$2,ROW(BD[CLASIFICACIÓN])-ROW('PT2 (FILTRAR)'!$E$5)+1,NA()),ROWS($B$5:D210)),COLUMNS($B$5:D210)),"")</f>
        <v>0</v>
      </c>
      <c r="E210" s="126" t="str">
        <f t="array" ref="E210">IFERROR(INDEX(BD[],_xlfn.AGGREGATE(15,6,IF(BD[CLASIFICACIÓN]=$B$2,ROW(BD[CLASIFICACIÓN])-ROW('PT2 (FILTRAR)'!$E$5)+1,NA()),ROWS($B$5:E210)),COLUMNS($B$5:E210)),"")</f>
        <v>SIN ADEUDO</v>
      </c>
    </row>
    <row r="211" spans="2:5" x14ac:dyDescent="0.3">
      <c r="B211" s="126" t="str">
        <f t="array" ref="B211">IFERROR(INDEX(BD[],_xlfn.AGGREGATE(15,6,IF(BD[CLASIFICACIÓN]=$B$2,ROW(BD[CLASIFICACIÓN])-ROW('PT2 (FILTRAR)'!$E$5)+1,NA()),ROWS($B$5:B211)),COLUMNS($B$5:B211)),"")</f>
        <v>104-003-002</v>
      </c>
      <c r="C211" s="127" t="str">
        <f t="array" ref="C211">IFERROR(INDEX(BD[],_xlfn.AGGREGATE(15,6,IF(BD[CLASIFICACIÓN]=$B$2,ROW(BD[CLASIFICACIÓN])-ROW('PT2 (FILTRAR)'!$E$5)+1,NA()),ROWS($B$5:C211)),COLUMNS($B$5:C211)),"")</f>
        <v>O2-106 SADEGH HARARI</v>
      </c>
      <c r="D211" s="142">
        <f t="array" ref="D211">IFERROR(INDEX(BD[],_xlfn.AGGREGATE(15,6,IF(BD[CLASIFICACIÓN]=$B$2,ROW(BD[CLASIFICACIÓN])-ROW('PT2 (FILTRAR)'!$E$5)+1,NA()),ROWS($B$5:D211)),COLUMNS($B$5:D211)),"")</f>
        <v>0</v>
      </c>
      <c r="E211" s="126" t="str">
        <f t="array" ref="E211">IFERROR(INDEX(BD[],_xlfn.AGGREGATE(15,6,IF(BD[CLASIFICACIÓN]=$B$2,ROW(BD[CLASIFICACIÓN])-ROW('PT2 (FILTRAR)'!$E$5)+1,NA()),ROWS($B$5:E211)),COLUMNS($B$5:E211)),"")</f>
        <v>SIN ADEUDO</v>
      </c>
    </row>
    <row r="212" spans="2:5" x14ac:dyDescent="0.3">
      <c r="B212" s="126" t="str">
        <f t="array" ref="B212">IFERROR(INDEX(BD[],_xlfn.AGGREGATE(15,6,IF(BD[CLASIFICACIÓN]=$B$2,ROW(BD[CLASIFICACIÓN])-ROW('PT2 (FILTRAR)'!$E$5)+1,NA()),ROWS($B$5:B212)),COLUMNS($B$5:B212)),"")</f>
        <v>104-003-027</v>
      </c>
      <c r="C212" s="127" t="str">
        <f t="array" ref="C212">IFERROR(INDEX(BD[],_xlfn.AGGREGATE(15,6,IF(BD[CLASIFICACIÓN]=$B$2,ROW(BD[CLASIFICACIÓN])-ROW('PT2 (FILTRAR)'!$E$5)+1,NA()),ROWS($B$5:C212)),COLUMNS($B$5:C212)),"")</f>
        <v>O2-1405 ANDREINA GONZALEZ</v>
      </c>
      <c r="D212" s="142">
        <f t="array" ref="D212">IFERROR(INDEX(BD[],_xlfn.AGGREGATE(15,6,IF(BD[CLASIFICACIÓN]=$B$2,ROW(BD[CLASIFICACIÓN])-ROW('PT2 (FILTRAR)'!$E$5)+1,NA()),ROWS($B$5:D212)),COLUMNS($B$5:D212)),"")</f>
        <v>0</v>
      </c>
      <c r="E212" s="126" t="str">
        <f t="array" ref="E212">IFERROR(INDEX(BD[],_xlfn.AGGREGATE(15,6,IF(BD[CLASIFICACIÓN]=$B$2,ROW(BD[CLASIFICACIÓN])-ROW('PT2 (FILTRAR)'!$E$5)+1,NA()),ROWS($B$5:E212)),COLUMNS($B$5:E212)),"")</f>
        <v>SIN ADEUDO</v>
      </c>
    </row>
    <row r="213" spans="2:5" x14ac:dyDescent="0.3">
      <c r="B213" s="126" t="str">
        <f t="array" ref="B213">IFERROR(INDEX(BD[],_xlfn.AGGREGATE(15,6,IF(BD[CLASIFICACIÓN]=$B$2,ROW(BD[CLASIFICACIÓN])-ROW('PT2 (FILTRAR)'!$E$5)+1,NA()),ROWS($B$5:B213)),COLUMNS($B$5:B213)),"")</f>
        <v>104-004-017</v>
      </c>
      <c r="C213" s="127" t="str">
        <f t="array" ref="C213">IFERROR(INDEX(BD[],_xlfn.AGGREGATE(15,6,IF(BD[CLASIFICACIÓN]=$B$2,ROW(BD[CLASIFICACIÓN])-ROW('PT2 (FILTRAR)'!$E$5)+1,NA()),ROWS($B$5:C213)),COLUMNS($B$5:C213)),"")</f>
        <v>C1-907 REBECA ROMANO</v>
      </c>
      <c r="D213" s="142">
        <f t="array" ref="D213">IFERROR(INDEX(BD[],_xlfn.AGGREGATE(15,6,IF(BD[CLASIFICACIÓN]=$B$2,ROW(BD[CLASIFICACIÓN])-ROW('PT2 (FILTRAR)'!$E$5)+1,NA()),ROWS($B$5:D213)),COLUMNS($B$5:D213)),"")</f>
        <v>0</v>
      </c>
      <c r="E213" s="126" t="str">
        <f t="array" ref="E213">IFERROR(INDEX(BD[],_xlfn.AGGREGATE(15,6,IF(BD[CLASIFICACIÓN]=$B$2,ROW(BD[CLASIFICACIÓN])-ROW('PT2 (FILTRAR)'!$E$5)+1,NA()),ROWS($B$5:E213)),COLUMNS($B$5:E213)),"")</f>
        <v>SIN ADEUDO</v>
      </c>
    </row>
    <row r="214" spans="2:5" x14ac:dyDescent="0.3">
      <c r="B214" s="126" t="str">
        <f t="array" ref="B214">IFERROR(INDEX(BD[],_xlfn.AGGREGATE(15,6,IF(BD[CLASIFICACIÓN]=$B$2,ROW(BD[CLASIFICACIÓN])-ROW('PT2 (FILTRAR)'!$E$5)+1,NA()),ROWS($B$5:B214)),COLUMNS($B$5:B214)),"")</f>
        <v>104-004-022</v>
      </c>
      <c r="C214" s="127" t="str">
        <f t="array" ref="C214">IFERROR(INDEX(BD[],_xlfn.AGGREGATE(15,6,IF(BD[CLASIFICACIÓN]=$B$2,ROW(BD[CLASIFICACIÓN])-ROW('PT2 (FILTRAR)'!$E$5)+1,NA()),ROWS($B$5:C214)),COLUMNS($B$5:C214)),"")</f>
        <v>C1-1108 VICKY LANIADO</v>
      </c>
      <c r="D214" s="142">
        <f t="array" ref="D214">IFERROR(INDEX(BD[],_xlfn.AGGREGATE(15,6,IF(BD[CLASIFICACIÓN]=$B$2,ROW(BD[CLASIFICACIÓN])-ROW('PT2 (FILTRAR)'!$E$5)+1,NA()),ROWS($B$5:D214)),COLUMNS($B$5:D214)),"")</f>
        <v>0</v>
      </c>
      <c r="E214" s="126" t="str">
        <f t="array" ref="E214">IFERROR(INDEX(BD[],_xlfn.AGGREGATE(15,6,IF(BD[CLASIFICACIÓN]=$B$2,ROW(BD[CLASIFICACIÓN])-ROW('PT2 (FILTRAR)'!$E$5)+1,NA()),ROWS($B$5:E214)),COLUMNS($B$5:E214)),"")</f>
        <v>SIN ADEUDO</v>
      </c>
    </row>
    <row r="215" spans="2:5" x14ac:dyDescent="0.3">
      <c r="B215" s="126" t="str">
        <f t="array" ref="B215">IFERROR(INDEX(BD[],_xlfn.AGGREGATE(15,6,IF(BD[CLASIFICACIÓN]=$B$2,ROW(BD[CLASIFICACIÓN])-ROW('PT2 (FILTRAR)'!$E$5)+1,NA()),ROWS($B$5:B215)),COLUMNS($B$5:B215)),"")</f>
        <v>104-004-034</v>
      </c>
      <c r="C215" s="127" t="str">
        <f t="array" ref="C215">IFERROR(INDEX(BD[],_xlfn.AGGREGATE(15,6,IF(BD[CLASIFICACIÓN]=$B$2,ROW(BD[CLASIFICACIÓN])-ROW('PT2 (FILTRAR)'!$E$5)+1,NA()),ROWS($B$5:C215)),COLUMNS($B$5:C215)),"")</f>
        <v>C1-1708 SALOMON NAANOUS</v>
      </c>
      <c r="D215" s="142">
        <f t="array" ref="D215">IFERROR(INDEX(BD[],_xlfn.AGGREGATE(15,6,IF(BD[CLASIFICACIÓN]=$B$2,ROW(BD[CLASIFICACIÓN])-ROW('PT2 (FILTRAR)'!$E$5)+1,NA()),ROWS($B$5:D215)),COLUMNS($B$5:D215)),"")</f>
        <v>0</v>
      </c>
      <c r="E215" s="126" t="str">
        <f t="array" ref="E215">IFERROR(INDEX(BD[],_xlfn.AGGREGATE(15,6,IF(BD[CLASIFICACIÓN]=$B$2,ROW(BD[CLASIFICACIÓN])-ROW('PT2 (FILTRAR)'!$E$5)+1,NA()),ROWS($B$5:E215)),COLUMNS($B$5:E215)),"")</f>
        <v>SIN ADEUDO</v>
      </c>
    </row>
    <row r="216" spans="2:5" x14ac:dyDescent="0.3">
      <c r="B216" s="126" t="str">
        <f t="array" ref="B216">IFERROR(INDEX(BD[],_xlfn.AGGREGATE(15,6,IF(BD[CLASIFICACIÓN]=$B$2,ROW(BD[CLASIFICACIÓN])-ROW('PT2 (FILTRAR)'!$E$5)+1,NA()),ROWS($B$5:B216)),COLUMNS($B$5:B216)),"")</f>
        <v>104-004-044</v>
      </c>
      <c r="C216" s="127" t="str">
        <f t="array" ref="C216">IFERROR(INDEX(BD[],_xlfn.AGGREGATE(15,6,IF(BD[CLASIFICACIÓN]=$B$2,ROW(BD[CLASIFICACIÓN])-ROW('PT2 (FILTRAR)'!$E$5)+1,NA()),ROWS($B$5:C216)),COLUMNS($B$5:C216)),"")</f>
        <v>C1-2208 GABRIEL EFTER</v>
      </c>
      <c r="D216" s="142">
        <f t="array" ref="D216">IFERROR(INDEX(BD[],_xlfn.AGGREGATE(15,6,IF(BD[CLASIFICACIÓN]=$B$2,ROW(BD[CLASIFICACIÓN])-ROW('PT2 (FILTRAR)'!$E$5)+1,NA()),ROWS($B$5:D216)),COLUMNS($B$5:D216)),"")</f>
        <v>0</v>
      </c>
      <c r="E216" s="126" t="str">
        <f t="array" ref="E216">IFERROR(INDEX(BD[],_xlfn.AGGREGATE(15,6,IF(BD[CLASIFICACIÓN]=$B$2,ROW(BD[CLASIFICACIÓN])-ROW('PT2 (FILTRAR)'!$E$5)+1,NA()),ROWS($B$5:E216)),COLUMNS($B$5:E216)),"")</f>
        <v>SIN ADEUDO</v>
      </c>
    </row>
    <row r="217" spans="2:5" x14ac:dyDescent="0.3">
      <c r="B217" s="126" t="str">
        <f t="array" ref="B217">IFERROR(INDEX(BD[],_xlfn.AGGREGATE(15,6,IF(BD[CLASIFICACIÓN]=$B$2,ROW(BD[CLASIFICACIÓN])-ROW('PT2 (FILTRAR)'!$E$5)+1,NA()),ROWS($B$5:B217)),COLUMNS($B$5:B217)),"")</f>
        <v>104-005-025</v>
      </c>
      <c r="C217" s="127" t="str">
        <f t="array" ref="C217">IFERROR(INDEX(BD[],_xlfn.AGGREGATE(15,6,IF(BD[CLASIFICACIÓN]=$B$2,ROW(BD[CLASIFICACIÓN])-ROW('PT2 (FILTRAR)'!$E$5)+1,NA()),ROWS($B$5:C217)),COLUMNS($B$5:C217)),"")</f>
        <v xml:space="preserve">C2-1309 DANIELA SALTIEL </v>
      </c>
      <c r="D217" s="142">
        <f t="array" ref="D217">IFERROR(INDEX(BD[],_xlfn.AGGREGATE(15,6,IF(BD[CLASIFICACIÓN]=$B$2,ROW(BD[CLASIFICACIÓN])-ROW('PT2 (FILTRAR)'!$E$5)+1,NA()),ROWS($B$5:D217)),COLUMNS($B$5:D217)),"")</f>
        <v>0</v>
      </c>
      <c r="E217" s="126" t="str">
        <f t="array" ref="E217">IFERROR(INDEX(BD[],_xlfn.AGGREGATE(15,6,IF(BD[CLASIFICACIÓN]=$B$2,ROW(BD[CLASIFICACIÓN])-ROW('PT2 (FILTRAR)'!$E$5)+1,NA()),ROWS($B$5:E217)),COLUMNS($B$5:E217)),"")</f>
        <v>SIN ADEUDO</v>
      </c>
    </row>
    <row r="218" spans="2:5" x14ac:dyDescent="0.3">
      <c r="B218" s="126" t="str">
        <f t="array" ref="B218">IFERROR(INDEX(BD[],_xlfn.AGGREGATE(15,6,IF(BD[CLASIFICACIÓN]=$B$2,ROW(BD[CLASIFICACIÓN])-ROW('PT2 (FILTRAR)'!$E$5)+1,NA()),ROWS($B$5:B218)),COLUMNS($B$5:B218)),"")</f>
        <v>104-005-047</v>
      </c>
      <c r="C218" s="127" t="str">
        <f t="array" ref="C218">IFERROR(INDEX(BD[],_xlfn.AGGREGATE(15,6,IF(BD[CLASIFICACIÓN]=$B$2,ROW(BD[CLASIFICACIÓN])-ROW('PT2 (FILTRAR)'!$E$5)+1,NA()),ROWS($B$5:C218)),COLUMNS($B$5:C218)),"")</f>
        <v>C2-2409 JACOBO SHAMOSH</v>
      </c>
      <c r="D218" s="142">
        <f t="array" ref="D218">IFERROR(INDEX(BD[],_xlfn.AGGREGATE(15,6,IF(BD[CLASIFICACIÓN]=$B$2,ROW(BD[CLASIFICACIÓN])-ROW('PT2 (FILTRAR)'!$E$5)+1,NA()),ROWS($B$5:D218)),COLUMNS($B$5:D218)),"")</f>
        <v>0</v>
      </c>
      <c r="E218" s="126" t="str">
        <f t="array" ref="E218">IFERROR(INDEX(BD[],_xlfn.AGGREGATE(15,6,IF(BD[CLASIFICACIÓN]=$B$2,ROW(BD[CLASIFICACIÓN])-ROW('PT2 (FILTRAR)'!$E$5)+1,NA()),ROWS($B$5:E218)),COLUMNS($B$5:E218)),"")</f>
        <v>SIN ADEUDO</v>
      </c>
    </row>
    <row r="219" spans="2:5" x14ac:dyDescent="0.3">
      <c r="B219" s="126" t="str">
        <f t="array" ref="B219">IFERROR(INDEX(BD[],_xlfn.AGGREGATE(15,6,IF(BD[CLASIFICACIÓN]=$B$2,ROW(BD[CLASIFICACIÓN])-ROW('PT2 (FILTRAR)'!$E$5)+1,NA()),ROWS($B$5:B219)),COLUMNS($B$5:B219)),"")</f>
        <v>104-006-040</v>
      </c>
      <c r="C219" s="127" t="str">
        <f t="array" ref="C219">IFERROR(INDEX(BD[],_xlfn.AGGREGATE(15,6,IF(BD[CLASIFICACIÓN]=$B$2,ROW(BD[CLASIFICACIÓN])-ROW('PT2 (FILTRAR)'!$E$5)+1,NA()),ROWS($B$5:C219)),COLUMNS($B$5:C219)),"")</f>
        <v>C3-2012 MARGARITA ZAGA</v>
      </c>
      <c r="D219" s="142">
        <f t="array" ref="D219">IFERROR(INDEX(BD[],_xlfn.AGGREGATE(15,6,IF(BD[CLASIFICACIÓN]=$B$2,ROW(BD[CLASIFICACIÓN])-ROW('PT2 (FILTRAR)'!$E$5)+1,NA()),ROWS($B$5:D219)),COLUMNS($B$5:D219)),"")</f>
        <v>0</v>
      </c>
      <c r="E219" s="126" t="str">
        <f t="array" ref="E219">IFERROR(INDEX(BD[],_xlfn.AGGREGATE(15,6,IF(BD[CLASIFICACIÓN]=$B$2,ROW(BD[CLASIFICACIÓN])-ROW('PT2 (FILTRAR)'!$E$5)+1,NA()),ROWS($B$5:E219)),COLUMNS($B$5:E219)),"")</f>
        <v>SIN ADEUDO</v>
      </c>
    </row>
    <row r="220" spans="2:5" x14ac:dyDescent="0.3">
      <c r="B220" s="126" t="str">
        <f t="array" ref="B220">IFERROR(INDEX(BD[],_xlfn.AGGREGATE(15,6,IF(BD[CLASIFICACIÓN]=$B$2,ROW(BD[CLASIFICACIÓN])-ROW('PT2 (FILTRAR)'!$E$5)+1,NA()),ROWS($B$5:B220)),COLUMNS($B$5:B220)),"")</f>
        <v>104-006-050</v>
      </c>
      <c r="C220" s="127" t="str">
        <f t="array" ref="C220">IFERROR(INDEX(BD[],_xlfn.AGGREGATE(15,6,IF(BD[CLASIFICACIÓN]=$B$2,ROW(BD[CLASIFICACIÓN])-ROW('PT2 (FILTRAR)'!$E$5)+1,NA()),ROWS($B$5:C220)),COLUMNS($B$5:C220)),"")</f>
        <v>C3-2512 EDUARDO BRIMAN</v>
      </c>
      <c r="D220" s="142">
        <f t="array" ref="D220">IFERROR(INDEX(BD[],_xlfn.AGGREGATE(15,6,IF(BD[CLASIFICACIÓN]=$B$2,ROW(BD[CLASIFICACIÓN])-ROW('PT2 (FILTRAR)'!$E$5)+1,NA()),ROWS($B$5:D220)),COLUMNS($B$5:D220)),"")</f>
        <v>0</v>
      </c>
      <c r="E220" s="126" t="str">
        <f t="array" ref="E220">IFERROR(INDEX(BD[],_xlfn.AGGREGATE(15,6,IF(BD[CLASIFICACIÓN]=$B$2,ROW(BD[CLASIFICACIÓN])-ROW('PT2 (FILTRAR)'!$E$5)+1,NA()),ROWS($B$5:E220)),COLUMNS($B$5:E220)),"")</f>
        <v>SIN ADEUDO</v>
      </c>
    </row>
    <row r="221" spans="2:5" x14ac:dyDescent="0.3">
      <c r="B221" s="126" t="str">
        <f t="array" ref="B221">IFERROR(INDEX(BD[],_xlfn.AGGREGATE(15,6,IF(BD[CLASIFICACIÓN]=$B$2,ROW(BD[CLASIFICACIÓN])-ROW('PT2 (FILTRAR)'!$E$5)+1,NA()),ROWS($B$5:B221)),COLUMNS($B$5:B221)),"")</f>
        <v>104-004-023</v>
      </c>
      <c r="C221" s="127" t="str">
        <f t="array" ref="C221">IFERROR(INDEX(BD[],_xlfn.AGGREGATE(15,6,IF(BD[CLASIFICACIÓN]=$B$2,ROW(BD[CLASIFICACIÓN])-ROW('PT2 (FILTRAR)'!$E$5)+1,NA()),ROWS($B$5:C221)),COLUMNS($B$5:C221)),"")</f>
        <v>C1-1207 VICKY CALTUM</v>
      </c>
      <c r="D221" s="142">
        <f t="array" ref="D221">IFERROR(INDEX(BD[],_xlfn.AGGREGATE(15,6,IF(BD[CLASIFICACIÓN]=$B$2,ROW(BD[CLASIFICACIÓN])-ROW('PT2 (FILTRAR)'!$E$5)+1,NA()),ROWS($B$5:D221)),COLUMNS($B$5:D221)),"")</f>
        <v>0</v>
      </c>
      <c r="E221" s="126" t="str">
        <f t="array" ref="E221">IFERROR(INDEX(BD[],_xlfn.AGGREGATE(15,6,IF(BD[CLASIFICACIÓN]=$B$2,ROW(BD[CLASIFICACIÓN])-ROW('PT2 (FILTRAR)'!$E$5)+1,NA()),ROWS($B$5:E221)),COLUMNS($B$5:E221)),"")</f>
        <v>SIN ADEUDO</v>
      </c>
    </row>
    <row r="222" spans="2:5" x14ac:dyDescent="0.3">
      <c r="B222" s="126" t="str">
        <f t="array" ref="B222">IFERROR(INDEX(BD[],_xlfn.AGGREGATE(15,6,IF(BD[CLASIFICACIÓN]=$B$2,ROW(BD[CLASIFICACIÓN])-ROW('PT2 (FILTRAR)'!$E$5)+1,NA()),ROWS($B$5:B222)),COLUMNS($B$5:B222)),"")</f>
        <v>104-004-039</v>
      </c>
      <c r="C222" s="127" t="str">
        <f t="array" ref="C222">IFERROR(INDEX(BD[],_xlfn.AGGREGATE(15,6,IF(BD[CLASIFICACIÓN]=$B$2,ROW(BD[CLASIFICACIÓN])-ROW('PT2 (FILTRAR)'!$E$5)+1,NA()),ROWS($B$5:C222)),COLUMNS($B$5:C222)),"")</f>
        <v>C1-2007 ILAN EICHNER</v>
      </c>
      <c r="D222" s="142">
        <f t="array" ref="D222">IFERROR(INDEX(BD[],_xlfn.AGGREGATE(15,6,IF(BD[CLASIFICACIÓN]=$B$2,ROW(BD[CLASIFICACIÓN])-ROW('PT2 (FILTRAR)'!$E$5)+1,NA()),ROWS($B$5:D222)),COLUMNS($B$5:D222)),"")</f>
        <v>0</v>
      </c>
      <c r="E222" s="126" t="str">
        <f t="array" ref="E222">IFERROR(INDEX(BD[],_xlfn.AGGREGATE(15,6,IF(BD[CLASIFICACIÓN]=$B$2,ROW(BD[CLASIFICACIÓN])-ROW('PT2 (FILTRAR)'!$E$5)+1,NA()),ROWS($B$5:E222)),COLUMNS($B$5:E222)),"")</f>
        <v>SIN ADEUDO</v>
      </c>
    </row>
    <row r="223" spans="2:5" x14ac:dyDescent="0.3">
      <c r="B223" s="126" t="str">
        <f t="array" ref="B223">IFERROR(INDEX(BD[],_xlfn.AGGREGATE(15,6,IF(BD[CLASIFICACIÓN]=$B$2,ROW(BD[CLASIFICACIÓN])-ROW('PT2 (FILTRAR)'!$E$5)+1,NA()),ROWS($B$5:B223)),COLUMNS($B$5:B223)),"")</f>
        <v/>
      </c>
      <c r="C223" s="127" t="str">
        <f t="array" ref="C223">IFERROR(INDEX(BD[],_xlfn.AGGREGATE(15,6,IF(BD[CLASIFICACIÓN]=$B$2,ROW(BD[CLASIFICACIÓN])-ROW('PT2 (FILTRAR)'!$E$5)+1,NA()),ROWS($B$5:C223)),COLUMNS($B$5:C223)),"")</f>
        <v/>
      </c>
      <c r="D223" s="142" t="str">
        <f t="array" ref="D223">IFERROR(INDEX(BD[],_xlfn.AGGREGATE(15,6,IF(BD[CLASIFICACIÓN]=$B$2,ROW(BD[CLASIFICACIÓN])-ROW('PT2 (FILTRAR)'!$E$5)+1,NA()),ROWS($B$5:D223)),COLUMNS($B$5:D223)),"")</f>
        <v/>
      </c>
      <c r="E223" s="126" t="str">
        <f t="array" ref="E223">IFERROR(INDEX(BD[],_xlfn.AGGREGATE(15,6,IF(BD[CLASIFICACIÓN]=$B$2,ROW(BD[CLASIFICACIÓN])-ROW('PT2 (FILTRAR)'!$E$5)+1,NA()),ROWS($B$5:E223)),COLUMNS($B$5:E223)),"")</f>
        <v/>
      </c>
    </row>
    <row r="224" spans="2:5" x14ac:dyDescent="0.3">
      <c r="B224" s="126" t="str">
        <f t="array" ref="B224">IFERROR(INDEX(BD[],_xlfn.AGGREGATE(15,6,IF(BD[CLASIFICACIÓN]=$B$2,ROW(BD[CLASIFICACIÓN])-ROW('PT2 (FILTRAR)'!$E$5)+1,NA()),ROWS($B$5:B224)),COLUMNS($B$5:B224)),"")</f>
        <v/>
      </c>
      <c r="C224" s="127" t="str">
        <f t="array" ref="C224">IFERROR(INDEX(BD[],_xlfn.AGGREGATE(15,6,IF(BD[CLASIFICACIÓN]=$B$2,ROW(BD[CLASIFICACIÓN])-ROW('PT2 (FILTRAR)'!$E$5)+1,NA()),ROWS($B$5:C224)),COLUMNS($B$5:C224)),"")</f>
        <v/>
      </c>
      <c r="D224" s="142" t="str">
        <f t="array" ref="D224">IFERROR(INDEX(BD[],_xlfn.AGGREGATE(15,6,IF(BD[CLASIFICACIÓN]=$B$2,ROW(BD[CLASIFICACIÓN])-ROW('PT2 (FILTRAR)'!$E$5)+1,NA()),ROWS($B$5:D224)),COLUMNS($B$5:D224)),"")</f>
        <v/>
      </c>
      <c r="E224" s="126" t="str">
        <f t="array" ref="E224">IFERROR(INDEX(BD[],_xlfn.AGGREGATE(15,6,IF(BD[CLASIFICACIÓN]=$B$2,ROW(BD[CLASIFICACIÓN])-ROW('PT2 (FILTRAR)'!$E$5)+1,NA()),ROWS($B$5:E224)),COLUMNS($B$5:E224)),"")</f>
        <v/>
      </c>
    </row>
    <row r="225" spans="2:5" x14ac:dyDescent="0.3">
      <c r="B225" s="126" t="str">
        <f t="array" ref="B225">IFERROR(INDEX(BD[],_xlfn.AGGREGATE(15,6,IF(BD[CLASIFICACIÓN]=$B$2,ROW(BD[CLASIFICACIÓN])-ROW('PT2 (FILTRAR)'!$E$5)+1,NA()),ROWS($B$5:B225)),COLUMNS($B$5:B225)),"")</f>
        <v/>
      </c>
      <c r="C225" s="127" t="str">
        <f t="array" ref="C225">IFERROR(INDEX(BD[],_xlfn.AGGREGATE(15,6,IF(BD[CLASIFICACIÓN]=$B$2,ROW(BD[CLASIFICACIÓN])-ROW('PT2 (FILTRAR)'!$E$5)+1,NA()),ROWS($B$5:C225)),COLUMNS($B$5:C225)),"")</f>
        <v/>
      </c>
      <c r="D225" s="142" t="str">
        <f t="array" ref="D225">IFERROR(INDEX(BD[],_xlfn.AGGREGATE(15,6,IF(BD[CLASIFICACIÓN]=$B$2,ROW(BD[CLASIFICACIÓN])-ROW('PT2 (FILTRAR)'!$E$5)+1,NA()),ROWS($B$5:D225)),COLUMNS($B$5:D225)),"")</f>
        <v/>
      </c>
      <c r="E225" s="126" t="str">
        <f t="array" ref="E225">IFERROR(INDEX(BD[],_xlfn.AGGREGATE(15,6,IF(BD[CLASIFICACIÓN]=$B$2,ROW(BD[CLASIFICACIÓN])-ROW('PT2 (FILTRAR)'!$E$5)+1,NA()),ROWS($B$5:E225)),COLUMNS($B$5:E225)),"")</f>
        <v/>
      </c>
    </row>
    <row r="226" spans="2:5" x14ac:dyDescent="0.3">
      <c r="B226" s="126" t="str">
        <f t="array" ref="B226">IFERROR(INDEX(BD[],_xlfn.AGGREGATE(15,6,IF(BD[CLASIFICACIÓN]=$B$2,ROW(BD[CLASIFICACIÓN])-ROW('PT2 (FILTRAR)'!$E$5)+1,NA()),ROWS($B$5:B226)),COLUMNS($B$5:B226)),"")</f>
        <v/>
      </c>
      <c r="C226" s="127" t="str">
        <f t="array" ref="C226">IFERROR(INDEX(BD[],_xlfn.AGGREGATE(15,6,IF(BD[CLASIFICACIÓN]=$B$2,ROW(BD[CLASIFICACIÓN])-ROW('PT2 (FILTRAR)'!$E$5)+1,NA()),ROWS($B$5:C226)),COLUMNS($B$5:C226)),"")</f>
        <v/>
      </c>
      <c r="D226" s="142" t="str">
        <f t="array" ref="D226">IFERROR(INDEX(BD[],_xlfn.AGGREGATE(15,6,IF(BD[CLASIFICACIÓN]=$B$2,ROW(BD[CLASIFICACIÓN])-ROW('PT2 (FILTRAR)'!$E$5)+1,NA()),ROWS($B$5:D226)),COLUMNS($B$5:D226)),"")</f>
        <v/>
      </c>
      <c r="E226" s="126" t="str">
        <f t="array" ref="E226">IFERROR(INDEX(BD[],_xlfn.AGGREGATE(15,6,IF(BD[CLASIFICACIÓN]=$B$2,ROW(BD[CLASIFICACIÓN])-ROW('PT2 (FILTRAR)'!$E$5)+1,NA()),ROWS($B$5:E226)),COLUMNS($B$5:E226)),"")</f>
        <v/>
      </c>
    </row>
    <row r="227" spans="2:5" x14ac:dyDescent="0.3">
      <c r="B227" s="126" t="str">
        <f t="array" ref="B227">IFERROR(INDEX(BD[],_xlfn.AGGREGATE(15,6,IF(BD[CLASIFICACIÓN]=$B$2,ROW(BD[CLASIFICACIÓN])-ROW('PT2 (FILTRAR)'!$E$5)+1,NA()),ROWS($B$5:B227)),COLUMNS($B$5:B227)),"")</f>
        <v/>
      </c>
      <c r="C227" s="127" t="str">
        <f t="array" ref="C227">IFERROR(INDEX(BD[],_xlfn.AGGREGATE(15,6,IF(BD[CLASIFICACIÓN]=$B$2,ROW(BD[CLASIFICACIÓN])-ROW('PT2 (FILTRAR)'!$E$5)+1,NA()),ROWS($B$5:C227)),COLUMNS($B$5:C227)),"")</f>
        <v/>
      </c>
      <c r="D227" s="142" t="str">
        <f t="array" ref="D227">IFERROR(INDEX(BD[],_xlfn.AGGREGATE(15,6,IF(BD[CLASIFICACIÓN]=$B$2,ROW(BD[CLASIFICACIÓN])-ROW('PT2 (FILTRAR)'!$E$5)+1,NA()),ROWS($B$5:D227)),COLUMNS($B$5:D227)),"")</f>
        <v/>
      </c>
      <c r="E227" s="126" t="str">
        <f t="array" ref="E227">IFERROR(INDEX(BD[],_xlfn.AGGREGATE(15,6,IF(BD[CLASIFICACIÓN]=$B$2,ROW(BD[CLASIFICACIÓN])-ROW('PT2 (FILTRAR)'!$E$5)+1,NA()),ROWS($B$5:E227)),COLUMNS($B$5:E227)),"")</f>
        <v/>
      </c>
    </row>
    <row r="228" spans="2:5" x14ac:dyDescent="0.3">
      <c r="B228" s="126" t="str">
        <f t="array" ref="B228">IFERROR(INDEX(BD[],_xlfn.AGGREGATE(15,6,IF(BD[CLASIFICACIÓN]=$B$2,ROW(BD[CLASIFICACIÓN])-ROW('PT2 (FILTRAR)'!$E$5)+1,NA()),ROWS($B$5:B228)),COLUMNS($B$5:B228)),"")</f>
        <v/>
      </c>
      <c r="C228" s="127" t="str">
        <f t="array" ref="C228">IFERROR(INDEX(BD[],_xlfn.AGGREGATE(15,6,IF(BD[CLASIFICACIÓN]=$B$2,ROW(BD[CLASIFICACIÓN])-ROW('PT2 (FILTRAR)'!$E$5)+1,NA()),ROWS($B$5:C228)),COLUMNS($B$5:C228)),"")</f>
        <v/>
      </c>
      <c r="D228" s="142" t="str">
        <f t="array" ref="D228">IFERROR(INDEX(BD[],_xlfn.AGGREGATE(15,6,IF(BD[CLASIFICACIÓN]=$B$2,ROW(BD[CLASIFICACIÓN])-ROW('PT2 (FILTRAR)'!$E$5)+1,NA()),ROWS($B$5:D228)),COLUMNS($B$5:D228)),"")</f>
        <v/>
      </c>
      <c r="E228" s="126" t="str">
        <f t="array" ref="E228">IFERROR(INDEX(BD[],_xlfn.AGGREGATE(15,6,IF(BD[CLASIFICACIÓN]=$B$2,ROW(BD[CLASIFICACIÓN])-ROW('PT2 (FILTRAR)'!$E$5)+1,NA()),ROWS($B$5:E228)),COLUMNS($B$5:E228)),"")</f>
        <v/>
      </c>
    </row>
    <row r="229" spans="2:5" x14ac:dyDescent="0.3">
      <c r="B229" s="126" t="str">
        <f t="array" ref="B229">IFERROR(INDEX(BD[],_xlfn.AGGREGATE(15,6,IF(BD[CLASIFICACIÓN]=$B$2,ROW(BD[CLASIFICACIÓN])-ROW('PT2 (FILTRAR)'!$E$5)+1,NA()),ROWS($B$5:B229)),COLUMNS($B$5:B229)),"")</f>
        <v/>
      </c>
      <c r="C229" s="127" t="str">
        <f t="array" ref="C229">IFERROR(INDEX(BD[],_xlfn.AGGREGATE(15,6,IF(BD[CLASIFICACIÓN]=$B$2,ROW(BD[CLASIFICACIÓN])-ROW('PT2 (FILTRAR)'!$E$5)+1,NA()),ROWS($B$5:C229)),COLUMNS($B$5:C229)),"")</f>
        <v/>
      </c>
      <c r="D229" s="142" t="str">
        <f t="array" ref="D229">IFERROR(INDEX(BD[],_xlfn.AGGREGATE(15,6,IF(BD[CLASIFICACIÓN]=$B$2,ROW(BD[CLASIFICACIÓN])-ROW('PT2 (FILTRAR)'!$E$5)+1,NA()),ROWS($B$5:D229)),COLUMNS($B$5:D229)),"")</f>
        <v/>
      </c>
      <c r="E229" s="126" t="str">
        <f t="array" ref="E229">IFERROR(INDEX(BD[],_xlfn.AGGREGATE(15,6,IF(BD[CLASIFICACIÓN]=$B$2,ROW(BD[CLASIFICACIÓN])-ROW('PT2 (FILTRAR)'!$E$5)+1,NA()),ROWS($B$5:E229)),COLUMNS($B$5:E229)),"")</f>
        <v/>
      </c>
    </row>
    <row r="230" spans="2:5" x14ac:dyDescent="0.3">
      <c r="B230" s="126" t="str">
        <f t="array" ref="B230">IFERROR(INDEX(BD[],_xlfn.AGGREGATE(15,6,IF(BD[CLASIFICACIÓN]=$B$2,ROW(BD[CLASIFICACIÓN])-ROW('PT2 (FILTRAR)'!$E$5)+1,NA()),ROWS($B$5:B230)),COLUMNS($B$5:B230)),"")</f>
        <v/>
      </c>
      <c r="C230" s="127" t="str">
        <f t="array" ref="C230">IFERROR(INDEX(BD[],_xlfn.AGGREGATE(15,6,IF(BD[CLASIFICACIÓN]=$B$2,ROW(BD[CLASIFICACIÓN])-ROW('PT2 (FILTRAR)'!$E$5)+1,NA()),ROWS($B$5:C230)),COLUMNS($B$5:C230)),"")</f>
        <v/>
      </c>
      <c r="D230" s="142" t="str">
        <f t="array" ref="D230">IFERROR(INDEX(BD[],_xlfn.AGGREGATE(15,6,IF(BD[CLASIFICACIÓN]=$B$2,ROW(BD[CLASIFICACIÓN])-ROW('PT2 (FILTRAR)'!$E$5)+1,NA()),ROWS($B$5:D230)),COLUMNS($B$5:D230)),"")</f>
        <v/>
      </c>
      <c r="E230" s="126" t="str">
        <f t="array" ref="E230">IFERROR(INDEX(BD[],_xlfn.AGGREGATE(15,6,IF(BD[CLASIFICACIÓN]=$B$2,ROW(BD[CLASIFICACIÓN])-ROW('PT2 (FILTRAR)'!$E$5)+1,NA()),ROWS($B$5:E230)),COLUMNS($B$5:E230)),"")</f>
        <v/>
      </c>
    </row>
    <row r="231" spans="2:5" x14ac:dyDescent="0.3">
      <c r="B231" s="126" t="str">
        <f t="array" ref="B231">IFERROR(INDEX(BD[],_xlfn.AGGREGATE(15,6,IF(BD[CLASIFICACIÓN]=$B$2,ROW(BD[CLASIFICACIÓN])-ROW('PT2 (FILTRAR)'!$E$5)+1,NA()),ROWS($B$5:B231)),COLUMNS($B$5:B231)),"")</f>
        <v/>
      </c>
      <c r="C231" s="127" t="str">
        <f t="array" ref="C231">IFERROR(INDEX(BD[],_xlfn.AGGREGATE(15,6,IF(BD[CLASIFICACIÓN]=$B$2,ROW(BD[CLASIFICACIÓN])-ROW('PT2 (FILTRAR)'!$E$5)+1,NA()),ROWS($B$5:C231)),COLUMNS($B$5:C231)),"")</f>
        <v/>
      </c>
      <c r="D231" s="142" t="str">
        <f t="array" ref="D231">IFERROR(INDEX(BD[],_xlfn.AGGREGATE(15,6,IF(BD[CLASIFICACIÓN]=$B$2,ROW(BD[CLASIFICACIÓN])-ROW('PT2 (FILTRAR)'!$E$5)+1,NA()),ROWS($B$5:D231)),COLUMNS($B$5:D231)),"")</f>
        <v/>
      </c>
      <c r="E231" s="126" t="str">
        <f t="array" ref="E231">IFERROR(INDEX(BD[],_xlfn.AGGREGATE(15,6,IF(BD[CLASIFICACIÓN]=$B$2,ROW(BD[CLASIFICACIÓN])-ROW('PT2 (FILTRAR)'!$E$5)+1,NA()),ROWS($B$5:E231)),COLUMNS($B$5:E231)),"")</f>
        <v/>
      </c>
    </row>
    <row r="232" spans="2:5" x14ac:dyDescent="0.3">
      <c r="B232" s="126" t="str">
        <f t="array" ref="B232">IFERROR(INDEX(BD[],_xlfn.AGGREGATE(15,6,IF(BD[CLASIFICACIÓN]=$B$2,ROW(BD[CLASIFICACIÓN])-ROW('PT2 (FILTRAR)'!$E$5)+1,NA()),ROWS($B$5:B232)),COLUMNS($B$5:B232)),"")</f>
        <v/>
      </c>
      <c r="C232" s="127" t="str">
        <f t="array" ref="C232">IFERROR(INDEX(BD[],_xlfn.AGGREGATE(15,6,IF(BD[CLASIFICACIÓN]=$B$2,ROW(BD[CLASIFICACIÓN])-ROW('PT2 (FILTRAR)'!$E$5)+1,NA()),ROWS($B$5:C232)),COLUMNS($B$5:C232)),"")</f>
        <v/>
      </c>
      <c r="D232" s="142" t="str">
        <f t="array" ref="D232">IFERROR(INDEX(BD[],_xlfn.AGGREGATE(15,6,IF(BD[CLASIFICACIÓN]=$B$2,ROW(BD[CLASIFICACIÓN])-ROW('PT2 (FILTRAR)'!$E$5)+1,NA()),ROWS($B$5:D232)),COLUMNS($B$5:D232)),"")</f>
        <v/>
      </c>
      <c r="E232" s="126" t="str">
        <f t="array" ref="E232">IFERROR(INDEX(BD[],_xlfn.AGGREGATE(15,6,IF(BD[CLASIFICACIÓN]=$B$2,ROW(BD[CLASIFICACIÓN])-ROW('PT2 (FILTRAR)'!$E$5)+1,NA()),ROWS($B$5:E232)),COLUMNS($B$5:E232)),"")</f>
        <v/>
      </c>
    </row>
    <row r="233" spans="2:5" x14ac:dyDescent="0.3">
      <c r="B233" s="126" t="str">
        <f t="array" ref="B233">IFERROR(INDEX(BD[],_xlfn.AGGREGATE(15,6,IF(BD[CLASIFICACIÓN]=$B$2,ROW(BD[CLASIFICACIÓN])-ROW('PT2 (FILTRAR)'!$E$5)+1,NA()),ROWS($B$5:B233)),COLUMNS($B$5:B233)),"")</f>
        <v/>
      </c>
      <c r="C233" s="127" t="str">
        <f t="array" ref="C233">IFERROR(INDEX(BD[],_xlfn.AGGREGATE(15,6,IF(BD[CLASIFICACIÓN]=$B$2,ROW(BD[CLASIFICACIÓN])-ROW('PT2 (FILTRAR)'!$E$5)+1,NA()),ROWS($B$5:C233)),COLUMNS($B$5:C233)),"")</f>
        <v/>
      </c>
      <c r="D233" s="142" t="str">
        <f t="array" ref="D233">IFERROR(INDEX(BD[],_xlfn.AGGREGATE(15,6,IF(BD[CLASIFICACIÓN]=$B$2,ROW(BD[CLASIFICACIÓN])-ROW('PT2 (FILTRAR)'!$E$5)+1,NA()),ROWS($B$5:D233)),COLUMNS($B$5:D233)),"")</f>
        <v/>
      </c>
      <c r="E233" s="126" t="str">
        <f t="array" ref="E233">IFERROR(INDEX(BD[],_xlfn.AGGREGATE(15,6,IF(BD[CLASIFICACIÓN]=$B$2,ROW(BD[CLASIFICACIÓN])-ROW('PT2 (FILTRAR)'!$E$5)+1,NA()),ROWS($B$5:E233)),COLUMNS($B$5:E233)),"")</f>
        <v/>
      </c>
    </row>
    <row r="234" spans="2:5" x14ac:dyDescent="0.3">
      <c r="B234" s="126" t="str">
        <f t="array" ref="B234">IFERROR(INDEX(BD[],_xlfn.AGGREGATE(15,6,IF(BD[CLASIFICACIÓN]=$B$2,ROW(BD[CLASIFICACIÓN])-ROW('PT2 (FILTRAR)'!$E$5)+1,NA()),ROWS($B$5:B234)),COLUMNS($B$5:B234)),"")</f>
        <v/>
      </c>
      <c r="C234" s="127" t="str">
        <f t="array" ref="C234">IFERROR(INDEX(BD[],_xlfn.AGGREGATE(15,6,IF(BD[CLASIFICACIÓN]=$B$2,ROW(BD[CLASIFICACIÓN])-ROW('PT2 (FILTRAR)'!$E$5)+1,NA()),ROWS($B$5:C234)),COLUMNS($B$5:C234)),"")</f>
        <v/>
      </c>
      <c r="D234" s="142" t="str">
        <f t="array" ref="D234">IFERROR(INDEX(BD[],_xlfn.AGGREGATE(15,6,IF(BD[CLASIFICACIÓN]=$B$2,ROW(BD[CLASIFICACIÓN])-ROW('PT2 (FILTRAR)'!$E$5)+1,NA()),ROWS($B$5:D234)),COLUMNS($B$5:D234)),"")</f>
        <v/>
      </c>
      <c r="E234" s="126" t="str">
        <f t="array" ref="E234">IFERROR(INDEX(BD[],_xlfn.AGGREGATE(15,6,IF(BD[CLASIFICACIÓN]=$B$2,ROW(BD[CLASIFICACIÓN])-ROW('PT2 (FILTRAR)'!$E$5)+1,NA()),ROWS($B$5:E234)),COLUMNS($B$5:E234)),"")</f>
        <v/>
      </c>
    </row>
    <row r="235" spans="2:5" x14ac:dyDescent="0.3">
      <c r="B235" s="126" t="str">
        <f t="array" ref="B235">IFERROR(INDEX(BD[],_xlfn.AGGREGATE(15,6,IF(BD[CLASIFICACIÓN]=$B$2,ROW(BD[CLASIFICACIÓN])-ROW('PT2 (FILTRAR)'!$E$5)+1,NA()),ROWS($B$5:B235)),COLUMNS($B$5:B235)),"")</f>
        <v/>
      </c>
      <c r="C235" s="127" t="str">
        <f t="array" ref="C235">IFERROR(INDEX(BD[],_xlfn.AGGREGATE(15,6,IF(BD[CLASIFICACIÓN]=$B$2,ROW(BD[CLASIFICACIÓN])-ROW('PT2 (FILTRAR)'!$E$5)+1,NA()),ROWS($B$5:C235)),COLUMNS($B$5:C235)),"")</f>
        <v/>
      </c>
      <c r="D235" s="142" t="str">
        <f t="array" ref="D235">IFERROR(INDEX(BD[],_xlfn.AGGREGATE(15,6,IF(BD[CLASIFICACIÓN]=$B$2,ROW(BD[CLASIFICACIÓN])-ROW('PT2 (FILTRAR)'!$E$5)+1,NA()),ROWS($B$5:D235)),COLUMNS($B$5:D235)),"")</f>
        <v/>
      </c>
      <c r="E235" s="126" t="str">
        <f t="array" ref="E235">IFERROR(INDEX(BD[],_xlfn.AGGREGATE(15,6,IF(BD[CLASIFICACIÓN]=$B$2,ROW(BD[CLASIFICACIÓN])-ROW('PT2 (FILTRAR)'!$E$5)+1,NA()),ROWS($B$5:E235)),COLUMNS($B$5:E235)),"")</f>
        <v/>
      </c>
    </row>
    <row r="236" spans="2:5" x14ac:dyDescent="0.3">
      <c r="B236" s="126" t="str">
        <f t="array" ref="B236">IFERROR(INDEX(BD[],_xlfn.AGGREGATE(15,6,IF(BD[CLASIFICACIÓN]=$B$2,ROW(BD[CLASIFICACIÓN])-ROW('PT2 (FILTRAR)'!$E$5)+1,NA()),ROWS($B$5:B236)),COLUMNS($B$5:B236)),"")</f>
        <v/>
      </c>
      <c r="C236" s="127" t="str">
        <f t="array" ref="C236">IFERROR(INDEX(BD[],_xlfn.AGGREGATE(15,6,IF(BD[CLASIFICACIÓN]=$B$2,ROW(BD[CLASIFICACIÓN])-ROW('PT2 (FILTRAR)'!$E$5)+1,NA()),ROWS($B$5:C236)),COLUMNS($B$5:C236)),"")</f>
        <v/>
      </c>
      <c r="D236" s="142" t="str">
        <f t="array" ref="D236">IFERROR(INDEX(BD[],_xlfn.AGGREGATE(15,6,IF(BD[CLASIFICACIÓN]=$B$2,ROW(BD[CLASIFICACIÓN])-ROW('PT2 (FILTRAR)'!$E$5)+1,NA()),ROWS($B$5:D236)),COLUMNS($B$5:D236)),"")</f>
        <v/>
      </c>
      <c r="E236" s="126" t="str">
        <f t="array" ref="E236">IFERROR(INDEX(BD[],_xlfn.AGGREGATE(15,6,IF(BD[CLASIFICACIÓN]=$B$2,ROW(BD[CLASIFICACIÓN])-ROW('PT2 (FILTRAR)'!$E$5)+1,NA()),ROWS($B$5:E236)),COLUMNS($B$5:E236)),"")</f>
        <v/>
      </c>
    </row>
    <row r="237" spans="2:5" x14ac:dyDescent="0.3">
      <c r="B237" s="126" t="str">
        <f t="array" ref="B237">IFERROR(INDEX(BD[],_xlfn.AGGREGATE(15,6,IF(BD[CLASIFICACIÓN]=$B$2,ROW(BD[CLASIFICACIÓN])-ROW('PT2 (FILTRAR)'!$E$5)+1,NA()),ROWS($B$5:B237)),COLUMNS($B$5:B237)),"")</f>
        <v/>
      </c>
      <c r="C237" s="127" t="str">
        <f t="array" ref="C237">IFERROR(INDEX(BD[],_xlfn.AGGREGATE(15,6,IF(BD[CLASIFICACIÓN]=$B$2,ROW(BD[CLASIFICACIÓN])-ROW('PT2 (FILTRAR)'!$E$5)+1,NA()),ROWS($B$5:C237)),COLUMNS($B$5:C237)),"")</f>
        <v/>
      </c>
      <c r="D237" s="142" t="str">
        <f t="array" ref="D237">IFERROR(INDEX(BD[],_xlfn.AGGREGATE(15,6,IF(BD[CLASIFICACIÓN]=$B$2,ROW(BD[CLASIFICACIÓN])-ROW('PT2 (FILTRAR)'!$E$5)+1,NA()),ROWS($B$5:D237)),COLUMNS($B$5:D237)),"")</f>
        <v/>
      </c>
      <c r="E237" s="126" t="str">
        <f t="array" ref="E237">IFERROR(INDEX(BD[],_xlfn.AGGREGATE(15,6,IF(BD[CLASIFICACIÓN]=$B$2,ROW(BD[CLASIFICACIÓN])-ROW('PT2 (FILTRAR)'!$E$5)+1,NA()),ROWS($B$5:E237)),COLUMNS($B$5:E237)),"")</f>
        <v/>
      </c>
    </row>
    <row r="238" spans="2:5" x14ac:dyDescent="0.3">
      <c r="B238" s="126" t="str">
        <f t="array" ref="B238">IFERROR(INDEX(BD[],_xlfn.AGGREGATE(15,6,IF(BD[CLASIFICACIÓN]=$B$2,ROW(BD[CLASIFICACIÓN])-ROW('PT2 (FILTRAR)'!$E$5)+1,NA()),ROWS($B$5:B238)),COLUMNS($B$5:B238)),"")</f>
        <v/>
      </c>
      <c r="C238" s="127" t="str">
        <f t="array" ref="C238">IFERROR(INDEX(BD[],_xlfn.AGGREGATE(15,6,IF(BD[CLASIFICACIÓN]=$B$2,ROW(BD[CLASIFICACIÓN])-ROW('PT2 (FILTRAR)'!$E$5)+1,NA()),ROWS($B$5:C238)),COLUMNS($B$5:C238)),"")</f>
        <v/>
      </c>
      <c r="D238" s="142" t="str">
        <f t="array" ref="D238">IFERROR(INDEX(BD[],_xlfn.AGGREGATE(15,6,IF(BD[CLASIFICACIÓN]=$B$2,ROW(BD[CLASIFICACIÓN])-ROW('PT2 (FILTRAR)'!$E$5)+1,NA()),ROWS($B$5:D238)),COLUMNS($B$5:D238)),"")</f>
        <v/>
      </c>
      <c r="E238" s="126" t="str">
        <f t="array" ref="E238">IFERROR(INDEX(BD[],_xlfn.AGGREGATE(15,6,IF(BD[CLASIFICACIÓN]=$B$2,ROW(BD[CLASIFICACIÓN])-ROW('PT2 (FILTRAR)'!$E$5)+1,NA()),ROWS($B$5:E238)),COLUMNS($B$5:E238)),"")</f>
        <v/>
      </c>
    </row>
    <row r="239" spans="2:5" x14ac:dyDescent="0.3">
      <c r="B239" s="126" t="str">
        <f t="array" ref="B239">IFERROR(INDEX(BD[],_xlfn.AGGREGATE(15,6,IF(BD[CLASIFICACIÓN]=$B$2,ROW(BD[CLASIFICACIÓN])-ROW('PT2 (FILTRAR)'!$E$5)+1,NA()),ROWS($B$5:B239)),COLUMNS($B$5:B239)),"")</f>
        <v/>
      </c>
      <c r="C239" s="127" t="str">
        <f t="array" ref="C239">IFERROR(INDEX(BD[],_xlfn.AGGREGATE(15,6,IF(BD[CLASIFICACIÓN]=$B$2,ROW(BD[CLASIFICACIÓN])-ROW('PT2 (FILTRAR)'!$E$5)+1,NA()),ROWS($B$5:C239)),COLUMNS($B$5:C239)),"")</f>
        <v/>
      </c>
      <c r="D239" s="142" t="str">
        <f t="array" ref="D239">IFERROR(INDEX(BD[],_xlfn.AGGREGATE(15,6,IF(BD[CLASIFICACIÓN]=$B$2,ROW(BD[CLASIFICACIÓN])-ROW('PT2 (FILTRAR)'!$E$5)+1,NA()),ROWS($B$5:D239)),COLUMNS($B$5:D239)),"")</f>
        <v/>
      </c>
      <c r="E239" s="126" t="str">
        <f t="array" ref="E239">IFERROR(INDEX(BD[],_xlfn.AGGREGATE(15,6,IF(BD[CLASIFICACIÓN]=$B$2,ROW(BD[CLASIFICACIÓN])-ROW('PT2 (FILTRAR)'!$E$5)+1,NA()),ROWS($B$5:E239)),COLUMNS($B$5:E239)),"")</f>
        <v/>
      </c>
    </row>
    <row r="240" spans="2:5" x14ac:dyDescent="0.3">
      <c r="B240" s="126" t="str">
        <f t="array" ref="B240">IFERROR(INDEX(BD[],_xlfn.AGGREGATE(15,6,IF(BD[CLASIFICACIÓN]=$B$2,ROW(BD[CLASIFICACIÓN])-ROW('PT2 (FILTRAR)'!$E$5)+1,NA()),ROWS($B$5:B240)),COLUMNS($B$5:B240)),"")</f>
        <v/>
      </c>
      <c r="C240" s="127" t="str">
        <f t="array" ref="C240">IFERROR(INDEX(BD[],_xlfn.AGGREGATE(15,6,IF(BD[CLASIFICACIÓN]=$B$2,ROW(BD[CLASIFICACIÓN])-ROW('PT2 (FILTRAR)'!$E$5)+1,NA()),ROWS($B$5:C240)),COLUMNS($B$5:C240)),"")</f>
        <v/>
      </c>
      <c r="D240" s="142" t="str">
        <f t="array" ref="D240">IFERROR(INDEX(BD[],_xlfn.AGGREGATE(15,6,IF(BD[CLASIFICACIÓN]=$B$2,ROW(BD[CLASIFICACIÓN])-ROW('PT2 (FILTRAR)'!$E$5)+1,NA()),ROWS($B$5:D240)),COLUMNS($B$5:D240)),"")</f>
        <v/>
      </c>
      <c r="E240" s="126" t="str">
        <f t="array" ref="E240">IFERROR(INDEX(BD[],_xlfn.AGGREGATE(15,6,IF(BD[CLASIFICACIÓN]=$B$2,ROW(BD[CLASIFICACIÓN])-ROW('PT2 (FILTRAR)'!$E$5)+1,NA()),ROWS($B$5:E240)),COLUMNS($B$5:E240)),"")</f>
        <v/>
      </c>
    </row>
    <row r="241" spans="2:5" x14ac:dyDescent="0.3">
      <c r="B241" s="126" t="str">
        <f t="array" ref="B241">IFERROR(INDEX(BD[],_xlfn.AGGREGATE(15,6,IF(BD[CLASIFICACIÓN]=$B$2,ROW(BD[CLASIFICACIÓN])-ROW('PT2 (FILTRAR)'!$E$5)+1,NA()),ROWS($B$5:B241)),COLUMNS($B$5:B241)),"")</f>
        <v/>
      </c>
      <c r="C241" s="127" t="str">
        <f t="array" ref="C241">IFERROR(INDEX(BD[],_xlfn.AGGREGATE(15,6,IF(BD[CLASIFICACIÓN]=$B$2,ROW(BD[CLASIFICACIÓN])-ROW('PT2 (FILTRAR)'!$E$5)+1,NA()),ROWS($B$5:C241)),COLUMNS($B$5:C241)),"")</f>
        <v/>
      </c>
      <c r="D241" s="142" t="str">
        <f t="array" ref="D241">IFERROR(INDEX(BD[],_xlfn.AGGREGATE(15,6,IF(BD[CLASIFICACIÓN]=$B$2,ROW(BD[CLASIFICACIÓN])-ROW('PT2 (FILTRAR)'!$E$5)+1,NA()),ROWS($B$5:D241)),COLUMNS($B$5:D241)),"")</f>
        <v/>
      </c>
      <c r="E241" s="126" t="str">
        <f t="array" ref="E241">IFERROR(INDEX(BD[],_xlfn.AGGREGATE(15,6,IF(BD[CLASIFICACIÓN]=$B$2,ROW(BD[CLASIFICACIÓN])-ROW('PT2 (FILTRAR)'!$E$5)+1,NA()),ROWS($B$5:E241)),COLUMNS($B$5:E241)),"")</f>
        <v/>
      </c>
    </row>
    <row r="242" spans="2:5" x14ac:dyDescent="0.3">
      <c r="B242" s="126" t="str">
        <f t="array" ref="B242">IFERROR(INDEX(BD[],_xlfn.AGGREGATE(15,6,IF(BD[CLASIFICACIÓN]=$B$2,ROW(BD[CLASIFICACIÓN])-ROW('PT2 (FILTRAR)'!$E$5)+1,NA()),ROWS($B$5:B242)),COLUMNS($B$5:B242)),"")</f>
        <v/>
      </c>
      <c r="C242" s="127" t="str">
        <f t="array" ref="C242">IFERROR(INDEX(BD[],_xlfn.AGGREGATE(15,6,IF(BD[CLASIFICACIÓN]=$B$2,ROW(BD[CLASIFICACIÓN])-ROW('PT2 (FILTRAR)'!$E$5)+1,NA()),ROWS($B$5:C242)),COLUMNS($B$5:C242)),"")</f>
        <v/>
      </c>
      <c r="D242" s="142" t="str">
        <f t="array" ref="D242">IFERROR(INDEX(BD[],_xlfn.AGGREGATE(15,6,IF(BD[CLASIFICACIÓN]=$B$2,ROW(BD[CLASIFICACIÓN])-ROW('PT2 (FILTRAR)'!$E$5)+1,NA()),ROWS($B$5:D242)),COLUMNS($B$5:D242)),"")</f>
        <v/>
      </c>
      <c r="E242" s="126" t="str">
        <f t="array" ref="E242">IFERROR(INDEX(BD[],_xlfn.AGGREGATE(15,6,IF(BD[CLASIFICACIÓN]=$B$2,ROW(BD[CLASIFICACIÓN])-ROW('PT2 (FILTRAR)'!$E$5)+1,NA()),ROWS($B$5:E242)),COLUMNS($B$5:E242)),"")</f>
        <v/>
      </c>
    </row>
    <row r="243" spans="2:5" x14ac:dyDescent="0.3">
      <c r="B243" s="126" t="str">
        <f t="array" ref="B243">IFERROR(INDEX(BD[],_xlfn.AGGREGATE(15,6,IF(BD[CLASIFICACIÓN]=$B$2,ROW(BD[CLASIFICACIÓN])-ROW('PT2 (FILTRAR)'!$E$5)+1,NA()),ROWS($B$5:B243)),COLUMNS($B$5:B243)),"")</f>
        <v/>
      </c>
      <c r="C243" s="127" t="str">
        <f t="array" ref="C243">IFERROR(INDEX(BD[],_xlfn.AGGREGATE(15,6,IF(BD[CLASIFICACIÓN]=$B$2,ROW(BD[CLASIFICACIÓN])-ROW('PT2 (FILTRAR)'!$E$5)+1,NA()),ROWS($B$5:C243)),COLUMNS($B$5:C243)),"")</f>
        <v/>
      </c>
      <c r="D243" s="142" t="str">
        <f t="array" ref="D243">IFERROR(INDEX(BD[],_xlfn.AGGREGATE(15,6,IF(BD[CLASIFICACIÓN]=$B$2,ROW(BD[CLASIFICACIÓN])-ROW('PT2 (FILTRAR)'!$E$5)+1,NA()),ROWS($B$5:D243)),COLUMNS($B$5:D243)),"")</f>
        <v/>
      </c>
      <c r="E243" s="126" t="str">
        <f t="array" ref="E243">IFERROR(INDEX(BD[],_xlfn.AGGREGATE(15,6,IF(BD[CLASIFICACIÓN]=$B$2,ROW(BD[CLASIFICACIÓN])-ROW('PT2 (FILTRAR)'!$E$5)+1,NA()),ROWS($B$5:E243)),COLUMNS($B$5:E243)),"")</f>
        <v/>
      </c>
    </row>
    <row r="244" spans="2:5" x14ac:dyDescent="0.3">
      <c r="B244" s="126" t="str">
        <f t="array" ref="B244">IFERROR(INDEX(BD[],_xlfn.AGGREGATE(15,6,IF(BD[CLASIFICACIÓN]=$B$2,ROW(BD[CLASIFICACIÓN])-ROW('PT2 (FILTRAR)'!$E$5)+1,NA()),ROWS($B$5:B244)),COLUMNS($B$5:B244)),"")</f>
        <v/>
      </c>
      <c r="C244" s="127" t="str">
        <f t="array" ref="C244">IFERROR(INDEX(BD[],_xlfn.AGGREGATE(15,6,IF(BD[CLASIFICACIÓN]=$B$2,ROW(BD[CLASIFICACIÓN])-ROW('PT2 (FILTRAR)'!$E$5)+1,NA()),ROWS($B$5:C244)),COLUMNS($B$5:C244)),"")</f>
        <v/>
      </c>
      <c r="D244" s="142" t="str">
        <f t="array" ref="D244">IFERROR(INDEX(BD[],_xlfn.AGGREGATE(15,6,IF(BD[CLASIFICACIÓN]=$B$2,ROW(BD[CLASIFICACIÓN])-ROW('PT2 (FILTRAR)'!$E$5)+1,NA()),ROWS($B$5:D244)),COLUMNS($B$5:D244)),"")</f>
        <v/>
      </c>
      <c r="E244" s="126" t="str">
        <f t="array" ref="E244">IFERROR(INDEX(BD[],_xlfn.AGGREGATE(15,6,IF(BD[CLASIFICACIÓN]=$B$2,ROW(BD[CLASIFICACIÓN])-ROW('PT2 (FILTRAR)'!$E$5)+1,NA()),ROWS($B$5:E244)),COLUMNS($B$5:E244)),"")</f>
        <v/>
      </c>
    </row>
    <row r="245" spans="2:5" x14ac:dyDescent="0.3">
      <c r="B245" s="126" t="str">
        <f t="array" ref="B245">IFERROR(INDEX(BD[],_xlfn.AGGREGATE(15,6,IF(BD[CLASIFICACIÓN]=$B$2,ROW(BD[CLASIFICACIÓN])-ROW('PT2 (FILTRAR)'!$E$5)+1,NA()),ROWS($B$5:B245)),COLUMNS($B$5:B245)),"")</f>
        <v/>
      </c>
      <c r="C245" s="127" t="str">
        <f t="array" ref="C245">IFERROR(INDEX(BD[],_xlfn.AGGREGATE(15,6,IF(BD[CLASIFICACIÓN]=$B$2,ROW(BD[CLASIFICACIÓN])-ROW('PT2 (FILTRAR)'!$E$5)+1,NA()),ROWS($B$5:C245)),COLUMNS($B$5:C245)),"")</f>
        <v/>
      </c>
      <c r="D245" s="142" t="str">
        <f t="array" ref="D245">IFERROR(INDEX(BD[],_xlfn.AGGREGATE(15,6,IF(BD[CLASIFICACIÓN]=$B$2,ROW(BD[CLASIFICACIÓN])-ROW('PT2 (FILTRAR)'!$E$5)+1,NA()),ROWS($B$5:D245)),COLUMNS($B$5:D245)),"")</f>
        <v/>
      </c>
      <c r="E245" s="126" t="str">
        <f t="array" ref="E245">IFERROR(INDEX(BD[],_xlfn.AGGREGATE(15,6,IF(BD[CLASIFICACIÓN]=$B$2,ROW(BD[CLASIFICACIÓN])-ROW('PT2 (FILTRAR)'!$E$5)+1,NA()),ROWS($B$5:E245)),COLUMNS($B$5:E245)),"")</f>
        <v/>
      </c>
    </row>
    <row r="246" spans="2:5" x14ac:dyDescent="0.3">
      <c r="B246" s="126" t="str">
        <f t="array" ref="B246">IFERROR(INDEX(BD[],_xlfn.AGGREGATE(15,6,IF(BD[CLASIFICACIÓN]=$B$2,ROW(BD[CLASIFICACIÓN])-ROW('PT2 (FILTRAR)'!$E$5)+1,NA()),ROWS($B$5:B246)),COLUMNS($B$5:B246)),"")</f>
        <v/>
      </c>
      <c r="C246" s="127" t="str">
        <f t="array" ref="C246">IFERROR(INDEX(BD[],_xlfn.AGGREGATE(15,6,IF(BD[CLASIFICACIÓN]=$B$2,ROW(BD[CLASIFICACIÓN])-ROW('PT2 (FILTRAR)'!$E$5)+1,NA()),ROWS($B$5:C246)),COLUMNS($B$5:C246)),"")</f>
        <v/>
      </c>
      <c r="D246" s="142" t="str">
        <f t="array" ref="D246">IFERROR(INDEX(BD[],_xlfn.AGGREGATE(15,6,IF(BD[CLASIFICACIÓN]=$B$2,ROW(BD[CLASIFICACIÓN])-ROW('PT2 (FILTRAR)'!$E$5)+1,NA()),ROWS($B$5:D246)),COLUMNS($B$5:D246)),"")</f>
        <v/>
      </c>
      <c r="E246" s="126" t="str">
        <f t="array" ref="E246">IFERROR(INDEX(BD[],_xlfn.AGGREGATE(15,6,IF(BD[CLASIFICACIÓN]=$B$2,ROW(BD[CLASIFICACIÓN])-ROW('PT2 (FILTRAR)'!$E$5)+1,NA()),ROWS($B$5:E246)),COLUMNS($B$5:E246)),"")</f>
        <v/>
      </c>
    </row>
    <row r="247" spans="2:5" x14ac:dyDescent="0.3">
      <c r="B247" s="126" t="str">
        <f t="array" ref="B247">IFERROR(INDEX(BD[],_xlfn.AGGREGATE(15,6,IF(BD[CLASIFICACIÓN]=$B$2,ROW(BD[CLASIFICACIÓN])-ROW('PT2 (FILTRAR)'!$E$5)+1,NA()),ROWS($B$5:B247)),COLUMNS($B$5:B247)),"")</f>
        <v/>
      </c>
      <c r="C247" s="127" t="str">
        <f t="array" ref="C247">IFERROR(INDEX(BD[],_xlfn.AGGREGATE(15,6,IF(BD[CLASIFICACIÓN]=$B$2,ROW(BD[CLASIFICACIÓN])-ROW('PT2 (FILTRAR)'!$E$5)+1,NA()),ROWS($B$5:C247)),COLUMNS($B$5:C247)),"")</f>
        <v/>
      </c>
      <c r="D247" s="142" t="str">
        <f t="array" ref="D247">IFERROR(INDEX(BD[],_xlfn.AGGREGATE(15,6,IF(BD[CLASIFICACIÓN]=$B$2,ROW(BD[CLASIFICACIÓN])-ROW('PT2 (FILTRAR)'!$E$5)+1,NA()),ROWS($B$5:D247)),COLUMNS($B$5:D247)),"")</f>
        <v/>
      </c>
      <c r="E247" s="126" t="str">
        <f t="array" ref="E247">IFERROR(INDEX(BD[],_xlfn.AGGREGATE(15,6,IF(BD[CLASIFICACIÓN]=$B$2,ROW(BD[CLASIFICACIÓN])-ROW('PT2 (FILTRAR)'!$E$5)+1,NA()),ROWS($B$5:E247)),COLUMNS($B$5:E247)),"")</f>
        <v/>
      </c>
    </row>
    <row r="248" spans="2:5" x14ac:dyDescent="0.3">
      <c r="B248" s="126" t="str">
        <f t="array" ref="B248">IFERROR(INDEX(BD[],_xlfn.AGGREGATE(15,6,IF(BD[CLASIFICACIÓN]=$B$2,ROW(BD[CLASIFICACIÓN])-ROW('PT2 (FILTRAR)'!$E$5)+1,NA()),ROWS($B$5:B248)),COLUMNS($B$5:B248)),"")</f>
        <v/>
      </c>
      <c r="C248" s="127" t="str">
        <f t="array" ref="C248">IFERROR(INDEX(BD[],_xlfn.AGGREGATE(15,6,IF(BD[CLASIFICACIÓN]=$B$2,ROW(BD[CLASIFICACIÓN])-ROW('PT2 (FILTRAR)'!$E$5)+1,NA()),ROWS($B$5:C248)),COLUMNS($B$5:C248)),"")</f>
        <v/>
      </c>
      <c r="D248" s="142" t="str">
        <f t="array" ref="D248">IFERROR(INDEX(BD[],_xlfn.AGGREGATE(15,6,IF(BD[CLASIFICACIÓN]=$B$2,ROW(BD[CLASIFICACIÓN])-ROW('PT2 (FILTRAR)'!$E$5)+1,NA()),ROWS($B$5:D248)),COLUMNS($B$5:D248)),"")</f>
        <v/>
      </c>
      <c r="E248" s="126" t="str">
        <f t="array" ref="E248">IFERROR(INDEX(BD[],_xlfn.AGGREGATE(15,6,IF(BD[CLASIFICACIÓN]=$B$2,ROW(BD[CLASIFICACIÓN])-ROW('PT2 (FILTRAR)'!$E$5)+1,NA()),ROWS($B$5:E248)),COLUMNS($B$5:E248)),"")</f>
        <v/>
      </c>
    </row>
    <row r="249" spans="2:5" x14ac:dyDescent="0.3">
      <c r="B249" s="126" t="str">
        <f t="array" ref="B249">IFERROR(INDEX(BD[],_xlfn.AGGREGATE(15,6,IF(BD[CLASIFICACIÓN]=$B$2,ROW(BD[CLASIFICACIÓN])-ROW('PT2 (FILTRAR)'!$E$5)+1,NA()),ROWS($B$5:B249)),COLUMNS($B$5:B249)),"")</f>
        <v/>
      </c>
      <c r="C249" s="127" t="str">
        <f t="array" ref="C249">IFERROR(INDEX(BD[],_xlfn.AGGREGATE(15,6,IF(BD[CLASIFICACIÓN]=$B$2,ROW(BD[CLASIFICACIÓN])-ROW('PT2 (FILTRAR)'!$E$5)+1,NA()),ROWS($B$5:C249)),COLUMNS($B$5:C249)),"")</f>
        <v/>
      </c>
      <c r="D249" s="142" t="str">
        <f t="array" ref="D249">IFERROR(INDEX(BD[],_xlfn.AGGREGATE(15,6,IF(BD[CLASIFICACIÓN]=$B$2,ROW(BD[CLASIFICACIÓN])-ROW('PT2 (FILTRAR)'!$E$5)+1,NA()),ROWS($B$5:D249)),COLUMNS($B$5:D249)),"")</f>
        <v/>
      </c>
      <c r="E249" s="126" t="str">
        <f t="array" ref="E249">IFERROR(INDEX(BD[],_xlfn.AGGREGATE(15,6,IF(BD[CLASIFICACIÓN]=$B$2,ROW(BD[CLASIFICACIÓN])-ROW('PT2 (FILTRAR)'!$E$5)+1,NA()),ROWS($B$5:E249)),COLUMNS($B$5:E249)),"")</f>
        <v/>
      </c>
    </row>
    <row r="250" spans="2:5" x14ac:dyDescent="0.3">
      <c r="B250" s="126" t="str">
        <f t="array" ref="B250">IFERROR(INDEX(BD[],_xlfn.AGGREGATE(15,6,IF(BD[CLASIFICACIÓN]=$B$2,ROW(BD[CLASIFICACIÓN])-ROW('PT2 (FILTRAR)'!$E$5)+1,NA()),ROWS($B$5:B250)),COLUMNS($B$5:B250)),"")</f>
        <v/>
      </c>
      <c r="C250" s="127" t="str">
        <f t="array" ref="C250">IFERROR(INDEX(BD[],_xlfn.AGGREGATE(15,6,IF(BD[CLASIFICACIÓN]=$B$2,ROW(BD[CLASIFICACIÓN])-ROW('PT2 (FILTRAR)'!$E$5)+1,NA()),ROWS($B$5:C250)),COLUMNS($B$5:C250)),"")</f>
        <v/>
      </c>
      <c r="D250" s="142" t="str">
        <f t="array" ref="D250">IFERROR(INDEX(BD[],_xlfn.AGGREGATE(15,6,IF(BD[CLASIFICACIÓN]=$B$2,ROW(BD[CLASIFICACIÓN])-ROW('PT2 (FILTRAR)'!$E$5)+1,NA()),ROWS($B$5:D250)),COLUMNS($B$5:D250)),"")</f>
        <v/>
      </c>
      <c r="E250" s="126" t="str">
        <f t="array" ref="E250">IFERROR(INDEX(BD[],_xlfn.AGGREGATE(15,6,IF(BD[CLASIFICACIÓN]=$B$2,ROW(BD[CLASIFICACIÓN])-ROW('PT2 (FILTRAR)'!$E$5)+1,NA()),ROWS($B$5:E250)),COLUMNS($B$5:E250)),"")</f>
        <v/>
      </c>
    </row>
    <row r="251" spans="2:5" x14ac:dyDescent="0.3">
      <c r="B251" s="126" t="str">
        <f t="array" ref="B251">IFERROR(INDEX(BD[],_xlfn.AGGREGATE(15,6,IF(BD[CLASIFICACIÓN]=$B$2,ROW(BD[CLASIFICACIÓN])-ROW('PT2 (FILTRAR)'!$E$5)+1,NA()),ROWS($B$5:B251)),COLUMNS($B$5:B251)),"")</f>
        <v/>
      </c>
      <c r="C251" s="127" t="str">
        <f t="array" ref="C251">IFERROR(INDEX(BD[],_xlfn.AGGREGATE(15,6,IF(BD[CLASIFICACIÓN]=$B$2,ROW(BD[CLASIFICACIÓN])-ROW('PT2 (FILTRAR)'!$E$5)+1,NA()),ROWS($B$5:C251)),COLUMNS($B$5:C251)),"")</f>
        <v/>
      </c>
      <c r="D251" s="142" t="str">
        <f t="array" ref="D251">IFERROR(INDEX(BD[],_xlfn.AGGREGATE(15,6,IF(BD[CLASIFICACIÓN]=$B$2,ROW(BD[CLASIFICACIÓN])-ROW('PT2 (FILTRAR)'!$E$5)+1,NA()),ROWS($B$5:D251)),COLUMNS($B$5:D251)),"")</f>
        <v/>
      </c>
      <c r="E251" s="126" t="str">
        <f t="array" ref="E251">IFERROR(INDEX(BD[],_xlfn.AGGREGATE(15,6,IF(BD[CLASIFICACIÓN]=$B$2,ROW(BD[CLASIFICACIÓN])-ROW('PT2 (FILTRAR)'!$E$5)+1,NA()),ROWS($B$5:E251)),COLUMNS($B$5:E251)),"")</f>
        <v/>
      </c>
    </row>
    <row r="252" spans="2:5" x14ac:dyDescent="0.3">
      <c r="B252" s="126" t="str">
        <f t="array" ref="B252">IFERROR(INDEX(BD[],_xlfn.AGGREGATE(15,6,IF(BD[CLASIFICACIÓN]=$B$2,ROW(BD[CLASIFICACIÓN])-ROW('PT2 (FILTRAR)'!$E$5)+1,NA()),ROWS($B$5:B252)),COLUMNS($B$5:B252)),"")</f>
        <v/>
      </c>
      <c r="C252" s="127" t="str">
        <f t="array" ref="C252">IFERROR(INDEX(BD[],_xlfn.AGGREGATE(15,6,IF(BD[CLASIFICACIÓN]=$B$2,ROW(BD[CLASIFICACIÓN])-ROW('PT2 (FILTRAR)'!$E$5)+1,NA()),ROWS($B$5:C252)),COLUMNS($B$5:C252)),"")</f>
        <v/>
      </c>
      <c r="D252" s="142" t="str">
        <f t="array" ref="D252">IFERROR(INDEX(BD[],_xlfn.AGGREGATE(15,6,IF(BD[CLASIFICACIÓN]=$B$2,ROW(BD[CLASIFICACIÓN])-ROW('PT2 (FILTRAR)'!$E$5)+1,NA()),ROWS($B$5:D252)),COLUMNS($B$5:D252)),"")</f>
        <v/>
      </c>
      <c r="E252" s="126" t="str">
        <f t="array" ref="E252">IFERROR(INDEX(BD[],_xlfn.AGGREGATE(15,6,IF(BD[CLASIFICACIÓN]=$B$2,ROW(BD[CLASIFICACIÓN])-ROW('PT2 (FILTRAR)'!$E$5)+1,NA()),ROWS($B$5:E252)),COLUMNS($B$5:E252)),"")</f>
        <v/>
      </c>
    </row>
    <row r="253" spans="2:5" x14ac:dyDescent="0.3">
      <c r="B253" s="126" t="str">
        <f t="array" ref="B253">IFERROR(INDEX(BD[],_xlfn.AGGREGATE(15,6,IF(BD[CLASIFICACIÓN]=$B$2,ROW(BD[CLASIFICACIÓN])-ROW('PT2 (FILTRAR)'!$E$5)+1,NA()),ROWS($B$5:B253)),COLUMNS($B$5:B253)),"")</f>
        <v/>
      </c>
      <c r="C253" s="127" t="str">
        <f t="array" ref="C253">IFERROR(INDEX(BD[],_xlfn.AGGREGATE(15,6,IF(BD[CLASIFICACIÓN]=$B$2,ROW(BD[CLASIFICACIÓN])-ROW('PT2 (FILTRAR)'!$E$5)+1,NA()),ROWS($B$5:C253)),COLUMNS($B$5:C253)),"")</f>
        <v/>
      </c>
      <c r="D253" s="142" t="str">
        <f t="array" ref="D253">IFERROR(INDEX(BD[],_xlfn.AGGREGATE(15,6,IF(BD[CLASIFICACIÓN]=$B$2,ROW(BD[CLASIFICACIÓN])-ROW('PT2 (FILTRAR)'!$E$5)+1,NA()),ROWS($B$5:D253)),COLUMNS($B$5:D253)),"")</f>
        <v/>
      </c>
      <c r="E253" s="126" t="str">
        <f t="array" ref="E253">IFERROR(INDEX(BD[],_xlfn.AGGREGATE(15,6,IF(BD[CLASIFICACIÓN]=$B$2,ROW(BD[CLASIFICACIÓN])-ROW('PT2 (FILTRAR)'!$E$5)+1,NA()),ROWS($B$5:E253)),COLUMNS($B$5:E253)),"")</f>
        <v/>
      </c>
    </row>
    <row r="254" spans="2:5" x14ac:dyDescent="0.3">
      <c r="B254" s="126" t="str">
        <f t="array" ref="B254">IFERROR(INDEX(BD[],_xlfn.AGGREGATE(15,6,IF(BD[CLASIFICACIÓN]=$B$2,ROW(BD[CLASIFICACIÓN])-ROW('PT2 (FILTRAR)'!$E$5)+1,NA()),ROWS($B$5:B254)),COLUMNS($B$5:B254)),"")</f>
        <v/>
      </c>
      <c r="C254" s="127" t="str">
        <f t="array" ref="C254">IFERROR(INDEX(BD[],_xlfn.AGGREGATE(15,6,IF(BD[CLASIFICACIÓN]=$B$2,ROW(BD[CLASIFICACIÓN])-ROW('PT2 (FILTRAR)'!$E$5)+1,NA()),ROWS($B$5:C254)),COLUMNS($B$5:C254)),"")</f>
        <v/>
      </c>
      <c r="D254" s="142" t="str">
        <f t="array" ref="D254">IFERROR(INDEX(BD[],_xlfn.AGGREGATE(15,6,IF(BD[CLASIFICACIÓN]=$B$2,ROW(BD[CLASIFICACIÓN])-ROW('PT2 (FILTRAR)'!$E$5)+1,NA()),ROWS($B$5:D254)),COLUMNS($B$5:D254)),"")</f>
        <v/>
      </c>
      <c r="E254" s="126" t="str">
        <f t="array" ref="E254">IFERROR(INDEX(BD[],_xlfn.AGGREGATE(15,6,IF(BD[CLASIFICACIÓN]=$B$2,ROW(BD[CLASIFICACIÓN])-ROW('PT2 (FILTRAR)'!$E$5)+1,NA()),ROWS($B$5:E254)),COLUMNS($B$5:E254)),"")</f>
        <v/>
      </c>
    </row>
    <row r="255" spans="2:5" x14ac:dyDescent="0.3">
      <c r="B255" s="126" t="str">
        <f t="array" ref="B255">IFERROR(INDEX(BD[],_xlfn.AGGREGATE(15,6,IF(BD[CLASIFICACIÓN]=$B$2,ROW(BD[CLASIFICACIÓN])-ROW('PT2 (FILTRAR)'!$E$5)+1,NA()),ROWS($B$5:B255)),COLUMNS($B$5:B255)),"")</f>
        <v/>
      </c>
      <c r="C255" s="127" t="str">
        <f t="array" ref="C255">IFERROR(INDEX(BD[],_xlfn.AGGREGATE(15,6,IF(BD[CLASIFICACIÓN]=$B$2,ROW(BD[CLASIFICACIÓN])-ROW('PT2 (FILTRAR)'!$E$5)+1,NA()),ROWS($B$5:C255)),COLUMNS($B$5:C255)),"")</f>
        <v/>
      </c>
      <c r="D255" s="142" t="str">
        <f t="array" ref="D255">IFERROR(INDEX(BD[],_xlfn.AGGREGATE(15,6,IF(BD[CLASIFICACIÓN]=$B$2,ROW(BD[CLASIFICACIÓN])-ROW('PT2 (FILTRAR)'!$E$5)+1,NA()),ROWS($B$5:D255)),COLUMNS($B$5:D255)),"")</f>
        <v/>
      </c>
      <c r="E255" s="126" t="str">
        <f t="array" ref="E255">IFERROR(INDEX(BD[],_xlfn.AGGREGATE(15,6,IF(BD[CLASIFICACIÓN]=$B$2,ROW(BD[CLASIFICACIÓN])-ROW('PT2 (FILTRAR)'!$E$5)+1,NA()),ROWS($B$5:E255)),COLUMNS($B$5:E255)),"")</f>
        <v/>
      </c>
    </row>
    <row r="256" spans="2:5" x14ac:dyDescent="0.3">
      <c r="B256" s="126" t="str">
        <f t="array" ref="B256">IFERROR(INDEX(BD[],_xlfn.AGGREGATE(15,6,IF(BD[CLASIFICACIÓN]=$B$2,ROW(BD[CLASIFICACIÓN])-ROW('PT2 (FILTRAR)'!$E$5)+1,NA()),ROWS($B$5:B256)),COLUMNS($B$5:B256)),"")</f>
        <v/>
      </c>
      <c r="C256" s="127" t="str">
        <f t="array" ref="C256">IFERROR(INDEX(BD[],_xlfn.AGGREGATE(15,6,IF(BD[CLASIFICACIÓN]=$B$2,ROW(BD[CLASIFICACIÓN])-ROW('PT2 (FILTRAR)'!$E$5)+1,NA()),ROWS($B$5:C256)),COLUMNS($B$5:C256)),"")</f>
        <v/>
      </c>
      <c r="D256" s="142" t="str">
        <f t="array" ref="D256">IFERROR(INDEX(BD[],_xlfn.AGGREGATE(15,6,IF(BD[CLASIFICACIÓN]=$B$2,ROW(BD[CLASIFICACIÓN])-ROW('PT2 (FILTRAR)'!$E$5)+1,NA()),ROWS($B$5:D256)),COLUMNS($B$5:D256)),"")</f>
        <v/>
      </c>
      <c r="E256" s="126" t="str">
        <f t="array" ref="E256">IFERROR(INDEX(BD[],_xlfn.AGGREGATE(15,6,IF(BD[CLASIFICACIÓN]=$B$2,ROW(BD[CLASIFICACIÓN])-ROW('PT2 (FILTRAR)'!$E$5)+1,NA()),ROWS($B$5:E256)),COLUMNS($B$5:E256)),"")</f>
        <v/>
      </c>
    </row>
    <row r="257" spans="2:5" x14ac:dyDescent="0.3">
      <c r="B257" s="126" t="str">
        <f t="array" ref="B257">IFERROR(INDEX(BD[],_xlfn.AGGREGATE(15,6,IF(BD[CLASIFICACIÓN]=$B$2,ROW(BD[CLASIFICACIÓN])-ROW('PT2 (FILTRAR)'!$E$5)+1,NA()),ROWS($B$5:B257)),COLUMNS($B$5:B257)),"")</f>
        <v/>
      </c>
      <c r="C257" s="127" t="str">
        <f t="array" ref="C257">IFERROR(INDEX(BD[],_xlfn.AGGREGATE(15,6,IF(BD[CLASIFICACIÓN]=$B$2,ROW(BD[CLASIFICACIÓN])-ROW('PT2 (FILTRAR)'!$E$5)+1,NA()),ROWS($B$5:C257)),COLUMNS($B$5:C257)),"")</f>
        <v/>
      </c>
      <c r="D257" s="142" t="str">
        <f t="array" ref="D257">IFERROR(INDEX(BD[],_xlfn.AGGREGATE(15,6,IF(BD[CLASIFICACIÓN]=$B$2,ROW(BD[CLASIFICACIÓN])-ROW('PT2 (FILTRAR)'!$E$5)+1,NA()),ROWS($B$5:D257)),COLUMNS($B$5:D257)),"")</f>
        <v/>
      </c>
      <c r="E257" s="126" t="str">
        <f t="array" ref="E257">IFERROR(INDEX(BD[],_xlfn.AGGREGATE(15,6,IF(BD[CLASIFICACIÓN]=$B$2,ROW(BD[CLASIFICACIÓN])-ROW('PT2 (FILTRAR)'!$E$5)+1,NA()),ROWS($B$5:E257)),COLUMNS($B$5:E257)),"")</f>
        <v/>
      </c>
    </row>
    <row r="258" spans="2:5" x14ac:dyDescent="0.3">
      <c r="B258" s="126" t="str">
        <f t="array" ref="B258">IFERROR(INDEX(BD[],_xlfn.AGGREGATE(15,6,IF(BD[CLASIFICACIÓN]=$B$2,ROW(BD[CLASIFICACIÓN])-ROW('PT2 (FILTRAR)'!$E$5)+1,NA()),ROWS($B$5:B258)),COLUMNS($B$5:B258)),"")</f>
        <v/>
      </c>
      <c r="C258" s="127" t="str">
        <f t="array" ref="C258">IFERROR(INDEX(BD[],_xlfn.AGGREGATE(15,6,IF(BD[CLASIFICACIÓN]=$B$2,ROW(BD[CLASIFICACIÓN])-ROW('PT2 (FILTRAR)'!$E$5)+1,NA()),ROWS($B$5:C258)),COLUMNS($B$5:C258)),"")</f>
        <v/>
      </c>
      <c r="D258" s="142" t="str">
        <f t="array" ref="D258">IFERROR(INDEX(BD[],_xlfn.AGGREGATE(15,6,IF(BD[CLASIFICACIÓN]=$B$2,ROW(BD[CLASIFICACIÓN])-ROW('PT2 (FILTRAR)'!$E$5)+1,NA()),ROWS($B$5:D258)),COLUMNS($B$5:D258)),"")</f>
        <v/>
      </c>
      <c r="E258" s="126" t="str">
        <f t="array" ref="E258">IFERROR(INDEX(BD[],_xlfn.AGGREGATE(15,6,IF(BD[CLASIFICACIÓN]=$B$2,ROW(BD[CLASIFICACIÓN])-ROW('PT2 (FILTRAR)'!$E$5)+1,NA()),ROWS($B$5:E258)),COLUMNS($B$5:E258)),"")</f>
        <v/>
      </c>
    </row>
    <row r="259" spans="2:5" x14ac:dyDescent="0.3">
      <c r="B259" s="126" t="str">
        <f t="array" ref="B259">IFERROR(INDEX(BD[],_xlfn.AGGREGATE(15,6,IF(BD[CLASIFICACIÓN]=$B$2,ROW(BD[CLASIFICACIÓN])-ROW('PT2 (FILTRAR)'!$E$5)+1,NA()),ROWS($B$5:B259)),COLUMNS($B$5:B259)),"")</f>
        <v/>
      </c>
      <c r="C259" s="127" t="str">
        <f t="array" ref="C259">IFERROR(INDEX(BD[],_xlfn.AGGREGATE(15,6,IF(BD[CLASIFICACIÓN]=$B$2,ROW(BD[CLASIFICACIÓN])-ROW('PT2 (FILTRAR)'!$E$5)+1,NA()),ROWS($B$5:C259)),COLUMNS($B$5:C259)),"")</f>
        <v/>
      </c>
      <c r="D259" s="142" t="str">
        <f t="array" ref="D259">IFERROR(INDEX(BD[],_xlfn.AGGREGATE(15,6,IF(BD[CLASIFICACIÓN]=$B$2,ROW(BD[CLASIFICACIÓN])-ROW('PT2 (FILTRAR)'!$E$5)+1,NA()),ROWS($B$5:D259)),COLUMNS($B$5:D259)),"")</f>
        <v/>
      </c>
      <c r="E259" s="126" t="str">
        <f t="array" ref="E259">IFERROR(INDEX(BD[],_xlfn.AGGREGATE(15,6,IF(BD[CLASIFICACIÓN]=$B$2,ROW(BD[CLASIFICACIÓN])-ROW('PT2 (FILTRAR)'!$E$5)+1,NA()),ROWS($B$5:E259)),COLUMNS($B$5:E259)),"")</f>
        <v/>
      </c>
    </row>
    <row r="260" spans="2:5" x14ac:dyDescent="0.3">
      <c r="B260" s="126" t="str">
        <f t="array" ref="B260">IFERROR(INDEX(BD[],_xlfn.AGGREGATE(15,6,IF(BD[CLASIFICACIÓN]=$B$2,ROW(BD[CLASIFICACIÓN])-ROW('PT2 (FILTRAR)'!$E$5)+1,NA()),ROWS($B$5:B260)),COLUMNS($B$5:B260)),"")</f>
        <v/>
      </c>
      <c r="C260" s="127" t="str">
        <f t="array" ref="C260">IFERROR(INDEX(BD[],_xlfn.AGGREGATE(15,6,IF(BD[CLASIFICACIÓN]=$B$2,ROW(BD[CLASIFICACIÓN])-ROW('PT2 (FILTRAR)'!$E$5)+1,NA()),ROWS($B$5:C260)),COLUMNS($B$5:C260)),"")</f>
        <v/>
      </c>
      <c r="D260" s="142" t="str">
        <f t="array" ref="D260">IFERROR(INDEX(BD[],_xlfn.AGGREGATE(15,6,IF(BD[CLASIFICACIÓN]=$B$2,ROW(BD[CLASIFICACIÓN])-ROW('PT2 (FILTRAR)'!$E$5)+1,NA()),ROWS($B$5:D260)),COLUMNS($B$5:D260)),"")</f>
        <v/>
      </c>
      <c r="E260" s="126" t="str">
        <f t="array" ref="E260">IFERROR(INDEX(BD[],_xlfn.AGGREGATE(15,6,IF(BD[CLASIFICACIÓN]=$B$2,ROW(BD[CLASIFICACIÓN])-ROW('PT2 (FILTRAR)'!$E$5)+1,NA()),ROWS($B$5:E260)),COLUMNS($B$5:E260)),"")</f>
        <v/>
      </c>
    </row>
    <row r="261" spans="2:5" x14ac:dyDescent="0.3">
      <c r="B261" s="126" t="str">
        <f t="array" ref="B261">IFERROR(INDEX(BD[],_xlfn.AGGREGATE(15,6,IF(BD[CLASIFICACIÓN]=$B$2,ROW(BD[CLASIFICACIÓN])-ROW('PT2 (FILTRAR)'!$E$5)+1,NA()),ROWS($B$5:B261)),COLUMNS($B$5:B261)),"")</f>
        <v/>
      </c>
      <c r="C261" s="127" t="str">
        <f t="array" ref="C261">IFERROR(INDEX(BD[],_xlfn.AGGREGATE(15,6,IF(BD[CLASIFICACIÓN]=$B$2,ROW(BD[CLASIFICACIÓN])-ROW('PT2 (FILTRAR)'!$E$5)+1,NA()),ROWS($B$5:C261)),COLUMNS($B$5:C261)),"")</f>
        <v/>
      </c>
      <c r="D261" s="142" t="str">
        <f t="array" ref="D261">IFERROR(INDEX(BD[],_xlfn.AGGREGATE(15,6,IF(BD[CLASIFICACIÓN]=$B$2,ROW(BD[CLASIFICACIÓN])-ROW('PT2 (FILTRAR)'!$E$5)+1,NA()),ROWS($B$5:D261)),COLUMNS($B$5:D261)),"")</f>
        <v/>
      </c>
      <c r="E261" s="126" t="str">
        <f t="array" ref="E261">IFERROR(INDEX(BD[],_xlfn.AGGREGATE(15,6,IF(BD[CLASIFICACIÓN]=$B$2,ROW(BD[CLASIFICACIÓN])-ROW('PT2 (FILTRAR)'!$E$5)+1,NA()),ROWS($B$5:E261)),COLUMNS($B$5:E261)),"")</f>
        <v/>
      </c>
    </row>
    <row r="262" spans="2:5" x14ac:dyDescent="0.3">
      <c r="B262" s="126" t="str">
        <f t="array" ref="B262">IFERROR(INDEX(BD[],_xlfn.AGGREGATE(15,6,IF(BD[CLASIFICACIÓN]=$B$2,ROW(BD[CLASIFICACIÓN])-ROW('PT2 (FILTRAR)'!$E$5)+1,NA()),ROWS($B$5:B262)),COLUMNS($B$5:B262)),"")</f>
        <v/>
      </c>
      <c r="C262" s="127" t="str">
        <f t="array" ref="C262">IFERROR(INDEX(BD[],_xlfn.AGGREGATE(15,6,IF(BD[CLASIFICACIÓN]=$B$2,ROW(BD[CLASIFICACIÓN])-ROW('PT2 (FILTRAR)'!$E$5)+1,NA()),ROWS($B$5:C262)),COLUMNS($B$5:C262)),"")</f>
        <v/>
      </c>
      <c r="D262" s="142" t="str">
        <f t="array" ref="D262">IFERROR(INDEX(BD[],_xlfn.AGGREGATE(15,6,IF(BD[CLASIFICACIÓN]=$B$2,ROW(BD[CLASIFICACIÓN])-ROW('PT2 (FILTRAR)'!$E$5)+1,NA()),ROWS($B$5:D262)),COLUMNS($B$5:D262)),"")</f>
        <v/>
      </c>
      <c r="E262" s="126" t="str">
        <f t="array" ref="E262">IFERROR(INDEX(BD[],_xlfn.AGGREGATE(15,6,IF(BD[CLASIFICACIÓN]=$B$2,ROW(BD[CLASIFICACIÓN])-ROW('PT2 (FILTRAR)'!$E$5)+1,NA()),ROWS($B$5:E262)),COLUMNS($B$5:E262)),"")</f>
        <v/>
      </c>
    </row>
    <row r="263" spans="2:5" x14ac:dyDescent="0.3">
      <c r="B263" s="126" t="str">
        <f t="array" ref="B263">IFERROR(INDEX(BD[],_xlfn.AGGREGATE(15,6,IF(BD[CLASIFICACIÓN]=$B$2,ROW(BD[CLASIFICACIÓN])-ROW('PT2 (FILTRAR)'!$E$5)+1,NA()),ROWS($B$5:B263)),COLUMNS($B$5:B263)),"")</f>
        <v/>
      </c>
      <c r="C263" s="127" t="str">
        <f t="array" ref="C263">IFERROR(INDEX(BD[],_xlfn.AGGREGATE(15,6,IF(BD[CLASIFICACIÓN]=$B$2,ROW(BD[CLASIFICACIÓN])-ROW('PT2 (FILTRAR)'!$E$5)+1,NA()),ROWS($B$5:C263)),COLUMNS($B$5:C263)),"")</f>
        <v/>
      </c>
      <c r="D263" s="142" t="str">
        <f t="array" ref="D263">IFERROR(INDEX(BD[],_xlfn.AGGREGATE(15,6,IF(BD[CLASIFICACIÓN]=$B$2,ROW(BD[CLASIFICACIÓN])-ROW('PT2 (FILTRAR)'!$E$5)+1,NA()),ROWS($B$5:D263)),COLUMNS($B$5:D263)),"")</f>
        <v/>
      </c>
      <c r="E263" s="126" t="str">
        <f t="array" ref="E263">IFERROR(INDEX(BD[],_xlfn.AGGREGATE(15,6,IF(BD[CLASIFICACIÓN]=$B$2,ROW(BD[CLASIFICACIÓN])-ROW('PT2 (FILTRAR)'!$E$5)+1,NA()),ROWS($B$5:E263)),COLUMNS($B$5:E263)),"")</f>
        <v/>
      </c>
    </row>
    <row r="264" spans="2:5" x14ac:dyDescent="0.3">
      <c r="B264" s="126" t="str">
        <f t="array" ref="B264">IFERROR(INDEX(BD[],_xlfn.AGGREGATE(15,6,IF(BD[CLASIFICACIÓN]=$B$2,ROW(BD[CLASIFICACIÓN])-ROW('PT2 (FILTRAR)'!$E$5)+1,NA()),ROWS($B$5:B264)),COLUMNS($B$5:B264)),"")</f>
        <v/>
      </c>
      <c r="C264" s="127" t="str">
        <f t="array" ref="C264">IFERROR(INDEX(BD[],_xlfn.AGGREGATE(15,6,IF(BD[CLASIFICACIÓN]=$B$2,ROW(BD[CLASIFICACIÓN])-ROW('PT2 (FILTRAR)'!$E$5)+1,NA()),ROWS($B$5:C264)),COLUMNS($B$5:C264)),"")</f>
        <v/>
      </c>
      <c r="D264" s="142" t="str">
        <f t="array" ref="D264">IFERROR(INDEX(BD[],_xlfn.AGGREGATE(15,6,IF(BD[CLASIFICACIÓN]=$B$2,ROW(BD[CLASIFICACIÓN])-ROW('PT2 (FILTRAR)'!$E$5)+1,NA()),ROWS($B$5:D264)),COLUMNS($B$5:D264)),"")</f>
        <v/>
      </c>
      <c r="E264" s="126" t="str">
        <f t="array" ref="E264">IFERROR(INDEX(BD[],_xlfn.AGGREGATE(15,6,IF(BD[CLASIFICACIÓN]=$B$2,ROW(BD[CLASIFICACIÓN])-ROW('PT2 (FILTRAR)'!$E$5)+1,NA()),ROWS($B$5:E264)),COLUMNS($B$5:E264)),"")</f>
        <v/>
      </c>
    </row>
    <row r="265" spans="2:5" x14ac:dyDescent="0.3">
      <c r="B265" s="126" t="str">
        <f t="array" ref="B265">IFERROR(INDEX(BD[],_xlfn.AGGREGATE(15,6,IF(BD[CLASIFICACIÓN]=$B$2,ROW(BD[CLASIFICACIÓN])-ROW('PT2 (FILTRAR)'!$E$5)+1,NA()),ROWS($B$5:B265)),COLUMNS($B$5:B265)),"")</f>
        <v/>
      </c>
      <c r="C265" s="127" t="str">
        <f t="array" ref="C265">IFERROR(INDEX(BD[],_xlfn.AGGREGATE(15,6,IF(BD[CLASIFICACIÓN]=$B$2,ROW(BD[CLASIFICACIÓN])-ROW('PT2 (FILTRAR)'!$E$5)+1,NA()),ROWS($B$5:C265)),COLUMNS($B$5:C265)),"")</f>
        <v/>
      </c>
      <c r="D265" s="142" t="str">
        <f t="array" ref="D265">IFERROR(INDEX(BD[],_xlfn.AGGREGATE(15,6,IF(BD[CLASIFICACIÓN]=$B$2,ROW(BD[CLASIFICACIÓN])-ROW('PT2 (FILTRAR)'!$E$5)+1,NA()),ROWS($B$5:D265)),COLUMNS($B$5:D265)),"")</f>
        <v/>
      </c>
      <c r="E265" s="126" t="str">
        <f t="array" ref="E265">IFERROR(INDEX(BD[],_xlfn.AGGREGATE(15,6,IF(BD[CLASIFICACIÓN]=$B$2,ROW(BD[CLASIFICACIÓN])-ROW('PT2 (FILTRAR)'!$E$5)+1,NA()),ROWS($B$5:E265)),COLUMNS($B$5:E265)),"")</f>
        <v/>
      </c>
    </row>
    <row r="266" spans="2:5" x14ac:dyDescent="0.3">
      <c r="B266" s="126" t="str">
        <f t="array" ref="B266">IFERROR(INDEX(BD[],_xlfn.AGGREGATE(15,6,IF(BD[CLASIFICACIÓN]=$B$2,ROW(BD[CLASIFICACIÓN])-ROW('PT2 (FILTRAR)'!$E$5)+1,NA()),ROWS($B$5:B266)),COLUMNS($B$5:B266)),"")</f>
        <v/>
      </c>
      <c r="C266" s="127" t="str">
        <f t="array" ref="C266">IFERROR(INDEX(BD[],_xlfn.AGGREGATE(15,6,IF(BD[CLASIFICACIÓN]=$B$2,ROW(BD[CLASIFICACIÓN])-ROW('PT2 (FILTRAR)'!$E$5)+1,NA()),ROWS($B$5:C266)),COLUMNS($B$5:C266)),"")</f>
        <v/>
      </c>
      <c r="D266" s="142" t="str">
        <f t="array" ref="D266">IFERROR(INDEX(BD[],_xlfn.AGGREGATE(15,6,IF(BD[CLASIFICACIÓN]=$B$2,ROW(BD[CLASIFICACIÓN])-ROW('PT2 (FILTRAR)'!$E$5)+1,NA()),ROWS($B$5:D266)),COLUMNS($B$5:D266)),"")</f>
        <v/>
      </c>
      <c r="E266" s="126" t="str">
        <f t="array" ref="E266">IFERROR(INDEX(BD[],_xlfn.AGGREGATE(15,6,IF(BD[CLASIFICACIÓN]=$B$2,ROW(BD[CLASIFICACIÓN])-ROW('PT2 (FILTRAR)'!$E$5)+1,NA()),ROWS($B$5:E266)),COLUMNS($B$5:E266)),"")</f>
        <v/>
      </c>
    </row>
    <row r="267" spans="2:5" x14ac:dyDescent="0.3">
      <c r="B267" s="126" t="str">
        <f t="array" ref="B267">IFERROR(INDEX(BD[],_xlfn.AGGREGATE(15,6,IF(BD[CLASIFICACIÓN]=$B$2,ROW(BD[CLASIFICACIÓN])-ROW('PT2 (FILTRAR)'!$E$5)+1,NA()),ROWS($B$5:B267)),COLUMNS($B$5:B267)),"")</f>
        <v/>
      </c>
      <c r="C267" s="127" t="str">
        <f t="array" ref="C267">IFERROR(INDEX(BD[],_xlfn.AGGREGATE(15,6,IF(BD[CLASIFICACIÓN]=$B$2,ROW(BD[CLASIFICACIÓN])-ROW('PT2 (FILTRAR)'!$E$5)+1,NA()),ROWS($B$5:C267)),COLUMNS($B$5:C267)),"")</f>
        <v/>
      </c>
      <c r="D267" s="142" t="str">
        <f t="array" ref="D267">IFERROR(INDEX(BD[],_xlfn.AGGREGATE(15,6,IF(BD[CLASIFICACIÓN]=$B$2,ROW(BD[CLASIFICACIÓN])-ROW('PT2 (FILTRAR)'!$E$5)+1,NA()),ROWS($B$5:D267)),COLUMNS($B$5:D267)),"")</f>
        <v/>
      </c>
      <c r="E267" s="126" t="str">
        <f t="array" ref="E267">IFERROR(INDEX(BD[],_xlfn.AGGREGATE(15,6,IF(BD[CLASIFICACIÓN]=$B$2,ROW(BD[CLASIFICACIÓN])-ROW('PT2 (FILTRAR)'!$E$5)+1,NA()),ROWS($B$5:E267)),COLUMNS($B$5:E267)),"")</f>
        <v/>
      </c>
    </row>
    <row r="268" spans="2:5" x14ac:dyDescent="0.3">
      <c r="B268" s="126" t="str">
        <f t="array" ref="B268">IFERROR(INDEX(BD[],_xlfn.AGGREGATE(15,6,IF(BD[CLASIFICACIÓN]=$B$2,ROW(BD[CLASIFICACIÓN])-ROW('PT2 (FILTRAR)'!$E$5)+1,NA()),ROWS($B$5:B268)),COLUMNS($B$5:B268)),"")</f>
        <v/>
      </c>
      <c r="C268" s="127" t="str">
        <f t="array" ref="C268">IFERROR(INDEX(BD[],_xlfn.AGGREGATE(15,6,IF(BD[CLASIFICACIÓN]=$B$2,ROW(BD[CLASIFICACIÓN])-ROW('PT2 (FILTRAR)'!$E$5)+1,NA()),ROWS($B$5:C268)),COLUMNS($B$5:C268)),"")</f>
        <v/>
      </c>
      <c r="D268" s="142" t="str">
        <f t="array" ref="D268">IFERROR(INDEX(BD[],_xlfn.AGGREGATE(15,6,IF(BD[CLASIFICACIÓN]=$B$2,ROW(BD[CLASIFICACIÓN])-ROW('PT2 (FILTRAR)'!$E$5)+1,NA()),ROWS($B$5:D268)),COLUMNS($B$5:D268)),"")</f>
        <v/>
      </c>
      <c r="E268" s="126" t="str">
        <f t="array" ref="E268">IFERROR(INDEX(BD[],_xlfn.AGGREGATE(15,6,IF(BD[CLASIFICACIÓN]=$B$2,ROW(BD[CLASIFICACIÓN])-ROW('PT2 (FILTRAR)'!$E$5)+1,NA()),ROWS($B$5:E268)),COLUMNS($B$5:E268)),"")</f>
        <v/>
      </c>
    </row>
    <row r="269" spans="2:5" x14ac:dyDescent="0.3">
      <c r="B269" s="126" t="str">
        <f t="array" ref="B269">IFERROR(INDEX(BD[],_xlfn.AGGREGATE(15,6,IF(BD[CLASIFICACIÓN]=$B$2,ROW(BD[CLASIFICACIÓN])-ROW('PT2 (FILTRAR)'!$E$5)+1,NA()),ROWS($B$5:B269)),COLUMNS($B$5:B269)),"")</f>
        <v/>
      </c>
      <c r="C269" s="127" t="str">
        <f t="array" ref="C269">IFERROR(INDEX(BD[],_xlfn.AGGREGATE(15,6,IF(BD[CLASIFICACIÓN]=$B$2,ROW(BD[CLASIFICACIÓN])-ROW('PT2 (FILTRAR)'!$E$5)+1,NA()),ROWS($B$5:C269)),COLUMNS($B$5:C269)),"")</f>
        <v/>
      </c>
      <c r="D269" s="142" t="str">
        <f t="array" ref="D269">IFERROR(INDEX(BD[],_xlfn.AGGREGATE(15,6,IF(BD[CLASIFICACIÓN]=$B$2,ROW(BD[CLASIFICACIÓN])-ROW('PT2 (FILTRAR)'!$E$5)+1,NA()),ROWS($B$5:D269)),COLUMNS($B$5:D269)),"")</f>
        <v/>
      </c>
      <c r="E269" s="126" t="str">
        <f t="array" ref="E269">IFERROR(INDEX(BD[],_xlfn.AGGREGATE(15,6,IF(BD[CLASIFICACIÓN]=$B$2,ROW(BD[CLASIFICACIÓN])-ROW('PT2 (FILTRAR)'!$E$5)+1,NA()),ROWS($B$5:E269)),COLUMNS($B$5:E269)),"")</f>
        <v/>
      </c>
    </row>
    <row r="270" spans="2:5" x14ac:dyDescent="0.3">
      <c r="B270" s="126" t="str">
        <f t="array" ref="B270">IFERROR(INDEX(BD[],_xlfn.AGGREGATE(15,6,IF(BD[CLASIFICACIÓN]=$B$2,ROW(BD[CLASIFICACIÓN])-ROW('PT2 (FILTRAR)'!$E$5)+1,NA()),ROWS($B$5:B270)),COLUMNS($B$5:B270)),"")</f>
        <v/>
      </c>
      <c r="C270" s="127" t="str">
        <f t="array" ref="C270">IFERROR(INDEX(BD[],_xlfn.AGGREGATE(15,6,IF(BD[CLASIFICACIÓN]=$B$2,ROW(BD[CLASIFICACIÓN])-ROW('PT2 (FILTRAR)'!$E$5)+1,NA()),ROWS($B$5:C270)),COLUMNS($B$5:C270)),"")</f>
        <v/>
      </c>
      <c r="D270" s="142" t="str">
        <f t="array" ref="D270">IFERROR(INDEX(BD[],_xlfn.AGGREGATE(15,6,IF(BD[CLASIFICACIÓN]=$B$2,ROW(BD[CLASIFICACIÓN])-ROW('PT2 (FILTRAR)'!$E$5)+1,NA()),ROWS($B$5:D270)),COLUMNS($B$5:D270)),"")</f>
        <v/>
      </c>
      <c r="E270" s="126" t="str">
        <f t="array" ref="E270">IFERROR(INDEX(BD[],_xlfn.AGGREGATE(15,6,IF(BD[CLASIFICACIÓN]=$B$2,ROW(BD[CLASIFICACIÓN])-ROW('PT2 (FILTRAR)'!$E$5)+1,NA()),ROWS($B$5:E270)),COLUMNS($B$5:E270)),"")</f>
        <v/>
      </c>
    </row>
    <row r="271" spans="2:5" x14ac:dyDescent="0.3">
      <c r="B271" s="126" t="str">
        <f t="array" ref="B271">IFERROR(INDEX(BD[],_xlfn.AGGREGATE(15,6,IF(BD[CLASIFICACIÓN]=$B$2,ROW(BD[CLASIFICACIÓN])-ROW('PT2 (FILTRAR)'!$E$5)+1,NA()),ROWS($B$5:B271)),COLUMNS($B$5:B271)),"")</f>
        <v/>
      </c>
      <c r="C271" s="127" t="str">
        <f t="array" ref="C271">IFERROR(INDEX(BD[],_xlfn.AGGREGATE(15,6,IF(BD[CLASIFICACIÓN]=$B$2,ROW(BD[CLASIFICACIÓN])-ROW('PT2 (FILTRAR)'!$E$5)+1,NA()),ROWS($B$5:C271)),COLUMNS($B$5:C271)),"")</f>
        <v/>
      </c>
      <c r="D271" s="142" t="str">
        <f t="array" ref="D271">IFERROR(INDEX(BD[],_xlfn.AGGREGATE(15,6,IF(BD[CLASIFICACIÓN]=$B$2,ROW(BD[CLASIFICACIÓN])-ROW('PT2 (FILTRAR)'!$E$5)+1,NA()),ROWS($B$5:D271)),COLUMNS($B$5:D271)),"")</f>
        <v/>
      </c>
      <c r="E271" s="126" t="str">
        <f t="array" ref="E271">IFERROR(INDEX(BD[],_xlfn.AGGREGATE(15,6,IF(BD[CLASIFICACIÓN]=$B$2,ROW(BD[CLASIFICACIÓN])-ROW('PT2 (FILTRAR)'!$E$5)+1,NA()),ROWS($B$5:E271)),COLUMNS($B$5:E271)),"")</f>
        <v/>
      </c>
    </row>
    <row r="272" spans="2:5" ht="18" x14ac:dyDescent="0.35">
      <c r="B272" s="144" t="s">
        <v>14</v>
      </c>
      <c r="C272" s="144" t="str">
        <f>+B2</f>
        <v>SIN ADEUDO</v>
      </c>
      <c r="D272" s="125">
        <f>SUM(D5:D271)</f>
        <v>0</v>
      </c>
    </row>
  </sheetData>
  <mergeCells count="1">
    <mergeCell ref="B2:E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387F-0002-4345-A184-54848EDF1F2E}">
  <sheetPr codeName="Hoja7"/>
  <dimension ref="B1:E272"/>
  <sheetViews>
    <sheetView topLeftCell="A4" workbookViewId="0">
      <selection activeCell="K12" sqref="K12"/>
    </sheetView>
  </sheetViews>
  <sheetFormatPr baseColWidth="10" defaultColWidth="11.5546875" defaultRowHeight="14.4" x14ac:dyDescent="0.3"/>
  <cols>
    <col min="1" max="1" width="11.5546875" style="105"/>
    <col min="2" max="2" width="27.6640625" style="103" bestFit="1" customWidth="1"/>
    <col min="3" max="3" width="49.6640625" style="105" customWidth="1"/>
    <col min="4" max="4" width="20.5546875" style="105" customWidth="1"/>
    <col min="5" max="5" width="23.6640625" style="103" customWidth="1"/>
    <col min="6" max="16384" width="11.5546875" style="105"/>
  </cols>
  <sheetData>
    <row r="1" spans="2:5" x14ac:dyDescent="0.3">
      <c r="C1" s="139"/>
      <c r="D1" s="103"/>
    </row>
    <row r="2" spans="2:5" ht="22.95" customHeight="1" x14ac:dyDescent="0.45">
      <c r="B2" s="164" t="s">
        <v>33</v>
      </c>
      <c r="C2" s="164"/>
      <c r="D2" s="164"/>
      <c r="E2" s="164"/>
    </row>
    <row r="4" spans="2:5" s="116" customFormat="1" ht="28.95" customHeight="1" x14ac:dyDescent="0.3">
      <c r="B4" s="149" t="s">
        <v>1</v>
      </c>
      <c r="C4" s="149" t="s">
        <v>0</v>
      </c>
      <c r="D4" s="149" t="str">
        <f>[1]!'@PERIODO[A]'</f>
        <v>Abril/2026</v>
      </c>
      <c r="E4" s="149" t="s">
        <v>11</v>
      </c>
    </row>
    <row r="5" spans="2:5" x14ac:dyDescent="0.3">
      <c r="B5" s="126" t="str">
        <f t="array" ref="B5">IFERROR(INDEX(BD[],_xlfn.AGGREGATE(15,6,IF(BD[CLASIFICACIÓN]=$B$2,ROW(BD[CLASIFICACIÓN])-ROW('PT2 (FILTRAR)'!$E$5)+1,NA()),ROWS($B$5:B5)),COLUMNS($B$5:B5)),"")</f>
        <v>104-003-042</v>
      </c>
      <c r="C5" s="127" t="str">
        <f t="array" ref="C5">IFERROR(INDEX(BD[],_xlfn.AGGREGATE(15,6,IF(BD[CLASIFICACIÓN]=$B$2,ROW(BD[CLASIFICACIÓN])-ROW('PT2 (FILTRAR)'!$E$5)+1,NA()),ROWS($B$5:C5)),COLUMNS($B$5:C5)),"")</f>
        <v>O2-2106 JACOBO MIZRAHI</v>
      </c>
      <c r="D5" s="142">
        <f t="array" ref="D5">IFERROR(INDEX(BD[],_xlfn.AGGREGATE(15,6,IF(BD[CLASIFICACIÓN]=$B$2,ROW(BD[CLASIFICACIÓN])-ROW('PT2 (FILTRAR)'!$E$5)+1,NA()),ROWS($B$5:D5)),COLUMNS($B$5:D5)),"")</f>
        <v>-2.9103830456733704E-11</v>
      </c>
      <c r="E5" s="126" t="str">
        <f t="array" ref="E5">IFERROR(INDEX(BD[],_xlfn.AGGREGATE(15,6,IF(BD[CLASIFICACIÓN]=$B$2,ROW(BD[CLASIFICACIÓN])-ROW('PT2 (FILTRAR)'!$E$5)+1,NA()),ROWS($B$5:E5)),COLUMNS($B$5:E5)),"")</f>
        <v>ANTICIPOS</v>
      </c>
    </row>
    <row r="6" spans="2:5" x14ac:dyDescent="0.3">
      <c r="B6" s="126" t="str">
        <f t="array" ref="B6">IFERROR(INDEX(BD[],_xlfn.AGGREGATE(15,6,IF(BD[CLASIFICACIÓN]=$B$2,ROW(BD[CLASIFICACIÓN])-ROW('PT2 (FILTRAR)'!$E$5)+1,NA()),ROWS($B$5:B6)),COLUMNS($B$5:B6)),"")</f>
        <v>104-002-020</v>
      </c>
      <c r="C6" s="127" t="str">
        <f t="array" ref="C6">IFERROR(INDEX(BD[],_xlfn.AGGREGATE(15,6,IF(BD[CLASIFICACIÓN]=$B$2,ROW(BD[CLASIFICACIÓN])-ROW('PT2 (FILTRAR)'!$E$5)+1,NA()),ROWS($B$5:C6)),COLUMNS($B$5:C6)),"")</f>
        <v>O1-1004 NISSIM MANN</v>
      </c>
      <c r="D6" s="142">
        <f t="array" ref="D6">IFERROR(INDEX(BD[],_xlfn.AGGREGATE(15,6,IF(BD[CLASIFICACIÓN]=$B$2,ROW(BD[CLASIFICACIÓN])-ROW('PT2 (FILTRAR)'!$E$5)+1,NA()),ROWS($B$5:D6)),COLUMNS($B$5:D6)),"")</f>
        <v>-2.9103830456733704E-11</v>
      </c>
      <c r="E6" s="126" t="str">
        <f t="array" ref="E6">IFERROR(INDEX(BD[],_xlfn.AGGREGATE(15,6,IF(BD[CLASIFICACIÓN]=$B$2,ROW(BD[CLASIFICACIÓN])-ROW('PT2 (FILTRAR)'!$E$5)+1,NA()),ROWS($B$5:E6)),COLUMNS($B$5:E6)),"")</f>
        <v>ANTICIPOS</v>
      </c>
    </row>
    <row r="7" spans="2:5" x14ac:dyDescent="0.3">
      <c r="B7" s="126" t="str">
        <f t="array" ref="B7">IFERROR(INDEX(BD[],_xlfn.AGGREGATE(15,6,IF(BD[CLASIFICACIÓN]=$B$2,ROW(BD[CLASIFICACIÓN])-ROW('PT2 (FILTRAR)'!$E$5)+1,NA()),ROWS($B$5:B7)),COLUMNS($B$5:B7)),"")</f>
        <v>104-006-032</v>
      </c>
      <c r="C7" s="127" t="str">
        <f t="array" ref="C7">IFERROR(INDEX(BD[],_xlfn.AGGREGATE(15,6,IF(BD[CLASIFICACIÓN]=$B$2,ROW(BD[CLASIFICACIÓN])-ROW('PT2 (FILTRAR)'!$E$5)+1,NA()),ROWS($B$5:C7)),COLUMNS($B$5:C7)),"")</f>
        <v>C3-1612 RAQUEL SHABOT</v>
      </c>
      <c r="D7" s="142">
        <f t="array" ref="D7">IFERROR(INDEX(BD[],_xlfn.AGGREGATE(15,6,IF(BD[CLASIFICACIÓN]=$B$2,ROW(BD[CLASIFICACIÓN])-ROW('PT2 (FILTRAR)'!$E$5)+1,NA()),ROWS($B$5:D7)),COLUMNS($B$5:D7)),"")</f>
        <v>-98504</v>
      </c>
      <c r="E7" s="126" t="str">
        <f t="array" ref="E7">IFERROR(INDEX(BD[],_xlfn.AGGREGATE(15,6,IF(BD[CLASIFICACIÓN]=$B$2,ROW(BD[CLASIFICACIÓN])-ROW('PT2 (FILTRAR)'!$E$5)+1,NA()),ROWS($B$5:E7)),COLUMNS($B$5:E7)),"")</f>
        <v>ANTICIPOS</v>
      </c>
    </row>
    <row r="8" spans="2:5" x14ac:dyDescent="0.3">
      <c r="B8" s="126" t="str">
        <f t="array" ref="B8">IFERROR(INDEX(BD[],_xlfn.AGGREGATE(15,6,IF(BD[CLASIFICACIÓN]=$B$2,ROW(BD[CLASIFICACIÓN])-ROW('PT2 (FILTRAR)'!$E$5)+1,NA()),ROWS($B$5:B8)),COLUMNS($B$5:B8)),"")</f>
        <v>104-001-045</v>
      </c>
      <c r="C8" s="127" t="str">
        <f t="array" ref="C8">IFERROR(INDEX(BD[],_xlfn.AGGREGATE(15,6,IF(BD[CLASIFICACIÓN]=$B$2,ROW(BD[CLASIFICACIÓN])-ROW('PT2 (FILTRAR)'!$E$5)+1,NA()),ROWS($B$5:C8)),COLUMNS($B$5:C8)),"")</f>
        <v>A-2301 DANIEL BETECH</v>
      </c>
      <c r="D8" s="142">
        <f t="array" ref="D8">IFERROR(INDEX(BD[],_xlfn.AGGREGATE(15,6,IF(BD[CLASIFICACIÓN]=$B$2,ROW(BD[CLASIFICACIÓN])-ROW('PT2 (FILTRAR)'!$E$5)+1,NA()),ROWS($B$5:D8)),COLUMNS($B$5:D8)),"")</f>
        <v>-2.9103830456733704E-11</v>
      </c>
      <c r="E8" s="126" t="str">
        <f t="array" ref="E8">IFERROR(INDEX(BD[],_xlfn.AGGREGATE(15,6,IF(BD[CLASIFICACIÓN]=$B$2,ROW(BD[CLASIFICACIÓN])-ROW('PT2 (FILTRAR)'!$E$5)+1,NA()),ROWS($B$5:E8)),COLUMNS($B$5:E8)),"")</f>
        <v>ANTICIPOS</v>
      </c>
    </row>
    <row r="9" spans="2:5" x14ac:dyDescent="0.3">
      <c r="B9" s="126" t="str">
        <f t="array" ref="B9">IFERROR(INDEX(BD[],_xlfn.AGGREGATE(15,6,IF(BD[CLASIFICACIÓN]=$B$2,ROW(BD[CLASIFICACIÓN])-ROW('PT2 (FILTRAR)'!$E$5)+1,NA()),ROWS($B$5:B9)),COLUMNS($B$5:B9)),"")</f>
        <v>104-001-002</v>
      </c>
      <c r="C9" s="127" t="str">
        <f t="array" ref="C9">IFERROR(INDEX(BD[],_xlfn.AGGREGATE(15,6,IF(BD[CLASIFICACIÓN]=$B$2,ROW(BD[CLASIFICACIÓN])-ROW('PT2 (FILTRAR)'!$E$5)+1,NA()),ROWS($B$5:C9)),COLUMNS($B$5:C9)),"")</f>
        <v>A-102 ANTONIO  BELLORIN</v>
      </c>
      <c r="D9" s="142">
        <f t="array" ref="D9">IFERROR(INDEX(BD[],_xlfn.AGGREGATE(15,6,IF(BD[CLASIFICACIÓN]=$B$2,ROW(BD[CLASIFICACIÓN])-ROW('PT2 (FILTRAR)'!$E$5)+1,NA()),ROWS($B$5:D9)),COLUMNS($B$5:D9)),"")</f>
        <v>-12694</v>
      </c>
      <c r="E9" s="126" t="str">
        <f t="array" ref="E9">IFERROR(INDEX(BD[],_xlfn.AGGREGATE(15,6,IF(BD[CLASIFICACIÓN]=$B$2,ROW(BD[CLASIFICACIÓN])-ROW('PT2 (FILTRAR)'!$E$5)+1,NA()),ROWS($B$5:E9)),COLUMNS($B$5:E9)),"")</f>
        <v>ANTICIPOS</v>
      </c>
    </row>
    <row r="10" spans="2:5" x14ac:dyDescent="0.3">
      <c r="B10" s="126" t="str">
        <f t="array" ref="B10">IFERROR(INDEX(BD[],_xlfn.AGGREGATE(15,6,IF(BD[CLASIFICACIÓN]=$B$2,ROW(BD[CLASIFICACIÓN])-ROW('PT2 (FILTRAR)'!$E$5)+1,NA()),ROWS($B$5:B10)),COLUMNS($B$5:B10)),"")</f>
        <v>104-001-004</v>
      </c>
      <c r="C10" s="127" t="str">
        <f t="array" ref="C10">IFERROR(INDEX(BD[],_xlfn.AGGREGATE(15,6,IF(BD[CLASIFICACIÓN]=$B$2,ROW(BD[CLASIFICACIÓN])-ROW('PT2 (FILTRAR)'!$E$5)+1,NA()),ROWS($B$5:C10)),COLUMNS($B$5:C10)),"")</f>
        <v>A-202 CAROLINA OMAÑA</v>
      </c>
      <c r="D10" s="142">
        <f t="array" ref="D10">IFERROR(INDEX(BD[],_xlfn.AGGREGATE(15,6,IF(BD[CLASIFICACIÓN]=$B$2,ROW(BD[CLASIFICACIÓN])-ROW('PT2 (FILTRAR)'!$E$5)+1,NA()),ROWS($B$5:D10)),COLUMNS($B$5:D10)),"")</f>
        <v>-12694</v>
      </c>
      <c r="E10" s="126" t="str">
        <f t="array" ref="E10">IFERROR(INDEX(BD[],_xlfn.AGGREGATE(15,6,IF(BD[CLASIFICACIÓN]=$B$2,ROW(BD[CLASIFICACIÓN])-ROW('PT2 (FILTRAR)'!$E$5)+1,NA()),ROWS($B$5:E10)),COLUMNS($B$5:E10)),"")</f>
        <v>ANTICIPOS</v>
      </c>
    </row>
    <row r="11" spans="2:5" x14ac:dyDescent="0.3">
      <c r="B11" s="126" t="str">
        <f t="array" ref="B11">IFERROR(INDEX(BD[],_xlfn.AGGREGATE(15,6,IF(BD[CLASIFICACIÓN]=$B$2,ROW(BD[CLASIFICACIÓN])-ROW('PT2 (FILTRAR)'!$E$5)+1,NA()),ROWS($B$5:B11)),COLUMNS($B$5:B11)),"")</f>
        <v>104-001-005</v>
      </c>
      <c r="C11" s="127" t="str">
        <f t="array" ref="C11">IFERROR(INDEX(BD[],_xlfn.AGGREGATE(15,6,IF(BD[CLASIFICACIÓN]=$B$2,ROW(BD[CLASIFICACIÓN])-ROW('PT2 (FILTRAR)'!$E$5)+1,NA()),ROWS($B$5:C11)),COLUMNS($B$5:C11)),"")</f>
        <v>A-301 KAREN VELASQUEZ</v>
      </c>
      <c r="D11" s="142">
        <f t="array" ref="D11">IFERROR(INDEX(BD[],_xlfn.AGGREGATE(15,6,IF(BD[CLASIFICACIÓN]=$B$2,ROW(BD[CLASIFICACIÓN])-ROW('PT2 (FILTRAR)'!$E$5)+1,NA()),ROWS($B$5:D11)),COLUMNS($B$5:D11)),"")</f>
        <v>-38082</v>
      </c>
      <c r="E11" s="126" t="str">
        <f t="array" ref="E11">IFERROR(INDEX(BD[],_xlfn.AGGREGATE(15,6,IF(BD[CLASIFICACIÓN]=$B$2,ROW(BD[CLASIFICACIÓN])-ROW('PT2 (FILTRAR)'!$E$5)+1,NA()),ROWS($B$5:E11)),COLUMNS($B$5:E11)),"")</f>
        <v>ANTICIPOS</v>
      </c>
    </row>
    <row r="12" spans="2:5" x14ac:dyDescent="0.3">
      <c r="B12" s="126" t="str">
        <f t="array" ref="B12">IFERROR(INDEX(BD[],_xlfn.AGGREGATE(15,6,IF(BD[CLASIFICACIÓN]=$B$2,ROW(BD[CLASIFICACIÓN])-ROW('PT2 (FILTRAR)'!$E$5)+1,NA()),ROWS($B$5:B12)),COLUMNS($B$5:B12)),"")</f>
        <v>104-001-008</v>
      </c>
      <c r="C12" s="127" t="str">
        <f t="array" ref="C12">IFERROR(INDEX(BD[],_xlfn.AGGREGATE(15,6,IF(BD[CLASIFICACIÓN]=$B$2,ROW(BD[CLASIFICACIÓN])-ROW('PT2 (FILTRAR)'!$E$5)+1,NA()),ROWS($B$5:C12)),COLUMNS($B$5:C12)),"")</f>
        <v>A-402 ANASTASIA BELLIS</v>
      </c>
      <c r="D12" s="142">
        <f t="array" ref="D12">IFERROR(INDEX(BD[],_xlfn.AGGREGATE(15,6,IF(BD[CLASIFICACIÓN]=$B$2,ROW(BD[CLASIFICACIÓN])-ROW('PT2 (FILTRAR)'!$E$5)+1,NA()),ROWS($B$5:D12)),COLUMNS($B$5:D12)),"")</f>
        <v>-12694</v>
      </c>
      <c r="E12" s="126" t="str">
        <f t="array" ref="E12">IFERROR(INDEX(BD[],_xlfn.AGGREGATE(15,6,IF(BD[CLASIFICACIÓN]=$B$2,ROW(BD[CLASIFICACIÓN])-ROW('PT2 (FILTRAR)'!$E$5)+1,NA()),ROWS($B$5:E12)),COLUMNS($B$5:E12)),"")</f>
        <v>ANTICIPOS</v>
      </c>
    </row>
    <row r="13" spans="2:5" x14ac:dyDescent="0.3">
      <c r="B13" s="126" t="str">
        <f t="array" ref="B13">IFERROR(INDEX(BD[],_xlfn.AGGREGATE(15,6,IF(BD[CLASIFICACIÓN]=$B$2,ROW(BD[CLASIFICACIÓN])-ROW('PT2 (FILTRAR)'!$E$5)+1,NA()),ROWS($B$5:B13)),COLUMNS($B$5:B13)),"")</f>
        <v>104-001-014</v>
      </c>
      <c r="C13" s="127" t="str">
        <f t="array" ref="C13">IFERROR(INDEX(BD[],_xlfn.AGGREGATE(15,6,IF(BD[CLASIFICACIÓN]=$B$2,ROW(BD[CLASIFICACIÓN])-ROW('PT2 (FILTRAR)'!$E$5)+1,NA()),ROWS($B$5:C13)),COLUMNS($B$5:C13)),"")</f>
        <v>A-702 XIMENA DE LASCURAIN</v>
      </c>
      <c r="D13" s="142">
        <f t="array" ref="D13">IFERROR(INDEX(BD[],_xlfn.AGGREGATE(15,6,IF(BD[CLASIFICACIÓN]=$B$2,ROW(BD[CLASIFICACIÓN])-ROW('PT2 (FILTRAR)'!$E$5)+1,NA()),ROWS($B$5:D13)),COLUMNS($B$5:D13)),"")</f>
        <v>-2.9103830456733704E-11</v>
      </c>
      <c r="E13" s="126" t="str">
        <f t="array" ref="E13">IFERROR(INDEX(BD[],_xlfn.AGGREGATE(15,6,IF(BD[CLASIFICACIÓN]=$B$2,ROW(BD[CLASIFICACIÓN])-ROW('PT2 (FILTRAR)'!$E$5)+1,NA()),ROWS($B$5:E13)),COLUMNS($B$5:E13)),"")</f>
        <v>ANTICIPOS</v>
      </c>
    </row>
    <row r="14" spans="2:5" x14ac:dyDescent="0.3">
      <c r="B14" s="126" t="str">
        <f t="array" ref="B14">IFERROR(INDEX(BD[],_xlfn.AGGREGATE(15,6,IF(BD[CLASIFICACIÓN]=$B$2,ROW(BD[CLASIFICACIÓN])-ROW('PT2 (FILTRAR)'!$E$5)+1,NA()),ROWS($B$5:B14)),COLUMNS($B$5:B14)),"")</f>
        <v>104-001-016</v>
      </c>
      <c r="C14" s="127" t="str">
        <f t="array" ref="C14">IFERROR(INDEX(BD[],_xlfn.AGGREGATE(15,6,IF(BD[CLASIFICACIÓN]=$B$2,ROW(BD[CLASIFICACIÓN])-ROW('PT2 (FILTRAR)'!$E$5)+1,NA()),ROWS($B$5:C14)),COLUMNS($B$5:C14)),"")</f>
        <v>A-802 MIREL MIHALIDE</v>
      </c>
      <c r="D14" s="142">
        <f t="array" ref="D14">IFERROR(INDEX(BD[],_xlfn.AGGREGATE(15,6,IF(BD[CLASIFICACIÓN]=$B$2,ROW(BD[CLASIFICACIÓN])-ROW('PT2 (FILTRAR)'!$E$5)+1,NA()),ROWS($B$5:D14)),COLUMNS($B$5:D14)),"")</f>
        <v>-1000</v>
      </c>
      <c r="E14" s="126" t="str">
        <f t="array" ref="E14">IFERROR(INDEX(BD[],_xlfn.AGGREGATE(15,6,IF(BD[CLASIFICACIÓN]=$B$2,ROW(BD[CLASIFICACIÓN])-ROW('PT2 (FILTRAR)'!$E$5)+1,NA()),ROWS($B$5:E14)),COLUMNS($B$5:E14)),"")</f>
        <v>ANTICIPOS</v>
      </c>
    </row>
    <row r="15" spans="2:5" x14ac:dyDescent="0.3">
      <c r="B15" s="126" t="str">
        <f t="array" ref="B15">IFERROR(INDEX(BD[],_xlfn.AGGREGATE(15,6,IF(BD[CLASIFICACIÓN]=$B$2,ROW(BD[CLASIFICACIÓN])-ROW('PT2 (FILTRAR)'!$E$5)+1,NA()),ROWS($B$5:B15)),COLUMNS($B$5:B15)),"")</f>
        <v>104-001-032</v>
      </c>
      <c r="C15" s="127" t="str">
        <f t="array" ref="C15">IFERROR(INDEX(BD[],_xlfn.AGGREGATE(15,6,IF(BD[CLASIFICACIÓN]=$B$2,ROW(BD[CLASIFICACIÓN])-ROW('PT2 (FILTRAR)'!$E$5)+1,NA()),ROWS($B$5:C15)),COLUMNS($B$5:C15)),"")</f>
        <v>A-1602 ESTRELLA BEHAR</v>
      </c>
      <c r="D15" s="142">
        <f t="array" ref="D15">IFERROR(INDEX(BD[],_xlfn.AGGREGATE(15,6,IF(BD[CLASIFICACIÓN]=$B$2,ROW(BD[CLASIFICACIÓN])-ROW('PT2 (FILTRAR)'!$E$5)+1,NA()),ROWS($B$5:D15)),COLUMNS($B$5:D15)),"")</f>
        <v>-98504</v>
      </c>
      <c r="E15" s="126" t="str">
        <f t="array" ref="E15">IFERROR(INDEX(BD[],_xlfn.AGGREGATE(15,6,IF(BD[CLASIFICACIÓN]=$B$2,ROW(BD[CLASIFICACIÓN])-ROW('PT2 (FILTRAR)'!$E$5)+1,NA()),ROWS($B$5:E15)),COLUMNS($B$5:E15)),"")</f>
        <v>ANTICIPOS</v>
      </c>
    </row>
    <row r="16" spans="2:5" x14ac:dyDescent="0.3">
      <c r="B16" s="126" t="str">
        <f t="array" ref="B16">IFERROR(INDEX(BD[],_xlfn.AGGREGATE(15,6,IF(BD[CLASIFICACIÓN]=$B$2,ROW(BD[CLASIFICACIÓN])-ROW('PT2 (FILTRAR)'!$E$5)+1,NA()),ROWS($B$5:B16)),COLUMNS($B$5:B16)),"")</f>
        <v>104-002-007</v>
      </c>
      <c r="C16" s="127" t="str">
        <f t="array" ref="C16">IFERROR(INDEX(BD[],_xlfn.AGGREGATE(15,6,IF(BD[CLASIFICACIÓN]=$B$2,ROW(BD[CLASIFICACIÓN])-ROW('PT2 (FILTRAR)'!$E$5)+1,NA()),ROWS($B$5:C16)),COLUMNS($B$5:C16)),"")</f>
        <v>O1-403 JOSE MIZRAHI</v>
      </c>
      <c r="D16" s="142">
        <f t="array" ref="D16">IFERROR(INDEX(BD[],_xlfn.AGGREGATE(15,6,IF(BD[CLASIFICACIÓN]=$B$2,ROW(BD[CLASIFICACIÓN])-ROW('PT2 (FILTRAR)'!$E$5)+1,NA()),ROWS($B$5:D16)),COLUMNS($B$5:D16)),"")</f>
        <v>-12694</v>
      </c>
      <c r="E16" s="126" t="str">
        <f t="array" ref="E16">IFERROR(INDEX(BD[],_xlfn.AGGREGATE(15,6,IF(BD[CLASIFICACIÓN]=$B$2,ROW(BD[CLASIFICACIÓN])-ROW('PT2 (FILTRAR)'!$E$5)+1,NA()),ROWS($B$5:E16)),COLUMNS($B$5:E16)),"")</f>
        <v>ANTICIPOS</v>
      </c>
    </row>
    <row r="17" spans="2:5" x14ac:dyDescent="0.3">
      <c r="B17" s="126" t="str">
        <f t="array" ref="B17">IFERROR(INDEX(BD[],_xlfn.AGGREGATE(15,6,IF(BD[CLASIFICACIÓN]=$B$2,ROW(BD[CLASIFICACIÓN])-ROW('PT2 (FILTRAR)'!$E$5)+1,NA()),ROWS($B$5:B17)),COLUMNS($B$5:B17)),"")</f>
        <v>104-002-012</v>
      </c>
      <c r="C17" s="127" t="str">
        <f t="array" ref="C17">IFERROR(INDEX(BD[],_xlfn.AGGREGATE(15,6,IF(BD[CLASIFICACIÓN]=$B$2,ROW(BD[CLASIFICACIÓN])-ROW('PT2 (FILTRAR)'!$E$5)+1,NA()),ROWS($B$5:C17)),COLUMNS($B$5:C17)),"")</f>
        <v>O1-604 ALBERTO SAAD</v>
      </c>
      <c r="D17" s="142">
        <f t="array" ref="D17">IFERROR(INDEX(BD[],_xlfn.AGGREGATE(15,6,IF(BD[CLASIFICACIÓN]=$B$2,ROW(BD[CLASIFICACIÓN])-ROW('PT2 (FILTRAR)'!$E$5)+1,NA()),ROWS($B$5:D17)),COLUMNS($B$5:D17)),"")</f>
        <v>-12694</v>
      </c>
      <c r="E17" s="126" t="str">
        <f t="array" ref="E17">IFERROR(INDEX(BD[],_xlfn.AGGREGATE(15,6,IF(BD[CLASIFICACIÓN]=$B$2,ROW(BD[CLASIFICACIÓN])-ROW('PT2 (FILTRAR)'!$E$5)+1,NA()),ROWS($B$5:E17)),COLUMNS($B$5:E17)),"")</f>
        <v>ANTICIPOS</v>
      </c>
    </row>
    <row r="18" spans="2:5" x14ac:dyDescent="0.3">
      <c r="B18" s="126" t="str">
        <f t="array" ref="B18">IFERROR(INDEX(BD[],_xlfn.AGGREGATE(15,6,IF(BD[CLASIFICACIÓN]=$B$2,ROW(BD[CLASIFICACIÓN])-ROW('PT2 (FILTRAR)'!$E$5)+1,NA()),ROWS($B$5:B18)),COLUMNS($B$5:B18)),"")</f>
        <v>104-002-014</v>
      </c>
      <c r="C18" s="127" t="str">
        <f t="array" ref="C18">IFERROR(INDEX(BD[],_xlfn.AGGREGATE(15,6,IF(BD[CLASIFICACIÓN]=$B$2,ROW(BD[CLASIFICACIÓN])-ROW('PT2 (FILTRAR)'!$E$5)+1,NA()),ROWS($B$5:C18)),COLUMNS($B$5:C18)),"")</f>
        <v>O1-704 SARA ACHAR</v>
      </c>
      <c r="D18" s="142">
        <f t="array" ref="D18">IFERROR(INDEX(BD[],_xlfn.AGGREGATE(15,6,IF(BD[CLASIFICACIÓN]=$B$2,ROW(BD[CLASIFICACIÓN])-ROW('PT2 (FILTRAR)'!$E$5)+1,NA()),ROWS($B$5:D18)),COLUMNS($B$5:D18)),"")</f>
        <v>-9999.9999999999982</v>
      </c>
      <c r="E18" s="126" t="str">
        <f t="array" ref="E18">IFERROR(INDEX(BD[],_xlfn.AGGREGATE(15,6,IF(BD[CLASIFICACIÓN]=$B$2,ROW(BD[CLASIFICACIÓN])-ROW('PT2 (FILTRAR)'!$E$5)+1,NA()),ROWS($B$5:E18)),COLUMNS($B$5:E18)),"")</f>
        <v>ANTICIPOS</v>
      </c>
    </row>
    <row r="19" spans="2:5" x14ac:dyDescent="0.3">
      <c r="B19" s="126" t="str">
        <f t="array" ref="B19">IFERROR(INDEX(BD[],_xlfn.AGGREGATE(15,6,IF(BD[CLASIFICACIÓN]=$B$2,ROW(BD[CLASIFICACIÓN])-ROW('PT2 (FILTRAR)'!$E$5)+1,NA()),ROWS($B$5:B19)),COLUMNS($B$5:B19)),"")</f>
        <v>104-002-019</v>
      </c>
      <c r="C19" s="127" t="str">
        <f t="array" ref="C19">IFERROR(INDEX(BD[],_xlfn.AGGREGATE(15,6,IF(BD[CLASIFICACIÓN]=$B$2,ROW(BD[CLASIFICACIÓN])-ROW('PT2 (FILTRAR)'!$E$5)+1,NA()),ROWS($B$5:C19)),COLUMNS($B$5:C19)),"")</f>
        <v>O1-1003 SARA MICHA</v>
      </c>
      <c r="D19" s="142">
        <f t="array" ref="D19">IFERROR(INDEX(BD[],_xlfn.AGGREGATE(15,6,IF(BD[CLASIFICACIÓN]=$B$2,ROW(BD[CLASIFICACIÓN])-ROW('PT2 (FILTRAR)'!$E$5)+1,NA()),ROWS($B$5:D19)),COLUMNS($B$5:D19)),"")</f>
        <v>-12694</v>
      </c>
      <c r="E19" s="126" t="str">
        <f t="array" ref="E19">IFERROR(INDEX(BD[],_xlfn.AGGREGATE(15,6,IF(BD[CLASIFICACIÓN]=$B$2,ROW(BD[CLASIFICACIÓN])-ROW('PT2 (FILTRAR)'!$E$5)+1,NA()),ROWS($B$5:E19)),COLUMNS($B$5:E19)),"")</f>
        <v>ANTICIPOS</v>
      </c>
    </row>
    <row r="20" spans="2:5" x14ac:dyDescent="0.3">
      <c r="B20" s="126" t="str">
        <f t="array" ref="B20">IFERROR(INDEX(BD[],_xlfn.AGGREGATE(15,6,IF(BD[CLASIFICACIÓN]=$B$2,ROW(BD[CLASIFICACIÓN])-ROW('PT2 (FILTRAR)'!$E$5)+1,NA()),ROWS($B$5:B20)),COLUMNS($B$5:B20)),"")</f>
        <v>104-002-023</v>
      </c>
      <c r="C20" s="127" t="str">
        <f t="array" ref="C20">IFERROR(INDEX(BD[],_xlfn.AGGREGATE(15,6,IF(BD[CLASIFICACIÓN]=$B$2,ROW(BD[CLASIFICACIÓN])-ROW('PT2 (FILTRAR)'!$E$5)+1,NA()),ROWS($B$5:C20)),COLUMNS($B$5:C20)),"")</f>
        <v>O1-1203 MOISES CHAYO</v>
      </c>
      <c r="D20" s="142">
        <f t="array" ref="D20">IFERROR(INDEX(BD[],_xlfn.AGGREGATE(15,6,IF(BD[CLASIFICACIÓN]=$B$2,ROW(BD[CLASIFICACIÓN])-ROW('PT2 (FILTRAR)'!$E$5)+1,NA()),ROWS($B$5:D20)),COLUMNS($B$5:D20)),"")</f>
        <v>-12694</v>
      </c>
      <c r="E20" s="126" t="str">
        <f t="array" ref="E20">IFERROR(INDEX(BD[],_xlfn.AGGREGATE(15,6,IF(BD[CLASIFICACIÓN]=$B$2,ROW(BD[CLASIFICACIÓN])-ROW('PT2 (FILTRAR)'!$E$5)+1,NA()),ROWS($B$5:E20)),COLUMNS($B$5:E20)),"")</f>
        <v>ANTICIPOS</v>
      </c>
    </row>
    <row r="21" spans="2:5" x14ac:dyDescent="0.3">
      <c r="B21" s="126" t="str">
        <f t="array" ref="B21">IFERROR(INDEX(BD[],_xlfn.AGGREGATE(15,6,IF(BD[CLASIFICACIÓN]=$B$2,ROW(BD[CLASIFICACIÓN])-ROW('PT2 (FILTRAR)'!$E$5)+1,NA()),ROWS($B$5:B21)),COLUMNS($B$5:B21)),"")</f>
        <v>104-002-033</v>
      </c>
      <c r="C21" s="127" t="str">
        <f t="array" ref="C21">IFERROR(INDEX(BD[],_xlfn.AGGREGATE(15,6,IF(BD[CLASIFICACIÓN]=$B$2,ROW(BD[CLASIFICACIÓN])-ROW('PT2 (FILTRAR)'!$E$5)+1,NA()),ROWS($B$5:C21)),COLUMNS($B$5:C21)),"")</f>
        <v>O1-1703 MOISES ALBERTO ESSES</v>
      </c>
      <c r="D21" s="142">
        <f t="array" ref="D21">IFERROR(INDEX(BD[],_xlfn.AGGREGATE(15,6,IF(BD[CLASIFICACIÓN]=$B$2,ROW(BD[CLASIFICACIÓN])-ROW('PT2 (FILTRAR)'!$E$5)+1,NA()),ROWS($B$5:D21)),COLUMNS($B$5:D21)),"")</f>
        <v>-98504</v>
      </c>
      <c r="E21" s="126" t="str">
        <f t="array" ref="E21">IFERROR(INDEX(BD[],_xlfn.AGGREGATE(15,6,IF(BD[CLASIFICACIÓN]=$B$2,ROW(BD[CLASIFICACIÓN])-ROW('PT2 (FILTRAR)'!$E$5)+1,NA()),ROWS($B$5:E21)),COLUMNS($B$5:E21)),"")</f>
        <v>ANTICIPOS</v>
      </c>
    </row>
    <row r="22" spans="2:5" x14ac:dyDescent="0.3">
      <c r="B22" s="126" t="str">
        <f t="array" ref="B22">IFERROR(INDEX(BD[],_xlfn.AGGREGATE(15,6,IF(BD[CLASIFICACIÓN]=$B$2,ROW(BD[CLASIFICACIÓN])-ROW('PT2 (FILTRAR)'!$E$5)+1,NA()),ROWS($B$5:B22)),COLUMNS($B$5:B22)),"")</f>
        <v>104-002-035</v>
      </c>
      <c r="C22" s="127" t="str">
        <f t="array" ref="C22">IFERROR(INDEX(BD[],_xlfn.AGGREGATE(15,6,IF(BD[CLASIFICACIÓN]=$B$2,ROW(BD[CLASIFICACIÓN])-ROW('PT2 (FILTRAR)'!$E$5)+1,NA()),ROWS($B$5:C22)),COLUMNS($B$5:C22)),"")</f>
        <v>O1-1803 ZURY ESSES</v>
      </c>
      <c r="D22" s="142">
        <f t="array" ref="D22">IFERROR(INDEX(BD[],_xlfn.AGGREGATE(15,6,IF(BD[CLASIFICACIÓN]=$B$2,ROW(BD[CLASIFICACIÓN])-ROW('PT2 (FILTRAR)'!$E$5)+1,NA()),ROWS($B$5:D22)),COLUMNS($B$5:D22)),"")</f>
        <v>-98504</v>
      </c>
      <c r="E22" s="126" t="str">
        <f t="array" ref="E22">IFERROR(INDEX(BD[],_xlfn.AGGREGATE(15,6,IF(BD[CLASIFICACIÓN]=$B$2,ROW(BD[CLASIFICACIÓN])-ROW('PT2 (FILTRAR)'!$E$5)+1,NA()),ROWS($B$5:E22)),COLUMNS($B$5:E22)),"")</f>
        <v>ANTICIPOS</v>
      </c>
    </row>
    <row r="23" spans="2:5" x14ac:dyDescent="0.3">
      <c r="B23" s="126" t="str">
        <f t="array" ref="B23">IFERROR(INDEX(BD[],_xlfn.AGGREGATE(15,6,IF(BD[CLASIFICACIÓN]=$B$2,ROW(BD[CLASIFICACIÓN])-ROW('PT2 (FILTRAR)'!$E$5)+1,NA()),ROWS($B$5:B23)),COLUMNS($B$5:B23)),"")</f>
        <v>104-003-001</v>
      </c>
      <c r="C23" s="127" t="str">
        <f t="array" ref="C23">IFERROR(INDEX(BD[],_xlfn.AGGREGATE(15,6,IF(BD[CLASIFICACIÓN]=$B$2,ROW(BD[CLASIFICACIÓN])-ROW('PT2 (FILTRAR)'!$E$5)+1,NA()),ROWS($B$5:C23)),COLUMNS($B$5:C23)),"")</f>
        <v>O2-105 YAMIL MAFUD</v>
      </c>
      <c r="D23" s="142">
        <f t="array" ref="D23">IFERROR(INDEX(BD[],_xlfn.AGGREGATE(15,6,IF(BD[CLASIFICACIÓN]=$B$2,ROW(BD[CLASIFICACIÓN])-ROW('PT2 (FILTRAR)'!$E$5)+1,NA()),ROWS($B$5:D23)),COLUMNS($B$5:D23)),"")</f>
        <v>-98504</v>
      </c>
      <c r="E23" s="126" t="str">
        <f t="array" ref="E23">IFERROR(INDEX(BD[],_xlfn.AGGREGATE(15,6,IF(BD[CLASIFICACIÓN]=$B$2,ROW(BD[CLASIFICACIÓN])-ROW('PT2 (FILTRAR)'!$E$5)+1,NA()),ROWS($B$5:E23)),COLUMNS($B$5:E23)),"")</f>
        <v>ANTICIPOS</v>
      </c>
    </row>
    <row r="24" spans="2:5" x14ac:dyDescent="0.3">
      <c r="B24" s="126" t="str">
        <f t="array" ref="B24">IFERROR(INDEX(BD[],_xlfn.AGGREGATE(15,6,IF(BD[CLASIFICACIÓN]=$B$2,ROW(BD[CLASIFICACIÓN])-ROW('PT2 (FILTRAR)'!$E$5)+1,NA()),ROWS($B$5:B24)),COLUMNS($B$5:B24)),"")</f>
        <v>104-003-012</v>
      </c>
      <c r="C24" s="127" t="str">
        <f t="array" ref="C24">IFERROR(INDEX(BD[],_xlfn.AGGREGATE(15,6,IF(BD[CLASIFICACIÓN]=$B$2,ROW(BD[CLASIFICACIÓN])-ROW('PT2 (FILTRAR)'!$E$5)+1,NA()),ROWS($B$5:C24)),COLUMNS($B$5:C24)),"")</f>
        <v>O2-606 JOSE LANIADO</v>
      </c>
      <c r="D24" s="142">
        <f t="array" ref="D24">IFERROR(INDEX(BD[],_xlfn.AGGREGATE(15,6,IF(BD[CLASIFICACIÓN]=$B$2,ROW(BD[CLASIFICACIÓN])-ROW('PT2 (FILTRAR)'!$E$5)+1,NA()),ROWS($B$5:D24)),COLUMNS($B$5:D24)),"")</f>
        <v>-12694</v>
      </c>
      <c r="E24" s="126" t="str">
        <f t="array" ref="E24">IFERROR(INDEX(BD[],_xlfn.AGGREGATE(15,6,IF(BD[CLASIFICACIÓN]=$B$2,ROW(BD[CLASIFICACIÓN])-ROW('PT2 (FILTRAR)'!$E$5)+1,NA()),ROWS($B$5:E24)),COLUMNS($B$5:E24)),"")</f>
        <v>ANTICIPOS</v>
      </c>
    </row>
    <row r="25" spans="2:5" x14ac:dyDescent="0.3">
      <c r="B25" s="126" t="str">
        <f t="array" ref="B25">IFERROR(INDEX(BD[],_xlfn.AGGREGATE(15,6,IF(BD[CLASIFICACIÓN]=$B$2,ROW(BD[CLASIFICACIÓN])-ROW('PT2 (FILTRAR)'!$E$5)+1,NA()),ROWS($B$5:B25)),COLUMNS($B$5:B25)),"")</f>
        <v>104-003-021</v>
      </c>
      <c r="C25" s="127" t="str">
        <f t="array" ref="C25">IFERROR(INDEX(BD[],_xlfn.AGGREGATE(15,6,IF(BD[CLASIFICACIÓN]=$B$2,ROW(BD[CLASIFICACIÓN])-ROW('PT2 (FILTRAR)'!$E$5)+1,NA()),ROWS($B$5:C25)),COLUMNS($B$5:C25)),"")</f>
        <v>O2-1105 SALOMON BUZALI</v>
      </c>
      <c r="D25" s="142">
        <f t="array" ref="D25">IFERROR(INDEX(BD[],_xlfn.AGGREGATE(15,6,IF(BD[CLASIFICACIÓN]=$B$2,ROW(BD[CLASIFICACIÓN])-ROW('PT2 (FILTRAR)'!$E$5)+1,NA()),ROWS($B$5:D25)),COLUMNS($B$5:D25)),"")</f>
        <v>-12694</v>
      </c>
      <c r="E25" s="126" t="str">
        <f t="array" ref="E25">IFERROR(INDEX(BD[],_xlfn.AGGREGATE(15,6,IF(BD[CLASIFICACIÓN]=$B$2,ROW(BD[CLASIFICACIÓN])-ROW('PT2 (FILTRAR)'!$E$5)+1,NA()),ROWS($B$5:E25)),COLUMNS($B$5:E25)),"")</f>
        <v>ANTICIPOS</v>
      </c>
    </row>
    <row r="26" spans="2:5" x14ac:dyDescent="0.3">
      <c r="B26" s="126" t="str">
        <f t="array" ref="B26">IFERROR(INDEX(BD[],_xlfn.AGGREGATE(15,6,IF(BD[CLASIFICACIÓN]=$B$2,ROW(BD[CLASIFICACIÓN])-ROW('PT2 (FILTRAR)'!$E$5)+1,NA()),ROWS($B$5:B26)),COLUMNS($B$5:B26)),"")</f>
        <v>104-003-050</v>
      </c>
      <c r="C26" s="127" t="str">
        <f t="array" ref="C26">IFERROR(INDEX(BD[],_xlfn.AGGREGATE(15,6,IF(BD[CLASIFICACIÓN]=$B$2,ROW(BD[CLASIFICACIÓN])-ROW('PT2 (FILTRAR)'!$E$5)+1,NA()),ROWS($B$5:C26)),COLUMNS($B$5:C26)),"")</f>
        <v>O2-2506 FEDERICO ADLERCREUTZ</v>
      </c>
      <c r="D26" s="142">
        <f t="array" ref="D26">IFERROR(INDEX(BD[],_xlfn.AGGREGATE(15,6,IF(BD[CLASIFICACIÓN]=$B$2,ROW(BD[CLASIFICACIÓN])-ROW('PT2 (FILTRAR)'!$E$5)+1,NA()),ROWS($B$5:D26)),COLUMNS($B$5:D26)),"")</f>
        <v>-12694</v>
      </c>
      <c r="E26" s="126" t="str">
        <f t="array" ref="E26">IFERROR(INDEX(BD[],_xlfn.AGGREGATE(15,6,IF(BD[CLASIFICACIÓN]=$B$2,ROW(BD[CLASIFICACIÓN])-ROW('PT2 (FILTRAR)'!$E$5)+1,NA()),ROWS($B$5:E26)),COLUMNS($B$5:E26)),"")</f>
        <v>ANTICIPOS</v>
      </c>
    </row>
    <row r="27" spans="2:5" x14ac:dyDescent="0.3">
      <c r="B27" s="126" t="str">
        <f t="array" ref="B27">IFERROR(INDEX(BD[],_xlfn.AGGREGATE(15,6,IF(BD[CLASIFICACIÓN]=$B$2,ROW(BD[CLASIFICACIÓN])-ROW('PT2 (FILTRAR)'!$E$5)+1,NA()),ROWS($B$5:B27)),COLUMNS($B$5:B27)),"")</f>
        <v>104-004-001</v>
      </c>
      <c r="C27" s="127" t="str">
        <f t="array" ref="C27">IFERROR(INDEX(BD[],_xlfn.AGGREGATE(15,6,IF(BD[CLASIFICACIÓN]=$B$2,ROW(BD[CLASIFICACIÓN])-ROW('PT2 (FILTRAR)'!$E$5)+1,NA()),ROWS($B$5:C27)),COLUMNS($B$5:C27)),"")</f>
        <v>C1-107 GEMI GONZALEZ</v>
      </c>
      <c r="D27" s="142">
        <f t="array" ref="D27">IFERROR(INDEX(BD[],_xlfn.AGGREGATE(15,6,IF(BD[CLASIFICACIÓN]=$B$2,ROW(BD[CLASIFICACIÓN])-ROW('PT2 (FILTRAR)'!$E$5)+1,NA()),ROWS($B$5:D27)),COLUMNS($B$5:D27)),"")</f>
        <v>-98504</v>
      </c>
      <c r="E27" s="126" t="str">
        <f t="array" ref="E27">IFERROR(INDEX(BD[],_xlfn.AGGREGATE(15,6,IF(BD[CLASIFICACIÓN]=$B$2,ROW(BD[CLASIFICACIÓN])-ROW('PT2 (FILTRAR)'!$E$5)+1,NA()),ROWS($B$5:E27)),COLUMNS($B$5:E27)),"")</f>
        <v>ANTICIPOS</v>
      </c>
    </row>
    <row r="28" spans="2:5" x14ac:dyDescent="0.3">
      <c r="B28" s="126" t="str">
        <f t="array" ref="B28">IFERROR(INDEX(BD[],_xlfn.AGGREGATE(15,6,IF(BD[CLASIFICACIÓN]=$B$2,ROW(BD[CLASIFICACIÓN])-ROW('PT2 (FILTRAR)'!$E$5)+1,NA()),ROWS($B$5:B28)),COLUMNS($B$5:B28)),"")</f>
        <v>104-004-024</v>
      </c>
      <c r="C28" s="127" t="str">
        <f t="array" ref="C28">IFERROR(INDEX(BD[],_xlfn.AGGREGATE(15,6,IF(BD[CLASIFICACIÓN]=$B$2,ROW(BD[CLASIFICACIÓN])-ROW('PT2 (FILTRAR)'!$E$5)+1,NA()),ROWS($B$5:C28)),COLUMNS($B$5:C28)),"")</f>
        <v>C1-1208 MOISES BEHAR</v>
      </c>
      <c r="D28" s="142">
        <f t="array" ref="D28">IFERROR(INDEX(BD[],_xlfn.AGGREGATE(15,6,IF(BD[CLASIFICACIÓN]=$B$2,ROW(BD[CLASIFICACIÓN])-ROW('PT2 (FILTRAR)'!$E$5)+1,NA()),ROWS($B$5:D28)),COLUMNS($B$5:D28)),"")</f>
        <v>-306</v>
      </c>
      <c r="E28" s="126" t="str">
        <f t="array" ref="E28">IFERROR(INDEX(BD[],_xlfn.AGGREGATE(15,6,IF(BD[CLASIFICACIÓN]=$B$2,ROW(BD[CLASIFICACIÓN])-ROW('PT2 (FILTRAR)'!$E$5)+1,NA()),ROWS($B$5:E28)),COLUMNS($B$5:E28)),"")</f>
        <v>ANTICIPOS</v>
      </c>
    </row>
    <row r="29" spans="2:5" x14ac:dyDescent="0.3">
      <c r="B29" s="126" t="str">
        <f t="array" ref="B29">IFERROR(INDEX(BD[],_xlfn.AGGREGATE(15,6,IF(BD[CLASIFICACIÓN]=$B$2,ROW(BD[CLASIFICACIÓN])-ROW('PT2 (FILTRAR)'!$E$5)+1,NA()),ROWS($B$5:B29)),COLUMNS($B$5:B29)),"")</f>
        <v>104-004-041</v>
      </c>
      <c r="C29" s="127" t="str">
        <f t="array" ref="C29">IFERROR(INDEX(BD[],_xlfn.AGGREGATE(15,6,IF(BD[CLASIFICACIÓN]=$B$2,ROW(BD[CLASIFICACIÓN])-ROW('PT2 (FILTRAR)'!$E$5)+1,NA()),ROWS($B$5:C29)),COLUMNS($B$5:C29)),"")</f>
        <v>C1-2107 ISIDORO CHERES</v>
      </c>
      <c r="D29" s="142">
        <f t="array" ref="D29">IFERROR(INDEX(BD[],_xlfn.AGGREGATE(15,6,IF(BD[CLASIFICACIÓN]=$B$2,ROW(BD[CLASIFICACIÓN])-ROW('PT2 (FILTRAR)'!$E$5)+1,NA()),ROWS($B$5:D29)),COLUMNS($B$5:D29)),"")</f>
        <v>-98504</v>
      </c>
      <c r="E29" s="126" t="str">
        <f t="array" ref="E29">IFERROR(INDEX(BD[],_xlfn.AGGREGATE(15,6,IF(BD[CLASIFICACIÓN]=$B$2,ROW(BD[CLASIFICACIÓN])-ROW('PT2 (FILTRAR)'!$E$5)+1,NA()),ROWS($B$5:E29)),COLUMNS($B$5:E29)),"")</f>
        <v>ANTICIPOS</v>
      </c>
    </row>
    <row r="30" spans="2:5" x14ac:dyDescent="0.3">
      <c r="B30" s="126" t="str">
        <f t="array" ref="B30">IFERROR(INDEX(BD[],_xlfn.AGGREGATE(15,6,IF(BD[CLASIFICACIÓN]=$B$2,ROW(BD[CLASIFICACIÓN])-ROW('PT2 (FILTRAR)'!$E$5)+1,NA()),ROWS($B$5:B30)),COLUMNS($B$5:B30)),"")</f>
        <v>104-005-017</v>
      </c>
      <c r="C30" s="127" t="str">
        <f t="array" ref="C30">IFERROR(INDEX(BD[],_xlfn.AGGREGATE(15,6,IF(BD[CLASIFICACIÓN]=$B$2,ROW(BD[CLASIFICACIÓN])-ROW('PT2 (FILTRAR)'!$E$5)+1,NA()),ROWS($B$5:C30)),COLUMNS($B$5:C30)),"")</f>
        <v>C2-909 ARIELA ZAIDMAN</v>
      </c>
      <c r="D30" s="142">
        <f t="array" ref="D30">IFERROR(INDEX(BD[],_xlfn.AGGREGATE(15,6,IF(BD[CLASIFICACIÓN]=$B$2,ROW(BD[CLASIFICACIÓN])-ROW('PT2 (FILTRAR)'!$E$5)+1,NA()),ROWS($B$5:D30)),COLUMNS($B$5:D30)),"")</f>
        <v>-12694</v>
      </c>
      <c r="E30" s="126" t="str">
        <f t="array" ref="E30">IFERROR(INDEX(BD[],_xlfn.AGGREGATE(15,6,IF(BD[CLASIFICACIÓN]=$B$2,ROW(BD[CLASIFICACIÓN])-ROW('PT2 (FILTRAR)'!$E$5)+1,NA()),ROWS($B$5:E30)),COLUMNS($B$5:E30)),"")</f>
        <v>ANTICIPOS</v>
      </c>
    </row>
    <row r="31" spans="2:5" x14ac:dyDescent="0.3">
      <c r="B31" s="126" t="str">
        <f t="array" ref="B31">IFERROR(INDEX(BD[],_xlfn.AGGREGATE(15,6,IF(BD[CLASIFICACIÓN]=$B$2,ROW(BD[CLASIFICACIÓN])-ROW('PT2 (FILTRAR)'!$E$5)+1,NA()),ROWS($B$5:B31)),COLUMNS($B$5:B31)),"")</f>
        <v>104-005-021</v>
      </c>
      <c r="C31" s="127" t="str">
        <f t="array" ref="C31">IFERROR(INDEX(BD[],_xlfn.AGGREGATE(15,6,IF(BD[CLASIFICACIÓN]=$B$2,ROW(BD[CLASIFICACIÓN])-ROW('PT2 (FILTRAR)'!$E$5)+1,NA()),ROWS($B$5:C31)),COLUMNS($B$5:C31)),"")</f>
        <v>C2-1109 RAQUELITA DUEK</v>
      </c>
      <c r="D31" s="142">
        <f t="array" ref="D31">IFERROR(INDEX(BD[],_xlfn.AGGREGATE(15,6,IF(BD[CLASIFICACIÓN]=$B$2,ROW(BD[CLASIFICACIÓN])-ROW('PT2 (FILTRAR)'!$E$5)+1,NA()),ROWS($B$5:D31)),COLUMNS($B$5:D31)),"")</f>
        <v>-12694</v>
      </c>
      <c r="E31" s="126" t="str">
        <f t="array" ref="E31">IFERROR(INDEX(BD[],_xlfn.AGGREGATE(15,6,IF(BD[CLASIFICACIÓN]=$B$2,ROW(BD[CLASIFICACIÓN])-ROW('PT2 (FILTRAR)'!$E$5)+1,NA()),ROWS($B$5:E31)),COLUMNS($B$5:E31)),"")</f>
        <v>ANTICIPOS</v>
      </c>
    </row>
    <row r="32" spans="2:5" x14ac:dyDescent="0.3">
      <c r="B32" s="126" t="str">
        <f t="array" ref="B32">IFERROR(INDEX(BD[],_xlfn.AGGREGATE(15,6,IF(BD[CLASIFICACIÓN]=$B$2,ROW(BD[CLASIFICACIÓN])-ROW('PT2 (FILTRAR)'!$E$5)+1,NA()),ROWS($B$5:B32)),COLUMNS($B$5:B32)),"")</f>
        <v>104-005-024</v>
      </c>
      <c r="C32" s="127" t="str">
        <f t="array" ref="C32">IFERROR(INDEX(BD[],_xlfn.AGGREGATE(15,6,IF(BD[CLASIFICACIÓN]=$B$2,ROW(BD[CLASIFICACIÓN])-ROW('PT2 (FILTRAR)'!$E$5)+1,NA()),ROWS($B$5:C32)),COLUMNS($B$5:C32)),"")</f>
        <v>C2-1210 JOSE JAFIF</v>
      </c>
      <c r="D32" s="142">
        <f t="array" ref="D32">IFERROR(INDEX(BD[],_xlfn.AGGREGATE(15,6,IF(BD[CLASIFICACIÓN]=$B$2,ROW(BD[CLASIFICACIÓN])-ROW('PT2 (FILTRAR)'!$E$5)+1,NA()),ROWS($B$5:D32)),COLUMNS($B$5:D32)),"")</f>
        <v>-38082</v>
      </c>
      <c r="E32" s="126" t="str">
        <f t="array" ref="E32">IFERROR(INDEX(BD[],_xlfn.AGGREGATE(15,6,IF(BD[CLASIFICACIÓN]=$B$2,ROW(BD[CLASIFICACIÓN])-ROW('PT2 (FILTRAR)'!$E$5)+1,NA()),ROWS($B$5:E32)),COLUMNS($B$5:E32)),"")</f>
        <v>ANTICIPOS</v>
      </c>
    </row>
    <row r="33" spans="2:5" x14ac:dyDescent="0.3">
      <c r="B33" s="126" t="str">
        <f t="array" ref="B33">IFERROR(INDEX(BD[],_xlfn.AGGREGATE(15,6,IF(BD[CLASIFICACIÓN]=$B$2,ROW(BD[CLASIFICACIÓN])-ROW('PT2 (FILTRAR)'!$E$5)+1,NA()),ROWS($B$5:B33)),COLUMNS($B$5:B33)),"")</f>
        <v>104-005-052</v>
      </c>
      <c r="C33" s="127" t="str">
        <f t="array" ref="C33">IFERROR(INDEX(BD[],_xlfn.AGGREGATE(15,6,IF(BD[CLASIFICACIÓN]=$B$2,ROW(BD[CLASIFICACIÓN])-ROW('PT2 (FILTRAR)'!$E$5)+1,NA()),ROWS($B$5:C33)),COLUMNS($B$5:C33)),"")</f>
        <v>C2-PH10 JEMILE RAYEK</v>
      </c>
      <c r="D33" s="142">
        <f t="array" ref="D33">IFERROR(INDEX(BD[],_xlfn.AGGREGATE(15,6,IF(BD[CLASIFICACIÓN]=$B$2,ROW(BD[CLASIFICACIÓN])-ROW('PT2 (FILTRAR)'!$E$5)+1,NA()),ROWS($B$5:D33)),COLUMNS($B$5:D33)),"")</f>
        <v>-12694</v>
      </c>
      <c r="E33" s="126" t="str">
        <f t="array" ref="E33">IFERROR(INDEX(BD[],_xlfn.AGGREGATE(15,6,IF(BD[CLASIFICACIÓN]=$B$2,ROW(BD[CLASIFICACIÓN])-ROW('PT2 (FILTRAR)'!$E$5)+1,NA()),ROWS($B$5:E33)),COLUMNS($B$5:E33)),"")</f>
        <v>ANTICIPOS</v>
      </c>
    </row>
    <row r="34" spans="2:5" x14ac:dyDescent="0.3">
      <c r="B34" s="126" t="str">
        <f t="array" ref="B34">IFERROR(INDEX(BD[],_xlfn.AGGREGATE(15,6,IF(BD[CLASIFICACIÓN]=$B$2,ROW(BD[CLASIFICACIÓN])-ROW('PT2 (FILTRAR)'!$E$5)+1,NA()),ROWS($B$5:B34)),COLUMNS($B$5:B34)),"")</f>
        <v>104-006-005</v>
      </c>
      <c r="C34" s="127" t="str">
        <f t="array" ref="C34">IFERROR(INDEX(BD[],_xlfn.AGGREGATE(15,6,IF(BD[CLASIFICACIÓN]=$B$2,ROW(BD[CLASIFICACIÓN])-ROW('PT2 (FILTRAR)'!$E$5)+1,NA()),ROWS($B$5:C34)),COLUMNS($B$5:C34)),"")</f>
        <v>C3-311 LOURDES REVILLA</v>
      </c>
      <c r="D34" s="142">
        <f t="array" ref="D34">IFERROR(INDEX(BD[],_xlfn.AGGREGATE(15,6,IF(BD[CLASIFICACIÓN]=$B$2,ROW(BD[CLASIFICACIÓN])-ROW('PT2 (FILTRAR)'!$E$5)+1,NA()),ROWS($B$5:D34)),COLUMNS($B$5:D34)),"")</f>
        <v>-98503.999999999971</v>
      </c>
      <c r="E34" s="126" t="str">
        <f t="array" ref="E34">IFERROR(INDEX(BD[],_xlfn.AGGREGATE(15,6,IF(BD[CLASIFICACIÓN]=$B$2,ROW(BD[CLASIFICACIÓN])-ROW('PT2 (FILTRAR)'!$E$5)+1,NA()),ROWS($B$5:E34)),COLUMNS($B$5:E34)),"")</f>
        <v>ANTICIPOS</v>
      </c>
    </row>
    <row r="35" spans="2:5" x14ac:dyDescent="0.3">
      <c r="B35" s="126" t="str">
        <f t="array" ref="B35">IFERROR(INDEX(BD[],_xlfn.AGGREGATE(15,6,IF(BD[CLASIFICACIÓN]=$B$2,ROW(BD[CLASIFICACIÓN])-ROW('PT2 (FILTRAR)'!$E$5)+1,NA()),ROWS($B$5:B35)),COLUMNS($B$5:B35)),"")</f>
        <v>104-006-006</v>
      </c>
      <c r="C35" s="127" t="str">
        <f t="array" ref="C35">IFERROR(INDEX(BD[],_xlfn.AGGREGATE(15,6,IF(BD[CLASIFICACIÓN]=$B$2,ROW(BD[CLASIFICACIÓN])-ROW('PT2 (FILTRAR)'!$E$5)+1,NA()),ROWS($B$5:C35)),COLUMNS($B$5:C35)),"")</f>
        <v>C3-312 DAVID GUAKIL</v>
      </c>
      <c r="D35" s="142">
        <f t="array" ref="D35">IFERROR(INDEX(BD[],_xlfn.AGGREGATE(15,6,IF(BD[CLASIFICACIÓN]=$B$2,ROW(BD[CLASIFICACIÓN])-ROW('PT2 (FILTRAR)'!$E$5)+1,NA()),ROWS($B$5:D35)),COLUMNS($B$5:D35)),"")</f>
        <v>-12694</v>
      </c>
      <c r="E35" s="126" t="str">
        <f t="array" ref="E35">IFERROR(INDEX(BD[],_xlfn.AGGREGATE(15,6,IF(BD[CLASIFICACIÓN]=$B$2,ROW(BD[CLASIFICACIÓN])-ROW('PT2 (FILTRAR)'!$E$5)+1,NA()),ROWS($B$5:E35)),COLUMNS($B$5:E35)),"")</f>
        <v>ANTICIPOS</v>
      </c>
    </row>
    <row r="36" spans="2:5" x14ac:dyDescent="0.3">
      <c r="B36" s="126" t="str">
        <f t="array" ref="B36">IFERROR(INDEX(BD[],_xlfn.AGGREGATE(15,6,IF(BD[CLASIFICACIÓN]=$B$2,ROW(BD[CLASIFICACIÓN])-ROW('PT2 (FILTRAR)'!$E$5)+1,NA()),ROWS($B$5:B36)),COLUMNS($B$5:B36)),"")</f>
        <v>104-006-008</v>
      </c>
      <c r="C36" s="127" t="str">
        <f t="array" ref="C36">IFERROR(INDEX(BD[],_xlfn.AGGREGATE(15,6,IF(BD[CLASIFICACIÓN]=$B$2,ROW(BD[CLASIFICACIÓN])-ROW('PT2 (FILTRAR)'!$E$5)+1,NA()),ROWS($B$5:C36)),COLUMNS($B$5:C36)),"")</f>
        <v>C3-412 ERIKA RAYNAL</v>
      </c>
      <c r="D36" s="142">
        <f t="array" ref="D36">IFERROR(INDEX(BD[],_xlfn.AGGREGATE(15,6,IF(BD[CLASIFICACIÓN]=$B$2,ROW(BD[CLASIFICACIÓN])-ROW('PT2 (FILTRAR)'!$E$5)+1,NA()),ROWS($B$5:D36)),COLUMNS($B$5:D36)),"")</f>
        <v>-200</v>
      </c>
      <c r="E36" s="126" t="str">
        <f t="array" ref="E36">IFERROR(INDEX(BD[],_xlfn.AGGREGATE(15,6,IF(BD[CLASIFICACIÓN]=$B$2,ROW(BD[CLASIFICACIÓN])-ROW('PT2 (FILTRAR)'!$E$5)+1,NA()),ROWS($B$5:E36)),COLUMNS($B$5:E36)),"")</f>
        <v>ANTICIPOS</v>
      </c>
    </row>
    <row r="37" spans="2:5" x14ac:dyDescent="0.3">
      <c r="B37" s="126" t="str">
        <f t="array" ref="B37">IFERROR(INDEX(BD[],_xlfn.AGGREGATE(15,6,IF(BD[CLASIFICACIÓN]=$B$2,ROW(BD[CLASIFICACIÓN])-ROW('PT2 (FILTRAR)'!$E$5)+1,NA()),ROWS($B$5:B37)),COLUMNS($B$5:B37)),"")</f>
        <v>104-006-009</v>
      </c>
      <c r="C37" s="127" t="str">
        <f t="array" ref="C37">IFERROR(INDEX(BD[],_xlfn.AGGREGATE(15,6,IF(BD[CLASIFICACIÓN]=$B$2,ROW(BD[CLASIFICACIÓN])-ROW('PT2 (FILTRAR)'!$E$5)+1,NA()),ROWS($B$5:C37)),COLUMNS($B$5:C37)),"")</f>
        <v>C3-511 BENJAMIN CHEREM T</v>
      </c>
      <c r="D37" s="142">
        <f t="array" ref="D37">IFERROR(INDEX(BD[],_xlfn.AGGREGATE(15,6,IF(BD[CLASIFICACIÓN]=$B$2,ROW(BD[CLASIFICACIÓN])-ROW('PT2 (FILTRAR)'!$E$5)+1,NA()),ROWS($B$5:D37)),COLUMNS($B$5:D37)),"")</f>
        <v>-12694</v>
      </c>
      <c r="E37" s="126" t="str">
        <f t="array" ref="E37">IFERROR(INDEX(BD[],_xlfn.AGGREGATE(15,6,IF(BD[CLASIFICACIÓN]=$B$2,ROW(BD[CLASIFICACIÓN])-ROW('PT2 (FILTRAR)'!$E$5)+1,NA()),ROWS($B$5:E37)),COLUMNS($B$5:E37)),"")</f>
        <v>ANTICIPOS</v>
      </c>
    </row>
    <row r="38" spans="2:5" x14ac:dyDescent="0.3">
      <c r="B38" s="126" t="str">
        <f t="array" ref="B38">IFERROR(INDEX(BD[],_xlfn.AGGREGATE(15,6,IF(BD[CLASIFICACIÓN]=$B$2,ROW(BD[CLASIFICACIÓN])-ROW('PT2 (FILTRAR)'!$E$5)+1,NA()),ROWS($B$5:B38)),COLUMNS($B$5:B38)),"")</f>
        <v>104-006-016</v>
      </c>
      <c r="C38" s="127" t="str">
        <f t="array" ref="C38">IFERROR(INDEX(BD[],_xlfn.AGGREGATE(15,6,IF(BD[CLASIFICACIÓN]=$B$2,ROW(BD[CLASIFICACIÓN])-ROW('PT2 (FILTRAR)'!$E$5)+1,NA()),ROWS($B$5:C38)),COLUMNS($B$5:C38)),"")</f>
        <v>C3-812 SALOMON CASSAB</v>
      </c>
      <c r="D38" s="142">
        <f t="array" ref="D38">IFERROR(INDEX(BD[],_xlfn.AGGREGATE(15,6,IF(BD[CLASIFICACIÓN]=$B$2,ROW(BD[CLASIFICACIÓN])-ROW('PT2 (FILTRAR)'!$E$5)+1,NA()),ROWS($B$5:D38)),COLUMNS($B$5:D38)),"")</f>
        <v>-98504</v>
      </c>
      <c r="E38" s="126" t="str">
        <f t="array" ref="E38">IFERROR(INDEX(BD[],_xlfn.AGGREGATE(15,6,IF(BD[CLASIFICACIÓN]=$B$2,ROW(BD[CLASIFICACIÓN])-ROW('PT2 (FILTRAR)'!$E$5)+1,NA()),ROWS($B$5:E38)),COLUMNS($B$5:E38)),"")</f>
        <v>ANTICIPOS</v>
      </c>
    </row>
    <row r="39" spans="2:5" x14ac:dyDescent="0.3">
      <c r="B39" s="126" t="str">
        <f t="array" ref="B39">IFERROR(INDEX(BD[],_xlfn.AGGREGATE(15,6,IF(BD[CLASIFICACIÓN]=$B$2,ROW(BD[CLASIFICACIÓN])-ROW('PT2 (FILTRAR)'!$E$5)+1,NA()),ROWS($B$5:B39)),COLUMNS($B$5:B39)),"")</f>
        <v>104-006-017</v>
      </c>
      <c r="C39" s="127" t="str">
        <f t="array" ref="C39">IFERROR(INDEX(BD[],_xlfn.AGGREGATE(15,6,IF(BD[CLASIFICACIÓN]=$B$2,ROW(BD[CLASIFICACIÓN])-ROW('PT2 (FILTRAR)'!$E$5)+1,NA()),ROWS($B$5:C39)),COLUMNS($B$5:C39)),"")</f>
        <v>C3-911 KAREN TURQUIE</v>
      </c>
      <c r="D39" s="142">
        <f t="array" ref="D39">IFERROR(INDEX(BD[],_xlfn.AGGREGATE(15,6,IF(BD[CLASIFICACIÓN]=$B$2,ROW(BD[CLASIFICACIÓN])-ROW('PT2 (FILTRAR)'!$E$5)+1,NA()),ROWS($B$5:D39)),COLUMNS($B$5:D39)),"")</f>
        <v>-12694</v>
      </c>
      <c r="E39" s="126" t="str">
        <f t="array" ref="E39">IFERROR(INDEX(BD[],_xlfn.AGGREGATE(15,6,IF(BD[CLASIFICACIÓN]=$B$2,ROW(BD[CLASIFICACIÓN])-ROW('PT2 (FILTRAR)'!$E$5)+1,NA()),ROWS($B$5:E39)),COLUMNS($B$5:E39)),"")</f>
        <v>ANTICIPOS</v>
      </c>
    </row>
    <row r="40" spans="2:5" x14ac:dyDescent="0.3">
      <c r="B40" s="126" t="str">
        <f t="array" ref="B40">IFERROR(INDEX(BD[],_xlfn.AGGREGATE(15,6,IF(BD[CLASIFICACIÓN]=$B$2,ROW(BD[CLASIFICACIÓN])-ROW('PT2 (FILTRAR)'!$E$5)+1,NA()),ROWS($B$5:B40)),COLUMNS($B$5:B40)),"")</f>
        <v>104-006-027</v>
      </c>
      <c r="C40" s="127" t="str">
        <f t="array" ref="C40">IFERROR(INDEX(BD[],_xlfn.AGGREGATE(15,6,IF(BD[CLASIFICACIÓN]=$B$2,ROW(BD[CLASIFICACIÓN])-ROW('PT2 (FILTRAR)'!$E$5)+1,NA()),ROWS($B$5:C40)),COLUMNS($B$5:C40)),"")</f>
        <v>C3-1411 MARIA REYES</v>
      </c>
      <c r="D40" s="142">
        <f t="array" ref="D40">IFERROR(INDEX(BD[],_xlfn.AGGREGATE(15,6,IF(BD[CLASIFICACIÓN]=$B$2,ROW(BD[CLASIFICACIÓN])-ROW('PT2 (FILTRAR)'!$E$5)+1,NA()),ROWS($B$5:D40)),COLUMNS($B$5:D40)),"")</f>
        <v>-12694</v>
      </c>
      <c r="E40" s="126" t="str">
        <f t="array" ref="E40">IFERROR(INDEX(BD[],_xlfn.AGGREGATE(15,6,IF(BD[CLASIFICACIÓN]=$B$2,ROW(BD[CLASIFICACIÓN])-ROW('PT2 (FILTRAR)'!$E$5)+1,NA()),ROWS($B$5:E40)),COLUMNS($B$5:E40)),"")</f>
        <v>ANTICIPOS</v>
      </c>
    </row>
    <row r="41" spans="2:5" x14ac:dyDescent="0.3">
      <c r="B41" s="126" t="str">
        <f t="array" ref="B41">IFERROR(INDEX(BD[],_xlfn.AGGREGATE(15,6,IF(BD[CLASIFICACIÓN]=$B$2,ROW(BD[CLASIFICACIÓN])-ROW('PT2 (FILTRAR)'!$E$5)+1,NA()),ROWS($B$5:B41)),COLUMNS($B$5:B41)),"")</f>
        <v>104-006-029</v>
      </c>
      <c r="C41" s="127" t="str">
        <f t="array" ref="C41">IFERROR(INDEX(BD[],_xlfn.AGGREGATE(15,6,IF(BD[CLASIFICACIÓN]=$B$2,ROW(BD[CLASIFICACIÓN])-ROW('PT2 (FILTRAR)'!$E$5)+1,NA()),ROWS($B$5:C41)),COLUMNS($B$5:C41)),"")</f>
        <v>C3-1511 LAURA VALDES</v>
      </c>
      <c r="D41" s="142">
        <f t="array" ref="D41">IFERROR(INDEX(BD[],_xlfn.AGGREGATE(15,6,IF(BD[CLASIFICACIÓN]=$B$2,ROW(BD[CLASIFICACIÓN])-ROW('PT2 (FILTRAR)'!$E$5)+1,NA()),ROWS($B$5:D41)),COLUMNS($B$5:D41)),"")</f>
        <v>-25388</v>
      </c>
      <c r="E41" s="126" t="str">
        <f t="array" ref="E41">IFERROR(INDEX(BD[],_xlfn.AGGREGATE(15,6,IF(BD[CLASIFICACIÓN]=$B$2,ROW(BD[CLASIFICACIÓN])-ROW('PT2 (FILTRAR)'!$E$5)+1,NA()),ROWS($B$5:E41)),COLUMNS($B$5:E41)),"")</f>
        <v>ANTICIPOS</v>
      </c>
    </row>
    <row r="42" spans="2:5" x14ac:dyDescent="0.3">
      <c r="B42" s="126" t="str">
        <f t="array" ref="B42">IFERROR(INDEX(BD[],_xlfn.AGGREGATE(15,6,IF(BD[CLASIFICACIÓN]=$B$2,ROW(BD[CLASIFICACIÓN])-ROW('PT2 (FILTRAR)'!$E$5)+1,NA()),ROWS($B$5:B42)),COLUMNS($B$5:B42)),"")</f>
        <v>104-006-035</v>
      </c>
      <c r="C42" s="127" t="str">
        <f t="array" ref="C42">IFERROR(INDEX(BD[],_xlfn.AGGREGATE(15,6,IF(BD[CLASIFICACIÓN]=$B$2,ROW(BD[CLASIFICACIÓN])-ROW('PT2 (FILTRAR)'!$E$5)+1,NA()),ROWS($B$5:C42)),COLUMNS($B$5:C42)),"")</f>
        <v>C3-1811 BENJAMIN CHEREM T</v>
      </c>
      <c r="D42" s="142">
        <f t="array" ref="D42">IFERROR(INDEX(BD[],_xlfn.AGGREGATE(15,6,IF(BD[CLASIFICACIÓN]=$B$2,ROW(BD[CLASIFICACIÓN])-ROW('PT2 (FILTRAR)'!$E$5)+1,NA()),ROWS($B$5:D42)),COLUMNS($B$5:D42)),"")</f>
        <v>-12694</v>
      </c>
      <c r="E42" s="126" t="str">
        <f t="array" ref="E42">IFERROR(INDEX(BD[],_xlfn.AGGREGATE(15,6,IF(BD[CLASIFICACIÓN]=$B$2,ROW(BD[CLASIFICACIÓN])-ROW('PT2 (FILTRAR)'!$E$5)+1,NA()),ROWS($B$5:E42)),COLUMNS($B$5:E42)),"")</f>
        <v>ANTICIPOS</v>
      </c>
    </row>
    <row r="43" spans="2:5" x14ac:dyDescent="0.3">
      <c r="B43" s="126" t="str">
        <f t="array" ref="B43">IFERROR(INDEX(BD[],_xlfn.AGGREGATE(15,6,IF(BD[CLASIFICACIÓN]=$B$2,ROW(BD[CLASIFICACIÓN])-ROW('PT2 (FILTRAR)'!$E$5)+1,NA()),ROWS($B$5:B43)),COLUMNS($B$5:B43)),"")</f>
        <v>104-006-037</v>
      </c>
      <c r="C43" s="127" t="str">
        <f t="array" ref="C43">IFERROR(INDEX(BD[],_xlfn.AGGREGATE(15,6,IF(BD[CLASIFICACIÓN]=$B$2,ROW(BD[CLASIFICACIÓN])-ROW('PT2 (FILTRAR)'!$E$5)+1,NA()),ROWS($B$5:C43)),COLUMNS($B$5:C43)),"")</f>
        <v>C3-1911 BENJAMIN ZONANA</v>
      </c>
      <c r="D43" s="142">
        <f t="array" ref="D43">IFERROR(INDEX(BD[],_xlfn.AGGREGATE(15,6,IF(BD[CLASIFICACIÓN]=$B$2,ROW(BD[CLASIFICACIÓN])-ROW('PT2 (FILTRAR)'!$E$5)+1,NA()),ROWS($B$5:D43)),COLUMNS($B$5:D43)),"")</f>
        <v>-12694</v>
      </c>
      <c r="E43" s="126" t="str">
        <f t="array" ref="E43">IFERROR(INDEX(BD[],_xlfn.AGGREGATE(15,6,IF(BD[CLASIFICACIÓN]=$B$2,ROW(BD[CLASIFICACIÓN])-ROW('PT2 (FILTRAR)'!$E$5)+1,NA()),ROWS($B$5:E43)),COLUMNS($B$5:E43)),"")</f>
        <v>ANTICIPOS</v>
      </c>
    </row>
    <row r="44" spans="2:5" x14ac:dyDescent="0.3">
      <c r="B44" s="126" t="str">
        <f t="array" ref="B44">IFERROR(INDEX(BD[],_xlfn.AGGREGATE(15,6,IF(BD[CLASIFICACIÓN]=$B$2,ROW(BD[CLASIFICACIÓN])-ROW('PT2 (FILTRAR)'!$E$5)+1,NA()),ROWS($B$5:B44)),COLUMNS($B$5:B44)),"")</f>
        <v>104-002-016</v>
      </c>
      <c r="C44" s="127" t="str">
        <f t="array" ref="C44">IFERROR(INDEX(BD[],_xlfn.AGGREGATE(15,6,IF(BD[CLASIFICACIÓN]=$B$2,ROW(BD[CLASIFICACIÓN])-ROW('PT2 (FILTRAR)'!$E$5)+1,NA()),ROWS($B$5:C44)),COLUMNS($B$5:C44)),"")</f>
        <v>O1-804 JOSE GOMEZ</v>
      </c>
      <c r="D44" s="142">
        <f t="array" ref="D44">IFERROR(INDEX(BD[],_xlfn.AGGREGATE(15,6,IF(BD[CLASIFICACIÓN]=$B$2,ROW(BD[CLASIFICACIÓN])-ROW('PT2 (FILTRAR)'!$E$5)+1,NA()),ROWS($B$5:D44)),COLUMNS($B$5:D44)),"")</f>
        <v>-12694</v>
      </c>
      <c r="E44" s="126" t="str">
        <f t="array" ref="E44">IFERROR(INDEX(BD[],_xlfn.AGGREGATE(15,6,IF(BD[CLASIFICACIÓN]=$B$2,ROW(BD[CLASIFICACIÓN])-ROW('PT2 (FILTRAR)'!$E$5)+1,NA()),ROWS($B$5:E44)),COLUMNS($B$5:E44)),"")</f>
        <v>ANTICIPOS</v>
      </c>
    </row>
    <row r="45" spans="2:5" x14ac:dyDescent="0.3">
      <c r="B45" s="126" t="str">
        <f t="array" ref="B45">IFERROR(INDEX(BD[],_xlfn.AGGREGATE(15,6,IF(BD[CLASIFICACIÓN]=$B$2,ROW(BD[CLASIFICACIÓN])-ROW('PT2 (FILTRAR)'!$E$5)+1,NA()),ROWS($B$5:B45)),COLUMNS($B$5:B45)),"")</f>
        <v>104-004-031</v>
      </c>
      <c r="C45" s="127" t="str">
        <f t="array" ref="C45">IFERROR(INDEX(BD[],_xlfn.AGGREGATE(15,6,IF(BD[CLASIFICACIÓN]=$B$2,ROW(BD[CLASIFICACIÓN])-ROW('PT2 (FILTRAR)'!$E$5)+1,NA()),ROWS($B$5:C45)),COLUMNS($B$5:C45)),"")</f>
        <v>C1-1607 SALOMON COJAB</v>
      </c>
      <c r="D45" s="142">
        <f t="array" ref="D45">IFERROR(INDEX(BD[],_xlfn.AGGREGATE(15,6,IF(BD[CLASIFICACIÓN]=$B$2,ROW(BD[CLASIFICACIÓN])-ROW('PT2 (FILTRAR)'!$E$5)+1,NA()),ROWS($B$5:D45)),COLUMNS($B$5:D45)),"")</f>
        <v>-98504</v>
      </c>
      <c r="E45" s="126" t="str">
        <f t="array" ref="E45">IFERROR(INDEX(BD[],_xlfn.AGGREGATE(15,6,IF(BD[CLASIFICACIÓN]=$B$2,ROW(BD[CLASIFICACIÓN])-ROW('PT2 (FILTRAR)'!$E$5)+1,NA()),ROWS($B$5:E45)),COLUMNS($B$5:E45)),"")</f>
        <v>ANTICIPOS</v>
      </c>
    </row>
    <row r="46" spans="2:5" x14ac:dyDescent="0.3">
      <c r="B46" s="126" t="str">
        <f t="array" ref="B46">IFERROR(INDEX(BD[],_xlfn.AGGREGATE(15,6,IF(BD[CLASIFICACIÓN]=$B$2,ROW(BD[CLASIFICACIÓN])-ROW('PT2 (FILTRAR)'!$E$5)+1,NA()),ROWS($B$5:B46)),COLUMNS($B$5:B46)),"")</f>
        <v>104-001-022</v>
      </c>
      <c r="C46" s="127" t="str">
        <f t="array" ref="C46">IFERROR(INDEX(BD[],_xlfn.AGGREGATE(15,6,IF(BD[CLASIFICACIÓN]=$B$2,ROW(BD[CLASIFICACIÓN])-ROW('PT2 (FILTRAR)'!$E$5)+1,NA()),ROWS($B$5:C46)),COLUMNS($B$5:C46)),"")</f>
        <v>A-1102 JUAN GARCIA</v>
      </c>
      <c r="D46" s="142">
        <f t="array" ref="D46">IFERROR(INDEX(BD[],_xlfn.AGGREGATE(15,6,IF(BD[CLASIFICACIÓN]=$B$2,ROW(BD[CLASIFICACIÓN])-ROW('PT2 (FILTRAR)'!$E$5)+1,NA()),ROWS($B$5:D46)),COLUMNS($B$5:D46)),"")</f>
        <v>-12694</v>
      </c>
      <c r="E46" s="126" t="str">
        <f t="array" ref="E46">IFERROR(INDEX(BD[],_xlfn.AGGREGATE(15,6,IF(BD[CLASIFICACIÓN]=$B$2,ROW(BD[CLASIFICACIÓN])-ROW('PT2 (FILTRAR)'!$E$5)+1,NA()),ROWS($B$5:E46)),COLUMNS($B$5:E46)),"")</f>
        <v>ANTICIPOS</v>
      </c>
    </row>
    <row r="47" spans="2:5" x14ac:dyDescent="0.3">
      <c r="B47" s="126" t="str">
        <f t="array" ref="B47">IFERROR(INDEX(BD[],_xlfn.AGGREGATE(15,6,IF(BD[CLASIFICACIÓN]=$B$2,ROW(BD[CLASIFICACIÓN])-ROW('PT2 (FILTRAR)'!$E$5)+1,NA()),ROWS($B$5:B47)),COLUMNS($B$5:B47)),"")</f>
        <v>104-003-028</v>
      </c>
      <c r="C47" s="127" t="str">
        <f t="array" ref="C47">IFERROR(INDEX(BD[],_xlfn.AGGREGATE(15,6,IF(BD[CLASIFICACIÓN]=$B$2,ROW(BD[CLASIFICACIÓN])-ROW('PT2 (FILTRAR)'!$E$5)+1,NA()),ROWS($B$5:C47)),COLUMNS($B$5:C47)),"")</f>
        <v>O2-1406 DAVID CHERES</v>
      </c>
      <c r="D47" s="142">
        <f t="array" ref="D47">IFERROR(INDEX(BD[],_xlfn.AGGREGATE(15,6,IF(BD[CLASIFICACIÓN]=$B$2,ROW(BD[CLASIFICACIÓN])-ROW('PT2 (FILTRAR)'!$E$5)+1,NA()),ROWS($B$5:D47)),COLUMNS($B$5:D47)),"")</f>
        <v>-123130</v>
      </c>
      <c r="E47" s="126" t="str">
        <f t="array" ref="E47">IFERROR(INDEX(BD[],_xlfn.AGGREGATE(15,6,IF(BD[CLASIFICACIÓN]=$B$2,ROW(BD[CLASIFICACIÓN])-ROW('PT2 (FILTRAR)'!$E$5)+1,NA()),ROWS($B$5:E47)),COLUMNS($B$5:E47)),"")</f>
        <v>ANTICIPOS</v>
      </c>
    </row>
    <row r="48" spans="2:5" x14ac:dyDescent="0.3">
      <c r="B48" s="126" t="str">
        <f t="array" ref="B48">IFERROR(INDEX(BD[],_xlfn.AGGREGATE(15,6,IF(BD[CLASIFICACIÓN]=$B$2,ROW(BD[CLASIFICACIÓN])-ROW('PT2 (FILTRAR)'!$E$5)+1,NA()),ROWS($B$5:B48)),COLUMNS($B$5:B48)),"")</f>
        <v>104-004-008</v>
      </c>
      <c r="C48" s="127" t="str">
        <f t="array" ref="C48">IFERROR(INDEX(BD[],_xlfn.AGGREGATE(15,6,IF(BD[CLASIFICACIÓN]=$B$2,ROW(BD[CLASIFICACIÓN])-ROW('PT2 (FILTRAR)'!$E$5)+1,NA()),ROWS($B$5:C48)),COLUMNS($B$5:C48)),"")</f>
        <v>C1-408 RONY STOLKIN</v>
      </c>
      <c r="D48" s="142">
        <f t="array" ref="D48">IFERROR(INDEX(BD[],_xlfn.AGGREGATE(15,6,IF(BD[CLASIFICACIÓN]=$B$2,ROW(BD[CLASIFICACIÓN])-ROW('PT2 (FILTRAR)'!$E$5)+1,NA()),ROWS($B$5:D48)),COLUMNS($B$5:D48)),"")</f>
        <v>-98504</v>
      </c>
      <c r="E48" s="126" t="str">
        <f t="array" ref="E48">IFERROR(INDEX(BD[],_xlfn.AGGREGATE(15,6,IF(BD[CLASIFICACIÓN]=$B$2,ROW(BD[CLASIFICACIÓN])-ROW('PT2 (FILTRAR)'!$E$5)+1,NA()),ROWS($B$5:E48)),COLUMNS($B$5:E48)),"")</f>
        <v>ANTICIPOS</v>
      </c>
    </row>
    <row r="49" spans="2:5" x14ac:dyDescent="0.3">
      <c r="B49" s="126" t="str">
        <f t="array" ref="B49">IFERROR(INDEX(BD[],_xlfn.AGGREGATE(15,6,IF(BD[CLASIFICACIÓN]=$B$2,ROW(BD[CLASIFICACIÓN])-ROW('PT2 (FILTRAR)'!$E$5)+1,NA()),ROWS($B$5:B49)),COLUMNS($B$5:B49)),"")</f>
        <v>104-005-032</v>
      </c>
      <c r="C49" s="127" t="str">
        <f t="array" ref="C49">IFERROR(INDEX(BD[],_xlfn.AGGREGATE(15,6,IF(BD[CLASIFICACIÓN]=$B$2,ROW(BD[CLASIFICACIÓN])-ROW('PT2 (FILTRAR)'!$E$5)+1,NA()),ROWS($B$5:C49)),COLUMNS($B$5:C49)),"")</f>
        <v>C2-1610 ESTHER MICHAN</v>
      </c>
      <c r="D49" s="142">
        <f t="array" ref="D49">IFERROR(INDEX(BD[],_xlfn.AGGREGATE(15,6,IF(BD[CLASIFICACIÓN]=$B$2,ROW(BD[CLASIFICACIÓN])-ROW('PT2 (FILTRAR)'!$E$5)+1,NA()),ROWS($B$5:D49)),COLUMNS($B$5:D49)),"")</f>
        <v>-12694</v>
      </c>
      <c r="E49" s="126" t="str">
        <f t="array" ref="E49">IFERROR(INDEX(BD[],_xlfn.AGGREGATE(15,6,IF(BD[CLASIFICACIÓN]=$B$2,ROW(BD[CLASIFICACIÓN])-ROW('PT2 (FILTRAR)'!$E$5)+1,NA()),ROWS($B$5:E49)),COLUMNS($B$5:E49)),"")</f>
        <v>ANTICIPOS</v>
      </c>
    </row>
    <row r="50" spans="2:5" x14ac:dyDescent="0.3">
      <c r="B50" s="126" t="str">
        <f t="array" ref="B50">IFERROR(INDEX(BD[],_xlfn.AGGREGATE(15,6,IF(BD[CLASIFICACIÓN]=$B$2,ROW(BD[CLASIFICACIÓN])-ROW('PT2 (FILTRAR)'!$E$5)+1,NA()),ROWS($B$5:B50)),COLUMNS($B$5:B50)),"")</f>
        <v>104-005-035</v>
      </c>
      <c r="C50" s="127" t="str">
        <f t="array" ref="C50">IFERROR(INDEX(BD[],_xlfn.AGGREGATE(15,6,IF(BD[CLASIFICACIÓN]=$B$2,ROW(BD[CLASIFICACIÓN])-ROW('PT2 (FILTRAR)'!$E$5)+1,NA()),ROWS($B$5:C50)),COLUMNS($B$5:C50)),"")</f>
        <v>C2-1809 FREDELLE ZETUNE</v>
      </c>
      <c r="D50" s="142">
        <f t="array" ref="D50">IFERROR(INDEX(BD[],_xlfn.AGGREGATE(15,6,IF(BD[CLASIFICACIÓN]=$B$2,ROW(BD[CLASIFICACIÓN])-ROW('PT2 (FILTRAR)'!$E$5)+1,NA()),ROWS($B$5:D50)),COLUMNS($B$5:D50)),"")</f>
        <v>-12694</v>
      </c>
      <c r="E50" s="126" t="str">
        <f t="array" ref="E50">IFERROR(INDEX(BD[],_xlfn.AGGREGATE(15,6,IF(BD[CLASIFICACIÓN]=$B$2,ROW(BD[CLASIFICACIÓN])-ROW('PT2 (FILTRAR)'!$E$5)+1,NA()),ROWS($B$5:E50)),COLUMNS($B$5:E50)),"")</f>
        <v>ANTICIPOS</v>
      </c>
    </row>
    <row r="51" spans="2:5" x14ac:dyDescent="0.3">
      <c r="B51" s="126" t="str">
        <f t="array" ref="B51">IFERROR(INDEX(BD[],_xlfn.AGGREGATE(15,6,IF(BD[CLASIFICACIÓN]=$B$2,ROW(BD[CLASIFICACIÓN])-ROW('PT2 (FILTRAR)'!$E$5)+1,NA()),ROWS($B$5:B51)),COLUMNS($B$5:B51)),"")</f>
        <v>104-005-041</v>
      </c>
      <c r="C51" s="127" t="str">
        <f t="array" ref="C51">IFERROR(INDEX(BD[],_xlfn.AGGREGATE(15,6,IF(BD[CLASIFICACIÓN]=$B$2,ROW(BD[CLASIFICACIÓN])-ROW('PT2 (FILTRAR)'!$E$5)+1,NA()),ROWS($B$5:C51)),COLUMNS($B$5:C51)),"")</f>
        <v>C2-2109 SARA MASRI</v>
      </c>
      <c r="D51" s="142">
        <f t="array" ref="D51">IFERROR(INDEX(BD[],_xlfn.AGGREGATE(15,6,IF(BD[CLASIFICACIÓN]=$B$2,ROW(BD[CLASIFICACIÓN])-ROW('PT2 (FILTRAR)'!$E$5)+1,NA()),ROWS($B$5:D51)),COLUMNS($B$5:D51)),"")</f>
        <v>-25388</v>
      </c>
      <c r="E51" s="126" t="str">
        <f t="array" ref="E51">IFERROR(INDEX(BD[],_xlfn.AGGREGATE(15,6,IF(BD[CLASIFICACIÓN]=$B$2,ROW(BD[CLASIFICACIÓN])-ROW('PT2 (FILTRAR)'!$E$5)+1,NA()),ROWS($B$5:E51)),COLUMNS($B$5:E51)),"")</f>
        <v>ANTICIPOS</v>
      </c>
    </row>
    <row r="52" spans="2:5" x14ac:dyDescent="0.3">
      <c r="B52" s="126" t="str">
        <f t="array" ref="B52">IFERROR(INDEX(BD[],_xlfn.AGGREGATE(15,6,IF(BD[CLASIFICACIÓN]=$B$2,ROW(BD[CLASIFICACIÓN])-ROW('PT2 (FILTRAR)'!$E$5)+1,NA()),ROWS($B$5:B52)),COLUMNS($B$5:B52)),"")</f>
        <v>104-005-048</v>
      </c>
      <c r="C52" s="127" t="str">
        <f t="array" ref="C52">IFERROR(INDEX(BD[],_xlfn.AGGREGATE(15,6,IF(BD[CLASIFICACIÓN]=$B$2,ROW(BD[CLASIFICACIÓN])-ROW('PT2 (FILTRAR)'!$E$5)+1,NA()),ROWS($B$5:C52)),COLUMNS($B$5:C52)),"")</f>
        <v>C2-2410 SARA MASRI</v>
      </c>
      <c r="D52" s="142">
        <f t="array" ref="D52">IFERROR(INDEX(BD[],_xlfn.AGGREGATE(15,6,IF(BD[CLASIFICACIÓN]=$B$2,ROW(BD[CLASIFICACIÓN])-ROW('PT2 (FILTRAR)'!$E$5)+1,NA()),ROWS($B$5:D52)),COLUMNS($B$5:D52)),"")</f>
        <v>-25388</v>
      </c>
      <c r="E52" s="126" t="str">
        <f t="array" ref="E52">IFERROR(INDEX(BD[],_xlfn.AGGREGATE(15,6,IF(BD[CLASIFICACIÓN]=$B$2,ROW(BD[CLASIFICACIÓN])-ROW('PT2 (FILTRAR)'!$E$5)+1,NA()),ROWS($B$5:E52)),COLUMNS($B$5:E52)),"")</f>
        <v>ANTICIPOS</v>
      </c>
    </row>
    <row r="53" spans="2:5" x14ac:dyDescent="0.3">
      <c r="B53" s="126" t="str">
        <f t="array" ref="B53">IFERROR(INDEX(BD[],_xlfn.AGGREGATE(15,6,IF(BD[CLASIFICACIÓN]=$B$2,ROW(BD[CLASIFICACIÓN])-ROW('PT2 (FILTRAR)'!$E$5)+1,NA()),ROWS($B$5:B53)),COLUMNS($B$5:B53)),"")</f>
        <v>104-006-042</v>
      </c>
      <c r="C53" s="127" t="str">
        <f t="array" ref="C53">IFERROR(INDEX(BD[],_xlfn.AGGREGATE(15,6,IF(BD[CLASIFICACIÓN]=$B$2,ROW(BD[CLASIFICACIÓN])-ROW('PT2 (FILTRAR)'!$E$5)+1,NA()),ROWS($B$5:C53)),COLUMNS($B$5:C53)),"")</f>
        <v>C3-2112 ALINE CHEREM</v>
      </c>
      <c r="D53" s="142">
        <f t="array" ref="D53">IFERROR(INDEX(BD[],_xlfn.AGGREGATE(15,6,IF(BD[CLASIFICACIÓN]=$B$2,ROW(BD[CLASIFICACIÓN])-ROW('PT2 (FILTRAR)'!$E$5)+1,NA()),ROWS($B$5:D53)),COLUMNS($B$5:D53)),"")</f>
        <v>-98504</v>
      </c>
      <c r="E53" s="126" t="str">
        <f t="array" ref="E53">IFERROR(INDEX(BD[],_xlfn.AGGREGATE(15,6,IF(BD[CLASIFICACIÓN]=$B$2,ROW(BD[CLASIFICACIÓN])-ROW('PT2 (FILTRAR)'!$E$5)+1,NA()),ROWS($B$5:E53)),COLUMNS($B$5:E53)),"")</f>
        <v>ANTICIPOS</v>
      </c>
    </row>
    <row r="54" spans="2:5" x14ac:dyDescent="0.3">
      <c r="B54" s="126" t="str">
        <f t="array" ref="B54">IFERROR(INDEX(BD[],_xlfn.AGGREGATE(15,6,IF(BD[CLASIFICACIÓN]=$B$2,ROW(BD[CLASIFICACIÓN])-ROW('PT2 (FILTRAR)'!$E$5)+1,NA()),ROWS($B$5:B54)),COLUMNS($B$5:B54)),"")</f>
        <v>104-006-044</v>
      </c>
      <c r="C54" s="127" t="str">
        <f t="array" ref="C54">IFERROR(INDEX(BD[],_xlfn.AGGREGATE(15,6,IF(BD[CLASIFICACIÓN]=$B$2,ROW(BD[CLASIFICACIÓN])-ROW('PT2 (FILTRAR)'!$E$5)+1,NA()),ROWS($B$5:C54)),COLUMNS($B$5:C54)),"")</f>
        <v>C3-2212 GIL COHEN</v>
      </c>
      <c r="D54" s="142">
        <f t="array" ref="D54">IFERROR(INDEX(BD[],_xlfn.AGGREGATE(15,6,IF(BD[CLASIFICACIÓN]=$B$2,ROW(BD[CLASIFICACIÓN])-ROW('PT2 (FILTRAR)'!$E$5)+1,NA()),ROWS($B$5:D54)),COLUMNS($B$5:D54)),"")</f>
        <v>-12694</v>
      </c>
      <c r="E54" s="126" t="str">
        <f t="array" ref="E54">IFERROR(INDEX(BD[],_xlfn.AGGREGATE(15,6,IF(BD[CLASIFICACIÓN]=$B$2,ROW(BD[CLASIFICACIÓN])-ROW('PT2 (FILTRAR)'!$E$5)+1,NA()),ROWS($B$5:E54)),COLUMNS($B$5:E54)),"")</f>
        <v>ANTICIPOS</v>
      </c>
    </row>
    <row r="55" spans="2:5" x14ac:dyDescent="0.3">
      <c r="B55" s="126" t="str">
        <f t="array" ref="B55">IFERROR(INDEX(BD[],_xlfn.AGGREGATE(15,6,IF(BD[CLASIFICACIÓN]=$B$2,ROW(BD[CLASIFICACIÓN])-ROW('PT2 (FILTRAR)'!$E$5)+1,NA()),ROWS($B$5:B55)),COLUMNS($B$5:B55)),"")</f>
        <v>104-006-039</v>
      </c>
      <c r="C55" s="127" t="str">
        <f t="array" ref="C55">IFERROR(INDEX(BD[],_xlfn.AGGREGATE(15,6,IF(BD[CLASIFICACIÓN]=$B$2,ROW(BD[CLASIFICACIÓN])-ROW('PT2 (FILTRAR)'!$E$5)+1,NA()),ROWS($B$5:C55)),COLUMNS($B$5:C55)),"")</f>
        <v>C3-2011 SARA MASRI</v>
      </c>
      <c r="D55" s="142">
        <f t="array" ref="D55">IFERROR(INDEX(BD[],_xlfn.AGGREGATE(15,6,IF(BD[CLASIFICACIÓN]=$B$2,ROW(BD[CLASIFICACIÓN])-ROW('PT2 (FILTRAR)'!$E$5)+1,NA()),ROWS($B$5:D55)),COLUMNS($B$5:D55)),"")</f>
        <v>-25388</v>
      </c>
      <c r="E55" s="126" t="str">
        <f t="array" ref="E55">IFERROR(INDEX(BD[],_xlfn.AGGREGATE(15,6,IF(BD[CLASIFICACIÓN]=$B$2,ROW(BD[CLASIFICACIÓN])-ROW('PT2 (FILTRAR)'!$E$5)+1,NA()),ROWS($B$5:E55)),COLUMNS($B$5:E55)),"")</f>
        <v>ANTICIPOS</v>
      </c>
    </row>
    <row r="56" spans="2:5" x14ac:dyDescent="0.3">
      <c r="B56" s="126" t="str">
        <f t="array" ref="B56">IFERROR(INDEX(BD[],_xlfn.AGGREGATE(15,6,IF(BD[CLASIFICACIÓN]=$B$2,ROW(BD[CLASIFICACIÓN])-ROW('PT2 (FILTRAR)'!$E$5)+1,NA()),ROWS($B$5:B56)),COLUMNS($B$5:B56)),"")</f>
        <v>104-006-043</v>
      </c>
      <c r="C56" s="127" t="str">
        <f t="array" ref="C56">IFERROR(INDEX(BD[],_xlfn.AGGREGATE(15,6,IF(BD[CLASIFICACIÓN]=$B$2,ROW(BD[CLASIFICACIÓN])-ROW('PT2 (FILTRAR)'!$E$5)+1,NA()),ROWS($B$5:C56)),COLUMNS($B$5:C56)),"")</f>
        <v>C3-2211 PABLO MARTI</v>
      </c>
      <c r="D56" s="142">
        <f t="array" ref="D56">IFERROR(INDEX(BD[],_xlfn.AGGREGATE(15,6,IF(BD[CLASIFICACIÓN]=$B$2,ROW(BD[CLASIFICACIÓN])-ROW('PT2 (FILTRAR)'!$E$5)+1,NA()),ROWS($B$5:D56)),COLUMNS($B$5:D56)),"")</f>
        <v>-98504</v>
      </c>
      <c r="E56" s="126" t="str">
        <f t="array" ref="E56">IFERROR(INDEX(BD[],_xlfn.AGGREGATE(15,6,IF(BD[CLASIFICACIÓN]=$B$2,ROW(BD[CLASIFICACIÓN])-ROW('PT2 (FILTRAR)'!$E$5)+1,NA()),ROWS($B$5:E56)),COLUMNS($B$5:E56)),"")</f>
        <v>ANTICIPOS</v>
      </c>
    </row>
    <row r="57" spans="2:5" x14ac:dyDescent="0.3">
      <c r="B57" s="126" t="str">
        <f t="array" ref="B57">IFERROR(INDEX(BD[],_xlfn.AGGREGATE(15,6,IF(BD[CLASIFICACIÓN]=$B$2,ROW(BD[CLASIFICACIÓN])-ROW('PT2 (FILTRAR)'!$E$5)+1,NA()),ROWS($B$5:B57)),COLUMNS($B$5:B57)),"")</f>
        <v>104-002-022</v>
      </c>
      <c r="C57" s="127" t="str">
        <f t="array" ref="C57">IFERROR(INDEX(BD[],_xlfn.AGGREGATE(15,6,IF(BD[CLASIFICACIÓN]=$B$2,ROW(BD[CLASIFICACIÓN])-ROW('PT2 (FILTRAR)'!$E$5)+1,NA()),ROWS($B$5:C57)),COLUMNS($B$5:C57)),"")</f>
        <v>O1-1104 JACOBO CATAN</v>
      </c>
      <c r="D57" s="142">
        <f t="array" ref="D57">IFERROR(INDEX(BD[],_xlfn.AGGREGATE(15,6,IF(BD[CLASIFICACIÓN]=$B$2,ROW(BD[CLASIFICACIÓN])-ROW('PT2 (FILTRAR)'!$E$5)+1,NA()),ROWS($B$5:D57)),COLUMNS($B$5:D57)),"")</f>
        <v>-112694</v>
      </c>
      <c r="E57" s="126" t="str">
        <f t="array" ref="E57">IFERROR(INDEX(BD[],_xlfn.AGGREGATE(15,6,IF(BD[CLASIFICACIÓN]=$B$2,ROW(BD[CLASIFICACIÓN])-ROW('PT2 (FILTRAR)'!$E$5)+1,NA()),ROWS($B$5:E57)),COLUMNS($B$5:E57)),"")</f>
        <v>ANTICIPOS</v>
      </c>
    </row>
    <row r="58" spans="2:5" x14ac:dyDescent="0.3">
      <c r="B58" s="126" t="str">
        <f t="array" ref="B58">IFERROR(INDEX(BD[],_xlfn.AGGREGATE(15,6,IF(BD[CLASIFICACIÓN]=$B$2,ROW(BD[CLASIFICACIÓN])-ROW('PT2 (FILTRAR)'!$E$5)+1,NA()),ROWS($B$5:B58)),COLUMNS($B$5:B58)),"")</f>
        <v>104-002-030</v>
      </c>
      <c r="C58" s="127" t="str">
        <f t="array" ref="C58">IFERROR(INDEX(BD[],_xlfn.AGGREGATE(15,6,IF(BD[CLASIFICACIÓN]=$B$2,ROW(BD[CLASIFICACIÓN])-ROW('PT2 (FILTRAR)'!$E$5)+1,NA()),ROWS($B$5:C58)),COLUMNS($B$5:C58)),"")</f>
        <v>O1-1504 GRACIELA SENOSIAIN</v>
      </c>
      <c r="D58" s="142">
        <f t="array" ref="D58">IFERROR(INDEX(BD[],_xlfn.AGGREGATE(15,6,IF(BD[CLASIFICACIÓN]=$B$2,ROW(BD[CLASIFICACIÓN])-ROW('PT2 (FILTRAR)'!$E$5)+1,NA()),ROWS($B$5:D58)),COLUMNS($B$5:D58)),"")</f>
        <v>-98504</v>
      </c>
      <c r="E58" s="126" t="str">
        <f t="array" ref="E58">IFERROR(INDEX(BD[],_xlfn.AGGREGATE(15,6,IF(BD[CLASIFICACIÓN]=$B$2,ROW(BD[CLASIFICACIÓN])-ROW('PT2 (FILTRAR)'!$E$5)+1,NA()),ROWS($B$5:E58)),COLUMNS($B$5:E58)),"")</f>
        <v>ANTICIPOS</v>
      </c>
    </row>
    <row r="59" spans="2:5" x14ac:dyDescent="0.3">
      <c r="B59" s="126" t="str">
        <f t="array" ref="B59">IFERROR(INDEX(BD[],_xlfn.AGGREGATE(15,6,IF(BD[CLASIFICACIÓN]=$B$2,ROW(BD[CLASIFICACIÓN])-ROW('PT2 (FILTRAR)'!$E$5)+1,NA()),ROWS($B$5:B59)),COLUMNS($B$5:B59)),"")</f>
        <v>104-004-025</v>
      </c>
      <c r="C59" s="127" t="str">
        <f t="array" ref="C59">IFERROR(INDEX(BD[],_xlfn.AGGREGATE(15,6,IF(BD[CLASIFICACIÓN]=$B$2,ROW(BD[CLASIFICACIÓN])-ROW('PT2 (FILTRAR)'!$E$5)+1,NA()),ROWS($B$5:C59)),COLUMNS($B$5:C59)),"")</f>
        <v>C1-1307 DANYA NISSAN</v>
      </c>
      <c r="D59" s="142">
        <f t="array" ref="D59">IFERROR(INDEX(BD[],_xlfn.AGGREGATE(15,6,IF(BD[CLASIFICACIÓN]=$B$2,ROW(BD[CLASIFICACIÓN])-ROW('PT2 (FILTRAR)'!$E$5)+1,NA()),ROWS($B$5:D59)),COLUMNS($B$5:D59)),"")</f>
        <v>-12694</v>
      </c>
      <c r="E59" s="126" t="str">
        <f t="array" ref="E59">IFERROR(INDEX(BD[],_xlfn.AGGREGATE(15,6,IF(BD[CLASIFICACIÓN]=$B$2,ROW(BD[CLASIFICACIÓN])-ROW('PT2 (FILTRAR)'!$E$5)+1,NA()),ROWS($B$5:E59)),COLUMNS($B$5:E59)),"")</f>
        <v>ANTICIPOS</v>
      </c>
    </row>
    <row r="60" spans="2:5" x14ac:dyDescent="0.3">
      <c r="B60" s="126" t="str">
        <f t="array" ref="B60">IFERROR(INDEX(BD[],_xlfn.AGGREGATE(15,6,IF(BD[CLASIFICACIÓN]=$B$2,ROW(BD[CLASIFICACIÓN])-ROW('PT2 (FILTRAR)'!$E$5)+1,NA()),ROWS($B$5:B60)),COLUMNS($B$5:B60)),"")</f>
        <v>104-006-034</v>
      </c>
      <c r="C60" s="127" t="str">
        <f t="array" ref="C60">IFERROR(INDEX(BD[],_xlfn.AGGREGATE(15,6,IF(BD[CLASIFICACIÓN]=$B$2,ROW(BD[CLASIFICACIÓN])-ROW('PT2 (FILTRAR)'!$E$5)+1,NA()),ROWS($B$5:C60)),COLUMNS($B$5:C60)),"")</f>
        <v>C3-1712 ELIAS CHAYO</v>
      </c>
      <c r="D60" s="142">
        <f t="array" ref="D60">IFERROR(INDEX(BD[],_xlfn.AGGREGATE(15,6,IF(BD[CLASIFICACIÓN]=$B$2,ROW(BD[CLASIFICACIÓN])-ROW('PT2 (FILTRAR)'!$E$5)+1,NA()),ROWS($B$5:D60)),COLUMNS($B$5:D60)),"")</f>
        <v>-25388</v>
      </c>
      <c r="E60" s="126" t="str">
        <f t="array" ref="E60">IFERROR(INDEX(BD[],_xlfn.AGGREGATE(15,6,IF(BD[CLASIFICACIÓN]=$B$2,ROW(BD[CLASIFICACIÓN])-ROW('PT2 (FILTRAR)'!$E$5)+1,NA()),ROWS($B$5:E60)),COLUMNS($B$5:E60)),"")</f>
        <v>ANTICIPOS</v>
      </c>
    </row>
    <row r="61" spans="2:5" x14ac:dyDescent="0.3">
      <c r="B61" s="126" t="str">
        <f t="array" ref="B61">IFERROR(INDEX(BD[],_xlfn.AGGREGATE(15,6,IF(BD[CLASIFICACIÓN]=$B$2,ROW(BD[CLASIFICACIÓN])-ROW('PT2 (FILTRAR)'!$E$5)+1,NA()),ROWS($B$5:B61)),COLUMNS($B$5:B61)),"")</f>
        <v>104-006-051</v>
      </c>
      <c r="C61" s="127" t="str">
        <f t="array" ref="C61">IFERROR(INDEX(BD[],_xlfn.AGGREGATE(15,6,IF(BD[CLASIFICACIÓN]=$B$2,ROW(BD[CLASIFICACIÓN])-ROW('PT2 (FILTRAR)'!$E$5)+1,NA()),ROWS($B$5:C61)),COLUMNS($B$5:C61)),"")</f>
        <v>C3-PH11 JACOBO ROMANO</v>
      </c>
      <c r="D61" s="142">
        <f t="array" ref="D61">IFERROR(INDEX(BD[],_xlfn.AGGREGATE(15,6,IF(BD[CLASIFICACIÓN]=$B$2,ROW(BD[CLASIFICACIÓN])-ROW('PT2 (FILTRAR)'!$E$5)+1,NA()),ROWS($B$5:D61)),COLUMNS($B$5:D61)),"")</f>
        <v>-98504</v>
      </c>
      <c r="E61" s="126" t="str">
        <f t="array" ref="E61">IFERROR(INDEX(BD[],_xlfn.AGGREGATE(15,6,IF(BD[CLASIFICACIÓN]=$B$2,ROW(BD[CLASIFICACIÓN])-ROW('PT2 (FILTRAR)'!$E$5)+1,NA()),ROWS($B$5:E61)),COLUMNS($B$5:E61)),"")</f>
        <v>ANTICIPOS</v>
      </c>
    </row>
    <row r="62" spans="2:5" x14ac:dyDescent="0.3">
      <c r="B62" s="126" t="str">
        <f t="array" ref="B62">IFERROR(INDEX(BD[],_xlfn.AGGREGATE(15,6,IF(BD[CLASIFICACIÓN]=$B$2,ROW(BD[CLASIFICACIÓN])-ROW('PT2 (FILTRAR)'!$E$5)+1,NA()),ROWS($B$5:B62)),COLUMNS($B$5:B62)),"")</f>
        <v>104-006-052</v>
      </c>
      <c r="C62" s="127" t="str">
        <f t="array" ref="C62">IFERROR(INDEX(BD[],_xlfn.AGGREGATE(15,6,IF(BD[CLASIFICACIÓN]=$B$2,ROW(BD[CLASIFICACIÓN])-ROW('PT2 (FILTRAR)'!$E$5)+1,NA()),ROWS($B$5:C62)),COLUMNS($B$5:C62)),"")</f>
        <v>C3-PH12 DANIEL BRIMAN</v>
      </c>
      <c r="D62" s="142">
        <f t="array" ref="D62">IFERROR(INDEX(BD[],_xlfn.AGGREGATE(15,6,IF(BD[CLASIFICACIÓN]=$B$2,ROW(BD[CLASIFICACIÓN])-ROW('PT2 (FILTRAR)'!$E$5)+1,NA()),ROWS($B$5:D62)),COLUMNS($B$5:D62)),"")</f>
        <v>-98504</v>
      </c>
      <c r="E62" s="126" t="str">
        <f t="array" ref="E62">IFERROR(INDEX(BD[],_xlfn.AGGREGATE(15,6,IF(BD[CLASIFICACIÓN]=$B$2,ROW(BD[CLASIFICACIÓN])-ROW('PT2 (FILTRAR)'!$E$5)+1,NA()),ROWS($B$5:E62)),COLUMNS($B$5:E62)),"")</f>
        <v>ANTICIPOS</v>
      </c>
    </row>
    <row r="63" spans="2:5" x14ac:dyDescent="0.3">
      <c r="B63" s="126" t="str">
        <f t="array" ref="B63">IFERROR(INDEX(BD[],_xlfn.AGGREGATE(15,6,IF(BD[CLASIFICACIÓN]=$B$2,ROW(BD[CLASIFICACIÓN])-ROW('PT2 (FILTRAR)'!$E$5)+1,NA()),ROWS($B$5:B63)),COLUMNS($B$5:B63)),"")</f>
        <v>104-001-033</v>
      </c>
      <c r="C63" s="127" t="str">
        <f t="array" ref="C63">IFERROR(INDEX(BD[],_xlfn.AGGREGATE(15,6,IF(BD[CLASIFICACIÓN]=$B$2,ROW(BD[CLASIFICACIÓN])-ROW('PT2 (FILTRAR)'!$E$5)+1,NA()),ROWS($B$5:C63)),COLUMNS($B$5:C63)),"")</f>
        <v>A-1701 ELIAS JASQUI</v>
      </c>
      <c r="D63" s="142">
        <f t="array" ref="D63">IFERROR(INDEX(BD[],_xlfn.AGGREGATE(15,6,IF(BD[CLASIFICACIÓN]=$B$2,ROW(BD[CLASIFICACIÓN])-ROW('PT2 (FILTRAR)'!$E$5)+1,NA()),ROWS($B$5:D63)),COLUMNS($B$5:D63)),"")</f>
        <v>-98504</v>
      </c>
      <c r="E63" s="126" t="str">
        <f t="array" ref="E63">IFERROR(INDEX(BD[],_xlfn.AGGREGATE(15,6,IF(BD[CLASIFICACIÓN]=$B$2,ROW(BD[CLASIFICACIÓN])-ROW('PT2 (FILTRAR)'!$E$5)+1,NA()),ROWS($B$5:E63)),COLUMNS($B$5:E63)),"")</f>
        <v>ANTICIPOS</v>
      </c>
    </row>
    <row r="64" spans="2:5" x14ac:dyDescent="0.3">
      <c r="B64" s="126" t="str">
        <f t="array" ref="B64">IFERROR(INDEX(BD[],_xlfn.AGGREGATE(15,6,IF(BD[CLASIFICACIÓN]=$B$2,ROW(BD[CLASIFICACIÓN])-ROW('PT2 (FILTRAR)'!$E$5)+1,NA()),ROWS($B$5:B64)),COLUMNS($B$5:B64)),"")</f>
        <v/>
      </c>
      <c r="C64" s="127" t="str">
        <f t="array" ref="C64">IFERROR(INDEX(BD[],_xlfn.AGGREGATE(15,6,IF(BD[CLASIFICACIÓN]=$B$2,ROW(BD[CLASIFICACIÓN])-ROW('PT2 (FILTRAR)'!$E$5)+1,NA()),ROWS($B$5:C64)),COLUMNS($B$5:C64)),"")</f>
        <v/>
      </c>
      <c r="D64" s="142" t="str">
        <f t="array" ref="D64">IFERROR(INDEX(BD[],_xlfn.AGGREGATE(15,6,IF(BD[CLASIFICACIÓN]=$B$2,ROW(BD[CLASIFICACIÓN])-ROW('PT2 (FILTRAR)'!$E$5)+1,NA()),ROWS($B$5:D64)),COLUMNS($B$5:D64)),"")</f>
        <v/>
      </c>
      <c r="E64" s="126" t="str">
        <f t="array" ref="E64">IFERROR(INDEX(BD[],_xlfn.AGGREGATE(15,6,IF(BD[CLASIFICACIÓN]=$B$2,ROW(BD[CLASIFICACIÓN])-ROW('PT2 (FILTRAR)'!$E$5)+1,NA()),ROWS($B$5:E64)),COLUMNS($B$5:E64)),"")</f>
        <v/>
      </c>
    </row>
    <row r="65" spans="2:5" x14ac:dyDescent="0.3">
      <c r="B65" s="126" t="str">
        <f t="array" ref="B65">IFERROR(INDEX(BD[],_xlfn.AGGREGATE(15,6,IF(BD[CLASIFICACIÓN]=$B$2,ROW(BD[CLASIFICACIÓN])-ROW('PT2 (FILTRAR)'!$E$5)+1,NA()),ROWS($B$5:B65)),COLUMNS($B$5:B65)),"")</f>
        <v/>
      </c>
      <c r="C65" s="127" t="str">
        <f t="array" ref="C65">IFERROR(INDEX(BD[],_xlfn.AGGREGATE(15,6,IF(BD[CLASIFICACIÓN]=$B$2,ROW(BD[CLASIFICACIÓN])-ROW('PT2 (FILTRAR)'!$E$5)+1,NA()),ROWS($B$5:C65)),COLUMNS($B$5:C65)),"")</f>
        <v/>
      </c>
      <c r="D65" s="142" t="str">
        <f t="array" ref="D65">IFERROR(INDEX(BD[],_xlfn.AGGREGATE(15,6,IF(BD[CLASIFICACIÓN]=$B$2,ROW(BD[CLASIFICACIÓN])-ROW('PT2 (FILTRAR)'!$E$5)+1,NA()),ROWS($B$5:D65)),COLUMNS($B$5:D65)),"")</f>
        <v/>
      </c>
      <c r="E65" s="126" t="str">
        <f t="array" ref="E65">IFERROR(INDEX(BD[],_xlfn.AGGREGATE(15,6,IF(BD[CLASIFICACIÓN]=$B$2,ROW(BD[CLASIFICACIÓN])-ROW('PT2 (FILTRAR)'!$E$5)+1,NA()),ROWS($B$5:E65)),COLUMNS($B$5:E65)),"")</f>
        <v/>
      </c>
    </row>
    <row r="66" spans="2:5" x14ac:dyDescent="0.3">
      <c r="B66" s="126" t="str">
        <f t="array" ref="B66">IFERROR(INDEX(BD[],_xlfn.AGGREGATE(15,6,IF(BD[CLASIFICACIÓN]=$B$2,ROW(BD[CLASIFICACIÓN])-ROW('PT2 (FILTRAR)'!$E$5)+1,NA()),ROWS($B$5:B66)),COLUMNS($B$5:B66)),"")</f>
        <v/>
      </c>
      <c r="C66" s="127" t="str">
        <f t="array" ref="C66">IFERROR(INDEX(BD[],_xlfn.AGGREGATE(15,6,IF(BD[CLASIFICACIÓN]=$B$2,ROW(BD[CLASIFICACIÓN])-ROW('PT2 (FILTRAR)'!$E$5)+1,NA()),ROWS($B$5:C66)),COLUMNS($B$5:C66)),"")</f>
        <v/>
      </c>
      <c r="D66" s="142" t="str">
        <f t="array" ref="D66">IFERROR(INDEX(BD[],_xlfn.AGGREGATE(15,6,IF(BD[CLASIFICACIÓN]=$B$2,ROW(BD[CLASIFICACIÓN])-ROW('PT2 (FILTRAR)'!$E$5)+1,NA()),ROWS($B$5:D66)),COLUMNS($B$5:D66)),"")</f>
        <v/>
      </c>
      <c r="E66" s="126" t="str">
        <f t="array" ref="E66">IFERROR(INDEX(BD[],_xlfn.AGGREGATE(15,6,IF(BD[CLASIFICACIÓN]=$B$2,ROW(BD[CLASIFICACIÓN])-ROW('PT2 (FILTRAR)'!$E$5)+1,NA()),ROWS($B$5:E66)),COLUMNS($B$5:E66)),"")</f>
        <v/>
      </c>
    </row>
    <row r="67" spans="2:5" x14ac:dyDescent="0.3">
      <c r="B67" s="126" t="str">
        <f t="array" ref="B67">IFERROR(INDEX(BD[],_xlfn.AGGREGATE(15,6,IF(BD[CLASIFICACIÓN]=$B$2,ROW(BD[CLASIFICACIÓN])-ROW('PT2 (FILTRAR)'!$E$5)+1,NA()),ROWS($B$5:B67)),COLUMNS($B$5:B67)),"")</f>
        <v/>
      </c>
      <c r="C67" s="127" t="str">
        <f t="array" ref="C67">IFERROR(INDEX(BD[],_xlfn.AGGREGATE(15,6,IF(BD[CLASIFICACIÓN]=$B$2,ROW(BD[CLASIFICACIÓN])-ROW('PT2 (FILTRAR)'!$E$5)+1,NA()),ROWS($B$5:C67)),COLUMNS($B$5:C67)),"")</f>
        <v/>
      </c>
      <c r="D67" s="142" t="str">
        <f t="array" ref="D67">IFERROR(INDEX(BD[],_xlfn.AGGREGATE(15,6,IF(BD[CLASIFICACIÓN]=$B$2,ROW(BD[CLASIFICACIÓN])-ROW('PT2 (FILTRAR)'!$E$5)+1,NA()),ROWS($B$5:D67)),COLUMNS($B$5:D67)),"")</f>
        <v/>
      </c>
      <c r="E67" s="126" t="str">
        <f t="array" ref="E67">IFERROR(INDEX(BD[],_xlfn.AGGREGATE(15,6,IF(BD[CLASIFICACIÓN]=$B$2,ROW(BD[CLASIFICACIÓN])-ROW('PT2 (FILTRAR)'!$E$5)+1,NA()),ROWS($B$5:E67)),COLUMNS($B$5:E67)),"")</f>
        <v/>
      </c>
    </row>
    <row r="68" spans="2:5" x14ac:dyDescent="0.3">
      <c r="B68" s="126" t="str">
        <f t="array" ref="B68">IFERROR(INDEX(BD[],_xlfn.AGGREGATE(15,6,IF(BD[CLASIFICACIÓN]=$B$2,ROW(BD[CLASIFICACIÓN])-ROW('PT2 (FILTRAR)'!$E$5)+1,NA()),ROWS($B$5:B68)),COLUMNS($B$5:B68)),"")</f>
        <v/>
      </c>
      <c r="C68" s="127" t="str">
        <f t="array" ref="C68">IFERROR(INDEX(BD[],_xlfn.AGGREGATE(15,6,IF(BD[CLASIFICACIÓN]=$B$2,ROW(BD[CLASIFICACIÓN])-ROW('PT2 (FILTRAR)'!$E$5)+1,NA()),ROWS($B$5:C68)),COLUMNS($B$5:C68)),"")</f>
        <v/>
      </c>
      <c r="D68" s="142" t="str">
        <f t="array" ref="D68">IFERROR(INDEX(BD[],_xlfn.AGGREGATE(15,6,IF(BD[CLASIFICACIÓN]=$B$2,ROW(BD[CLASIFICACIÓN])-ROW('PT2 (FILTRAR)'!$E$5)+1,NA()),ROWS($B$5:D68)),COLUMNS($B$5:D68)),"")</f>
        <v/>
      </c>
      <c r="E68" s="126" t="str">
        <f t="array" ref="E68">IFERROR(INDEX(BD[],_xlfn.AGGREGATE(15,6,IF(BD[CLASIFICACIÓN]=$B$2,ROW(BD[CLASIFICACIÓN])-ROW('PT2 (FILTRAR)'!$E$5)+1,NA()),ROWS($B$5:E68)),COLUMNS($B$5:E68)),"")</f>
        <v/>
      </c>
    </row>
    <row r="69" spans="2:5" x14ac:dyDescent="0.3">
      <c r="B69" s="126" t="str">
        <f t="array" ref="B69">IFERROR(INDEX(BD[],_xlfn.AGGREGATE(15,6,IF(BD[CLASIFICACIÓN]=$B$2,ROW(BD[CLASIFICACIÓN])-ROW('PT2 (FILTRAR)'!$E$5)+1,NA()),ROWS($B$5:B69)),COLUMNS($B$5:B69)),"")</f>
        <v/>
      </c>
      <c r="C69" s="127" t="str">
        <f t="array" ref="C69">IFERROR(INDEX(BD[],_xlfn.AGGREGATE(15,6,IF(BD[CLASIFICACIÓN]=$B$2,ROW(BD[CLASIFICACIÓN])-ROW('PT2 (FILTRAR)'!$E$5)+1,NA()),ROWS($B$5:C69)),COLUMNS($B$5:C69)),"")</f>
        <v/>
      </c>
      <c r="D69" s="142" t="str">
        <f t="array" ref="D69">IFERROR(INDEX(BD[],_xlfn.AGGREGATE(15,6,IF(BD[CLASIFICACIÓN]=$B$2,ROW(BD[CLASIFICACIÓN])-ROW('PT2 (FILTRAR)'!$E$5)+1,NA()),ROWS($B$5:D69)),COLUMNS($B$5:D69)),"")</f>
        <v/>
      </c>
      <c r="E69" s="126" t="str">
        <f t="array" ref="E69">IFERROR(INDEX(BD[],_xlfn.AGGREGATE(15,6,IF(BD[CLASIFICACIÓN]=$B$2,ROW(BD[CLASIFICACIÓN])-ROW('PT2 (FILTRAR)'!$E$5)+1,NA()),ROWS($B$5:E69)),COLUMNS($B$5:E69)),"")</f>
        <v/>
      </c>
    </row>
    <row r="70" spans="2:5" x14ac:dyDescent="0.3">
      <c r="B70" s="126" t="str">
        <f t="array" ref="B70">IFERROR(INDEX(BD[],_xlfn.AGGREGATE(15,6,IF(BD[CLASIFICACIÓN]=$B$2,ROW(BD[CLASIFICACIÓN])-ROW('PT2 (FILTRAR)'!$E$5)+1,NA()),ROWS($B$5:B70)),COLUMNS($B$5:B70)),"")</f>
        <v/>
      </c>
      <c r="C70" s="127" t="str">
        <f t="array" ref="C70">IFERROR(INDEX(BD[],_xlfn.AGGREGATE(15,6,IF(BD[CLASIFICACIÓN]=$B$2,ROW(BD[CLASIFICACIÓN])-ROW('PT2 (FILTRAR)'!$E$5)+1,NA()),ROWS($B$5:C70)),COLUMNS($B$5:C70)),"")</f>
        <v/>
      </c>
      <c r="D70" s="142" t="str">
        <f t="array" ref="D70">IFERROR(INDEX(BD[],_xlfn.AGGREGATE(15,6,IF(BD[CLASIFICACIÓN]=$B$2,ROW(BD[CLASIFICACIÓN])-ROW('PT2 (FILTRAR)'!$E$5)+1,NA()),ROWS($B$5:D70)),COLUMNS($B$5:D70)),"")</f>
        <v/>
      </c>
      <c r="E70" s="126" t="str">
        <f t="array" ref="E70">IFERROR(INDEX(BD[],_xlfn.AGGREGATE(15,6,IF(BD[CLASIFICACIÓN]=$B$2,ROW(BD[CLASIFICACIÓN])-ROW('PT2 (FILTRAR)'!$E$5)+1,NA()),ROWS($B$5:E70)),COLUMNS($B$5:E70)),"")</f>
        <v/>
      </c>
    </row>
    <row r="71" spans="2:5" x14ac:dyDescent="0.3">
      <c r="B71" s="126" t="str">
        <f t="array" ref="B71">IFERROR(INDEX(BD[],_xlfn.AGGREGATE(15,6,IF(BD[CLASIFICACIÓN]=$B$2,ROW(BD[CLASIFICACIÓN])-ROW('PT2 (FILTRAR)'!$E$5)+1,NA()),ROWS($B$5:B71)),COLUMNS($B$5:B71)),"")</f>
        <v/>
      </c>
      <c r="C71" s="127" t="str">
        <f t="array" ref="C71">IFERROR(INDEX(BD[],_xlfn.AGGREGATE(15,6,IF(BD[CLASIFICACIÓN]=$B$2,ROW(BD[CLASIFICACIÓN])-ROW('PT2 (FILTRAR)'!$E$5)+1,NA()),ROWS($B$5:C71)),COLUMNS($B$5:C71)),"")</f>
        <v/>
      </c>
      <c r="D71" s="142" t="str">
        <f t="array" ref="D71">IFERROR(INDEX(BD[],_xlfn.AGGREGATE(15,6,IF(BD[CLASIFICACIÓN]=$B$2,ROW(BD[CLASIFICACIÓN])-ROW('PT2 (FILTRAR)'!$E$5)+1,NA()),ROWS($B$5:D71)),COLUMNS($B$5:D71)),"")</f>
        <v/>
      </c>
      <c r="E71" s="126" t="str">
        <f t="array" ref="E71">IFERROR(INDEX(BD[],_xlfn.AGGREGATE(15,6,IF(BD[CLASIFICACIÓN]=$B$2,ROW(BD[CLASIFICACIÓN])-ROW('PT2 (FILTRAR)'!$E$5)+1,NA()),ROWS($B$5:E71)),COLUMNS($B$5:E71)),"")</f>
        <v/>
      </c>
    </row>
    <row r="72" spans="2:5" x14ac:dyDescent="0.3">
      <c r="B72" s="126" t="str">
        <f t="array" ref="B72">IFERROR(INDEX(BD[],_xlfn.AGGREGATE(15,6,IF(BD[CLASIFICACIÓN]=$B$2,ROW(BD[CLASIFICACIÓN])-ROW('PT2 (FILTRAR)'!$E$5)+1,NA()),ROWS($B$5:B72)),COLUMNS($B$5:B72)),"")</f>
        <v/>
      </c>
      <c r="C72" s="127" t="str">
        <f t="array" ref="C72">IFERROR(INDEX(BD[],_xlfn.AGGREGATE(15,6,IF(BD[CLASIFICACIÓN]=$B$2,ROW(BD[CLASIFICACIÓN])-ROW('PT2 (FILTRAR)'!$E$5)+1,NA()),ROWS($B$5:C72)),COLUMNS($B$5:C72)),"")</f>
        <v/>
      </c>
      <c r="D72" s="142" t="str">
        <f t="array" ref="D72">IFERROR(INDEX(BD[],_xlfn.AGGREGATE(15,6,IF(BD[CLASIFICACIÓN]=$B$2,ROW(BD[CLASIFICACIÓN])-ROW('PT2 (FILTRAR)'!$E$5)+1,NA()),ROWS($B$5:D72)),COLUMNS($B$5:D72)),"")</f>
        <v/>
      </c>
      <c r="E72" s="126" t="str">
        <f t="array" ref="E72">IFERROR(INDEX(BD[],_xlfn.AGGREGATE(15,6,IF(BD[CLASIFICACIÓN]=$B$2,ROW(BD[CLASIFICACIÓN])-ROW('PT2 (FILTRAR)'!$E$5)+1,NA()),ROWS($B$5:E72)),COLUMNS($B$5:E72)),"")</f>
        <v/>
      </c>
    </row>
    <row r="73" spans="2:5" x14ac:dyDescent="0.3">
      <c r="B73" s="126" t="str">
        <f t="array" ref="B73">IFERROR(INDEX(BD[],_xlfn.AGGREGATE(15,6,IF(BD[CLASIFICACIÓN]=$B$2,ROW(BD[CLASIFICACIÓN])-ROW('PT2 (FILTRAR)'!$E$5)+1,NA()),ROWS($B$5:B73)),COLUMNS($B$5:B73)),"")</f>
        <v/>
      </c>
      <c r="C73" s="127" t="str">
        <f t="array" ref="C73">IFERROR(INDEX(BD[],_xlfn.AGGREGATE(15,6,IF(BD[CLASIFICACIÓN]=$B$2,ROW(BD[CLASIFICACIÓN])-ROW('PT2 (FILTRAR)'!$E$5)+1,NA()),ROWS($B$5:C73)),COLUMNS($B$5:C73)),"")</f>
        <v/>
      </c>
      <c r="D73" s="142" t="str">
        <f t="array" ref="D73">IFERROR(INDEX(BD[],_xlfn.AGGREGATE(15,6,IF(BD[CLASIFICACIÓN]=$B$2,ROW(BD[CLASIFICACIÓN])-ROW('PT2 (FILTRAR)'!$E$5)+1,NA()),ROWS($B$5:D73)),COLUMNS($B$5:D73)),"")</f>
        <v/>
      </c>
      <c r="E73" s="126" t="str">
        <f t="array" ref="E73">IFERROR(INDEX(BD[],_xlfn.AGGREGATE(15,6,IF(BD[CLASIFICACIÓN]=$B$2,ROW(BD[CLASIFICACIÓN])-ROW('PT2 (FILTRAR)'!$E$5)+1,NA()),ROWS($B$5:E73)),COLUMNS($B$5:E73)),"")</f>
        <v/>
      </c>
    </row>
    <row r="74" spans="2:5" x14ac:dyDescent="0.3">
      <c r="B74" s="126" t="str">
        <f t="array" ref="B74">IFERROR(INDEX(BD[],_xlfn.AGGREGATE(15,6,IF(BD[CLASIFICACIÓN]=$B$2,ROW(BD[CLASIFICACIÓN])-ROW('PT2 (FILTRAR)'!$E$5)+1,NA()),ROWS($B$5:B74)),COLUMNS($B$5:B74)),"")</f>
        <v/>
      </c>
      <c r="C74" s="127" t="str">
        <f t="array" ref="C74">IFERROR(INDEX(BD[],_xlfn.AGGREGATE(15,6,IF(BD[CLASIFICACIÓN]=$B$2,ROW(BD[CLASIFICACIÓN])-ROW('PT2 (FILTRAR)'!$E$5)+1,NA()),ROWS($B$5:C74)),COLUMNS($B$5:C74)),"")</f>
        <v/>
      </c>
      <c r="D74" s="142" t="str">
        <f t="array" ref="D74">IFERROR(INDEX(BD[],_xlfn.AGGREGATE(15,6,IF(BD[CLASIFICACIÓN]=$B$2,ROW(BD[CLASIFICACIÓN])-ROW('PT2 (FILTRAR)'!$E$5)+1,NA()),ROWS($B$5:D74)),COLUMNS($B$5:D74)),"")</f>
        <v/>
      </c>
      <c r="E74" s="126" t="str">
        <f t="array" ref="E74">IFERROR(INDEX(BD[],_xlfn.AGGREGATE(15,6,IF(BD[CLASIFICACIÓN]=$B$2,ROW(BD[CLASIFICACIÓN])-ROW('PT2 (FILTRAR)'!$E$5)+1,NA()),ROWS($B$5:E74)),COLUMNS($B$5:E74)),"")</f>
        <v/>
      </c>
    </row>
    <row r="75" spans="2:5" x14ac:dyDescent="0.3">
      <c r="B75" s="126" t="str">
        <f t="array" ref="B75">IFERROR(INDEX(BD[],_xlfn.AGGREGATE(15,6,IF(BD[CLASIFICACIÓN]=$B$2,ROW(BD[CLASIFICACIÓN])-ROW('PT2 (FILTRAR)'!$E$5)+1,NA()),ROWS($B$5:B75)),COLUMNS($B$5:B75)),"")</f>
        <v/>
      </c>
      <c r="C75" s="127" t="str">
        <f t="array" ref="C75">IFERROR(INDEX(BD[],_xlfn.AGGREGATE(15,6,IF(BD[CLASIFICACIÓN]=$B$2,ROW(BD[CLASIFICACIÓN])-ROW('PT2 (FILTRAR)'!$E$5)+1,NA()),ROWS($B$5:C75)),COLUMNS($B$5:C75)),"")</f>
        <v/>
      </c>
      <c r="D75" s="142" t="str">
        <f t="array" ref="D75">IFERROR(INDEX(BD[],_xlfn.AGGREGATE(15,6,IF(BD[CLASIFICACIÓN]=$B$2,ROW(BD[CLASIFICACIÓN])-ROW('PT2 (FILTRAR)'!$E$5)+1,NA()),ROWS($B$5:D75)),COLUMNS($B$5:D75)),"")</f>
        <v/>
      </c>
      <c r="E75" s="126" t="str">
        <f t="array" ref="E75">IFERROR(INDEX(BD[],_xlfn.AGGREGATE(15,6,IF(BD[CLASIFICACIÓN]=$B$2,ROW(BD[CLASIFICACIÓN])-ROW('PT2 (FILTRAR)'!$E$5)+1,NA()),ROWS($B$5:E75)),COLUMNS($B$5:E75)),"")</f>
        <v/>
      </c>
    </row>
    <row r="76" spans="2:5" x14ac:dyDescent="0.3">
      <c r="B76" s="126" t="str">
        <f t="array" ref="B76">IFERROR(INDEX(BD[],_xlfn.AGGREGATE(15,6,IF(BD[CLASIFICACIÓN]=$B$2,ROW(BD[CLASIFICACIÓN])-ROW('PT2 (FILTRAR)'!$E$5)+1,NA()),ROWS($B$5:B76)),COLUMNS($B$5:B76)),"")</f>
        <v/>
      </c>
      <c r="C76" s="127" t="str">
        <f t="array" ref="C76">IFERROR(INDEX(BD[],_xlfn.AGGREGATE(15,6,IF(BD[CLASIFICACIÓN]=$B$2,ROW(BD[CLASIFICACIÓN])-ROW('PT2 (FILTRAR)'!$E$5)+1,NA()),ROWS($B$5:C76)),COLUMNS($B$5:C76)),"")</f>
        <v/>
      </c>
      <c r="D76" s="142" t="str">
        <f t="array" ref="D76">IFERROR(INDEX(BD[],_xlfn.AGGREGATE(15,6,IF(BD[CLASIFICACIÓN]=$B$2,ROW(BD[CLASIFICACIÓN])-ROW('PT2 (FILTRAR)'!$E$5)+1,NA()),ROWS($B$5:D76)),COLUMNS($B$5:D76)),"")</f>
        <v/>
      </c>
      <c r="E76" s="126" t="str">
        <f t="array" ref="E76">IFERROR(INDEX(BD[],_xlfn.AGGREGATE(15,6,IF(BD[CLASIFICACIÓN]=$B$2,ROW(BD[CLASIFICACIÓN])-ROW('PT2 (FILTRAR)'!$E$5)+1,NA()),ROWS($B$5:E76)),COLUMNS($B$5:E76)),"")</f>
        <v/>
      </c>
    </row>
    <row r="77" spans="2:5" x14ac:dyDescent="0.3">
      <c r="B77" s="126" t="str">
        <f t="array" ref="B77">IFERROR(INDEX(BD[],_xlfn.AGGREGATE(15,6,IF(BD[CLASIFICACIÓN]=$B$2,ROW(BD[CLASIFICACIÓN])-ROW('PT2 (FILTRAR)'!$E$5)+1,NA()),ROWS($B$5:B77)),COLUMNS($B$5:B77)),"")</f>
        <v/>
      </c>
      <c r="C77" s="127" t="str">
        <f t="array" ref="C77">IFERROR(INDEX(BD[],_xlfn.AGGREGATE(15,6,IF(BD[CLASIFICACIÓN]=$B$2,ROW(BD[CLASIFICACIÓN])-ROW('PT2 (FILTRAR)'!$E$5)+1,NA()),ROWS($B$5:C77)),COLUMNS($B$5:C77)),"")</f>
        <v/>
      </c>
      <c r="D77" s="142" t="str">
        <f t="array" ref="D77">IFERROR(INDEX(BD[],_xlfn.AGGREGATE(15,6,IF(BD[CLASIFICACIÓN]=$B$2,ROW(BD[CLASIFICACIÓN])-ROW('PT2 (FILTRAR)'!$E$5)+1,NA()),ROWS($B$5:D77)),COLUMNS($B$5:D77)),"")</f>
        <v/>
      </c>
      <c r="E77" s="126" t="str">
        <f t="array" ref="E77">IFERROR(INDEX(BD[],_xlfn.AGGREGATE(15,6,IF(BD[CLASIFICACIÓN]=$B$2,ROW(BD[CLASIFICACIÓN])-ROW('PT2 (FILTRAR)'!$E$5)+1,NA()),ROWS($B$5:E77)),COLUMNS($B$5:E77)),"")</f>
        <v/>
      </c>
    </row>
    <row r="78" spans="2:5" x14ac:dyDescent="0.3">
      <c r="B78" s="126" t="str">
        <f t="array" ref="B78">IFERROR(INDEX(BD[],_xlfn.AGGREGATE(15,6,IF(BD[CLASIFICACIÓN]=$B$2,ROW(BD[CLASIFICACIÓN])-ROW('PT2 (FILTRAR)'!$E$5)+1,NA()),ROWS($B$5:B78)),COLUMNS($B$5:B78)),"")</f>
        <v/>
      </c>
      <c r="C78" s="127" t="str">
        <f t="array" ref="C78">IFERROR(INDEX(BD[],_xlfn.AGGREGATE(15,6,IF(BD[CLASIFICACIÓN]=$B$2,ROW(BD[CLASIFICACIÓN])-ROW('PT2 (FILTRAR)'!$E$5)+1,NA()),ROWS($B$5:C78)),COLUMNS($B$5:C78)),"")</f>
        <v/>
      </c>
      <c r="D78" s="142" t="str">
        <f t="array" ref="D78">IFERROR(INDEX(BD[],_xlfn.AGGREGATE(15,6,IF(BD[CLASIFICACIÓN]=$B$2,ROW(BD[CLASIFICACIÓN])-ROW('PT2 (FILTRAR)'!$E$5)+1,NA()),ROWS($B$5:D78)),COLUMNS($B$5:D78)),"")</f>
        <v/>
      </c>
      <c r="E78" s="126" t="str">
        <f t="array" ref="E78">IFERROR(INDEX(BD[],_xlfn.AGGREGATE(15,6,IF(BD[CLASIFICACIÓN]=$B$2,ROW(BD[CLASIFICACIÓN])-ROW('PT2 (FILTRAR)'!$E$5)+1,NA()),ROWS($B$5:E78)),COLUMNS($B$5:E78)),"")</f>
        <v/>
      </c>
    </row>
    <row r="79" spans="2:5" x14ac:dyDescent="0.3">
      <c r="B79" s="126" t="str">
        <f t="array" ref="B79">IFERROR(INDEX(BD[],_xlfn.AGGREGATE(15,6,IF(BD[CLASIFICACIÓN]=$B$2,ROW(BD[CLASIFICACIÓN])-ROW('PT2 (FILTRAR)'!$E$5)+1,NA()),ROWS($B$5:B79)),COLUMNS($B$5:B79)),"")</f>
        <v/>
      </c>
      <c r="C79" s="127" t="str">
        <f t="array" ref="C79">IFERROR(INDEX(BD[],_xlfn.AGGREGATE(15,6,IF(BD[CLASIFICACIÓN]=$B$2,ROW(BD[CLASIFICACIÓN])-ROW('PT2 (FILTRAR)'!$E$5)+1,NA()),ROWS($B$5:C79)),COLUMNS($B$5:C79)),"")</f>
        <v/>
      </c>
      <c r="D79" s="142" t="str">
        <f t="array" ref="D79">IFERROR(INDEX(BD[],_xlfn.AGGREGATE(15,6,IF(BD[CLASIFICACIÓN]=$B$2,ROW(BD[CLASIFICACIÓN])-ROW('PT2 (FILTRAR)'!$E$5)+1,NA()),ROWS($B$5:D79)),COLUMNS($B$5:D79)),"")</f>
        <v/>
      </c>
      <c r="E79" s="126" t="str">
        <f t="array" ref="E79">IFERROR(INDEX(BD[],_xlfn.AGGREGATE(15,6,IF(BD[CLASIFICACIÓN]=$B$2,ROW(BD[CLASIFICACIÓN])-ROW('PT2 (FILTRAR)'!$E$5)+1,NA()),ROWS($B$5:E79)),COLUMNS($B$5:E79)),"")</f>
        <v/>
      </c>
    </row>
    <row r="80" spans="2:5" x14ac:dyDescent="0.3">
      <c r="B80" s="126" t="str">
        <f t="array" ref="B80">IFERROR(INDEX(BD[],_xlfn.AGGREGATE(15,6,IF(BD[CLASIFICACIÓN]=$B$2,ROW(BD[CLASIFICACIÓN])-ROW('PT2 (FILTRAR)'!$E$5)+1,NA()),ROWS($B$5:B80)),COLUMNS($B$5:B80)),"")</f>
        <v/>
      </c>
      <c r="C80" s="127" t="str">
        <f t="array" ref="C80">IFERROR(INDEX(BD[],_xlfn.AGGREGATE(15,6,IF(BD[CLASIFICACIÓN]=$B$2,ROW(BD[CLASIFICACIÓN])-ROW('PT2 (FILTRAR)'!$E$5)+1,NA()),ROWS($B$5:C80)),COLUMNS($B$5:C80)),"")</f>
        <v/>
      </c>
      <c r="D80" s="142" t="str">
        <f t="array" ref="D80">IFERROR(INDEX(BD[],_xlfn.AGGREGATE(15,6,IF(BD[CLASIFICACIÓN]=$B$2,ROW(BD[CLASIFICACIÓN])-ROW('PT2 (FILTRAR)'!$E$5)+1,NA()),ROWS($B$5:D80)),COLUMNS($B$5:D80)),"")</f>
        <v/>
      </c>
      <c r="E80" s="126" t="str">
        <f t="array" ref="E80">IFERROR(INDEX(BD[],_xlfn.AGGREGATE(15,6,IF(BD[CLASIFICACIÓN]=$B$2,ROW(BD[CLASIFICACIÓN])-ROW('PT2 (FILTRAR)'!$E$5)+1,NA()),ROWS($B$5:E80)),COLUMNS($B$5:E80)),"")</f>
        <v/>
      </c>
    </row>
    <row r="81" spans="2:5" x14ac:dyDescent="0.3">
      <c r="B81" s="126" t="str">
        <f t="array" ref="B81">IFERROR(INDEX(BD[],_xlfn.AGGREGATE(15,6,IF(BD[CLASIFICACIÓN]=$B$2,ROW(BD[CLASIFICACIÓN])-ROW('PT2 (FILTRAR)'!$E$5)+1,NA()),ROWS($B$5:B81)),COLUMNS($B$5:B81)),"")</f>
        <v/>
      </c>
      <c r="C81" s="127" t="str">
        <f t="array" ref="C81">IFERROR(INDEX(BD[],_xlfn.AGGREGATE(15,6,IF(BD[CLASIFICACIÓN]=$B$2,ROW(BD[CLASIFICACIÓN])-ROW('PT2 (FILTRAR)'!$E$5)+1,NA()),ROWS($B$5:C81)),COLUMNS($B$5:C81)),"")</f>
        <v/>
      </c>
      <c r="D81" s="142" t="str">
        <f t="array" ref="D81">IFERROR(INDEX(BD[],_xlfn.AGGREGATE(15,6,IF(BD[CLASIFICACIÓN]=$B$2,ROW(BD[CLASIFICACIÓN])-ROW('PT2 (FILTRAR)'!$E$5)+1,NA()),ROWS($B$5:D81)),COLUMNS($B$5:D81)),"")</f>
        <v/>
      </c>
      <c r="E81" s="126" t="str">
        <f t="array" ref="E81">IFERROR(INDEX(BD[],_xlfn.AGGREGATE(15,6,IF(BD[CLASIFICACIÓN]=$B$2,ROW(BD[CLASIFICACIÓN])-ROW('PT2 (FILTRAR)'!$E$5)+1,NA()),ROWS($B$5:E81)),COLUMNS($B$5:E81)),"")</f>
        <v/>
      </c>
    </row>
    <row r="82" spans="2:5" x14ac:dyDescent="0.3">
      <c r="B82" s="126" t="str">
        <f t="array" ref="B82">IFERROR(INDEX(BD[],_xlfn.AGGREGATE(15,6,IF(BD[CLASIFICACIÓN]=$B$2,ROW(BD[CLASIFICACIÓN])-ROW('PT2 (FILTRAR)'!$E$5)+1,NA()),ROWS($B$5:B82)),COLUMNS($B$5:B82)),"")</f>
        <v/>
      </c>
      <c r="C82" s="127" t="str">
        <f t="array" ref="C82">IFERROR(INDEX(BD[],_xlfn.AGGREGATE(15,6,IF(BD[CLASIFICACIÓN]=$B$2,ROW(BD[CLASIFICACIÓN])-ROW('PT2 (FILTRAR)'!$E$5)+1,NA()),ROWS($B$5:C82)),COLUMNS($B$5:C82)),"")</f>
        <v/>
      </c>
      <c r="D82" s="142" t="str">
        <f t="array" ref="D82">IFERROR(INDEX(BD[],_xlfn.AGGREGATE(15,6,IF(BD[CLASIFICACIÓN]=$B$2,ROW(BD[CLASIFICACIÓN])-ROW('PT2 (FILTRAR)'!$E$5)+1,NA()),ROWS($B$5:D82)),COLUMNS($B$5:D82)),"")</f>
        <v/>
      </c>
      <c r="E82" s="126" t="str">
        <f t="array" ref="E82">IFERROR(INDEX(BD[],_xlfn.AGGREGATE(15,6,IF(BD[CLASIFICACIÓN]=$B$2,ROW(BD[CLASIFICACIÓN])-ROW('PT2 (FILTRAR)'!$E$5)+1,NA()),ROWS($B$5:E82)),COLUMNS($B$5:E82)),"")</f>
        <v/>
      </c>
    </row>
    <row r="83" spans="2:5" x14ac:dyDescent="0.3">
      <c r="B83" s="126" t="str">
        <f t="array" ref="B83">IFERROR(INDEX(BD[],_xlfn.AGGREGATE(15,6,IF(BD[CLASIFICACIÓN]=$B$2,ROW(BD[CLASIFICACIÓN])-ROW('PT2 (FILTRAR)'!$E$5)+1,NA()),ROWS($B$5:B83)),COLUMNS($B$5:B83)),"")</f>
        <v/>
      </c>
      <c r="C83" s="127" t="str">
        <f t="array" ref="C83">IFERROR(INDEX(BD[],_xlfn.AGGREGATE(15,6,IF(BD[CLASIFICACIÓN]=$B$2,ROW(BD[CLASIFICACIÓN])-ROW('PT2 (FILTRAR)'!$E$5)+1,NA()),ROWS($B$5:C83)),COLUMNS($B$5:C83)),"")</f>
        <v/>
      </c>
      <c r="D83" s="142" t="str">
        <f t="array" ref="D83">IFERROR(INDEX(BD[],_xlfn.AGGREGATE(15,6,IF(BD[CLASIFICACIÓN]=$B$2,ROW(BD[CLASIFICACIÓN])-ROW('PT2 (FILTRAR)'!$E$5)+1,NA()),ROWS($B$5:D83)),COLUMNS($B$5:D83)),"")</f>
        <v/>
      </c>
      <c r="E83" s="126" t="str">
        <f t="array" ref="E83">IFERROR(INDEX(BD[],_xlfn.AGGREGATE(15,6,IF(BD[CLASIFICACIÓN]=$B$2,ROW(BD[CLASIFICACIÓN])-ROW('PT2 (FILTRAR)'!$E$5)+1,NA()),ROWS($B$5:E83)),COLUMNS($B$5:E83)),"")</f>
        <v/>
      </c>
    </row>
    <row r="84" spans="2:5" x14ac:dyDescent="0.3">
      <c r="B84" s="126" t="str">
        <f t="array" ref="B84">IFERROR(INDEX(BD[],_xlfn.AGGREGATE(15,6,IF(BD[CLASIFICACIÓN]=$B$2,ROW(BD[CLASIFICACIÓN])-ROW('PT2 (FILTRAR)'!$E$5)+1,NA()),ROWS($B$5:B84)),COLUMNS($B$5:B84)),"")</f>
        <v/>
      </c>
      <c r="C84" s="127" t="str">
        <f t="array" ref="C84">IFERROR(INDEX(BD[],_xlfn.AGGREGATE(15,6,IF(BD[CLASIFICACIÓN]=$B$2,ROW(BD[CLASIFICACIÓN])-ROW('PT2 (FILTRAR)'!$E$5)+1,NA()),ROWS($B$5:C84)),COLUMNS($B$5:C84)),"")</f>
        <v/>
      </c>
      <c r="D84" s="142" t="str">
        <f t="array" ref="D84">IFERROR(INDEX(BD[],_xlfn.AGGREGATE(15,6,IF(BD[CLASIFICACIÓN]=$B$2,ROW(BD[CLASIFICACIÓN])-ROW('PT2 (FILTRAR)'!$E$5)+1,NA()),ROWS($B$5:D84)),COLUMNS($B$5:D84)),"")</f>
        <v/>
      </c>
      <c r="E84" s="126" t="str">
        <f t="array" ref="E84">IFERROR(INDEX(BD[],_xlfn.AGGREGATE(15,6,IF(BD[CLASIFICACIÓN]=$B$2,ROW(BD[CLASIFICACIÓN])-ROW('PT2 (FILTRAR)'!$E$5)+1,NA()),ROWS($B$5:E84)),COLUMNS($B$5:E84)),"")</f>
        <v/>
      </c>
    </row>
    <row r="85" spans="2:5" x14ac:dyDescent="0.3">
      <c r="B85" s="126" t="str">
        <f t="array" ref="B85">IFERROR(INDEX(BD[],_xlfn.AGGREGATE(15,6,IF(BD[CLASIFICACIÓN]=$B$2,ROW(BD[CLASIFICACIÓN])-ROW('PT2 (FILTRAR)'!$E$5)+1,NA()),ROWS($B$5:B85)),COLUMNS($B$5:B85)),"")</f>
        <v/>
      </c>
      <c r="C85" s="127" t="str">
        <f t="array" ref="C85">IFERROR(INDEX(BD[],_xlfn.AGGREGATE(15,6,IF(BD[CLASIFICACIÓN]=$B$2,ROW(BD[CLASIFICACIÓN])-ROW('PT2 (FILTRAR)'!$E$5)+1,NA()),ROWS($B$5:C85)),COLUMNS($B$5:C85)),"")</f>
        <v/>
      </c>
      <c r="D85" s="142" t="str">
        <f t="array" ref="D85">IFERROR(INDEX(BD[],_xlfn.AGGREGATE(15,6,IF(BD[CLASIFICACIÓN]=$B$2,ROW(BD[CLASIFICACIÓN])-ROW('PT2 (FILTRAR)'!$E$5)+1,NA()),ROWS($B$5:D85)),COLUMNS($B$5:D85)),"")</f>
        <v/>
      </c>
      <c r="E85" s="126" t="str">
        <f t="array" ref="E85">IFERROR(INDEX(BD[],_xlfn.AGGREGATE(15,6,IF(BD[CLASIFICACIÓN]=$B$2,ROW(BD[CLASIFICACIÓN])-ROW('PT2 (FILTRAR)'!$E$5)+1,NA()),ROWS($B$5:E85)),COLUMNS($B$5:E85)),"")</f>
        <v/>
      </c>
    </row>
    <row r="86" spans="2:5" x14ac:dyDescent="0.3">
      <c r="B86" s="126" t="str">
        <f t="array" ref="B86">IFERROR(INDEX(BD[],_xlfn.AGGREGATE(15,6,IF(BD[CLASIFICACIÓN]=$B$2,ROW(BD[CLASIFICACIÓN])-ROW('PT2 (FILTRAR)'!$E$5)+1,NA()),ROWS($B$5:B86)),COLUMNS($B$5:B86)),"")</f>
        <v/>
      </c>
      <c r="C86" s="127" t="str">
        <f t="array" ref="C86">IFERROR(INDEX(BD[],_xlfn.AGGREGATE(15,6,IF(BD[CLASIFICACIÓN]=$B$2,ROW(BD[CLASIFICACIÓN])-ROW('PT2 (FILTRAR)'!$E$5)+1,NA()),ROWS($B$5:C86)),COLUMNS($B$5:C86)),"")</f>
        <v/>
      </c>
      <c r="D86" s="142" t="str">
        <f t="array" ref="D86">IFERROR(INDEX(BD[],_xlfn.AGGREGATE(15,6,IF(BD[CLASIFICACIÓN]=$B$2,ROW(BD[CLASIFICACIÓN])-ROW('PT2 (FILTRAR)'!$E$5)+1,NA()),ROWS($B$5:D86)),COLUMNS($B$5:D86)),"")</f>
        <v/>
      </c>
      <c r="E86" s="126" t="str">
        <f t="array" ref="E86">IFERROR(INDEX(BD[],_xlfn.AGGREGATE(15,6,IF(BD[CLASIFICACIÓN]=$B$2,ROW(BD[CLASIFICACIÓN])-ROW('PT2 (FILTRAR)'!$E$5)+1,NA()),ROWS($B$5:E86)),COLUMNS($B$5:E86)),"")</f>
        <v/>
      </c>
    </row>
    <row r="87" spans="2:5" x14ac:dyDescent="0.3">
      <c r="B87" s="126" t="str">
        <f t="array" ref="B87">IFERROR(INDEX(BD[],_xlfn.AGGREGATE(15,6,IF(BD[CLASIFICACIÓN]=$B$2,ROW(BD[CLASIFICACIÓN])-ROW('PT2 (FILTRAR)'!$E$5)+1,NA()),ROWS($B$5:B87)),COLUMNS($B$5:B87)),"")</f>
        <v/>
      </c>
      <c r="C87" s="127" t="str">
        <f t="array" ref="C87">IFERROR(INDEX(BD[],_xlfn.AGGREGATE(15,6,IF(BD[CLASIFICACIÓN]=$B$2,ROW(BD[CLASIFICACIÓN])-ROW('PT2 (FILTRAR)'!$E$5)+1,NA()),ROWS($B$5:C87)),COLUMNS($B$5:C87)),"")</f>
        <v/>
      </c>
      <c r="D87" s="142" t="str">
        <f t="array" ref="D87">IFERROR(INDEX(BD[],_xlfn.AGGREGATE(15,6,IF(BD[CLASIFICACIÓN]=$B$2,ROW(BD[CLASIFICACIÓN])-ROW('PT2 (FILTRAR)'!$E$5)+1,NA()),ROWS($B$5:D87)),COLUMNS($B$5:D87)),"")</f>
        <v/>
      </c>
      <c r="E87" s="126" t="str">
        <f t="array" ref="E87">IFERROR(INDEX(BD[],_xlfn.AGGREGATE(15,6,IF(BD[CLASIFICACIÓN]=$B$2,ROW(BD[CLASIFICACIÓN])-ROW('PT2 (FILTRAR)'!$E$5)+1,NA()),ROWS($B$5:E87)),COLUMNS($B$5:E87)),"")</f>
        <v/>
      </c>
    </row>
    <row r="88" spans="2:5" x14ac:dyDescent="0.3">
      <c r="B88" s="126" t="str">
        <f t="array" ref="B88">IFERROR(INDEX(BD[],_xlfn.AGGREGATE(15,6,IF(BD[CLASIFICACIÓN]=$B$2,ROW(BD[CLASIFICACIÓN])-ROW('PT2 (FILTRAR)'!$E$5)+1,NA()),ROWS($B$5:B88)),COLUMNS($B$5:B88)),"")</f>
        <v/>
      </c>
      <c r="C88" s="127" t="str">
        <f t="array" ref="C88">IFERROR(INDEX(BD[],_xlfn.AGGREGATE(15,6,IF(BD[CLASIFICACIÓN]=$B$2,ROW(BD[CLASIFICACIÓN])-ROW('PT2 (FILTRAR)'!$E$5)+1,NA()),ROWS($B$5:C88)),COLUMNS($B$5:C88)),"")</f>
        <v/>
      </c>
      <c r="D88" s="142" t="str">
        <f t="array" ref="D88">IFERROR(INDEX(BD[],_xlfn.AGGREGATE(15,6,IF(BD[CLASIFICACIÓN]=$B$2,ROW(BD[CLASIFICACIÓN])-ROW('PT2 (FILTRAR)'!$E$5)+1,NA()),ROWS($B$5:D88)),COLUMNS($B$5:D88)),"")</f>
        <v/>
      </c>
      <c r="E88" s="126" t="str">
        <f t="array" ref="E88">IFERROR(INDEX(BD[],_xlfn.AGGREGATE(15,6,IF(BD[CLASIFICACIÓN]=$B$2,ROW(BD[CLASIFICACIÓN])-ROW('PT2 (FILTRAR)'!$E$5)+1,NA()),ROWS($B$5:E88)),COLUMNS($B$5:E88)),"")</f>
        <v/>
      </c>
    </row>
    <row r="89" spans="2:5" x14ac:dyDescent="0.3">
      <c r="B89" s="126" t="str">
        <f t="array" ref="B89">IFERROR(INDEX(BD[],_xlfn.AGGREGATE(15,6,IF(BD[CLASIFICACIÓN]=$B$2,ROW(BD[CLASIFICACIÓN])-ROW('PT2 (FILTRAR)'!$E$5)+1,NA()),ROWS($B$5:B89)),COLUMNS($B$5:B89)),"")</f>
        <v/>
      </c>
      <c r="C89" s="127" t="str">
        <f t="array" ref="C89">IFERROR(INDEX(BD[],_xlfn.AGGREGATE(15,6,IF(BD[CLASIFICACIÓN]=$B$2,ROW(BD[CLASIFICACIÓN])-ROW('PT2 (FILTRAR)'!$E$5)+1,NA()),ROWS($B$5:C89)),COLUMNS($B$5:C89)),"")</f>
        <v/>
      </c>
      <c r="D89" s="142" t="str">
        <f t="array" ref="D89">IFERROR(INDEX(BD[],_xlfn.AGGREGATE(15,6,IF(BD[CLASIFICACIÓN]=$B$2,ROW(BD[CLASIFICACIÓN])-ROW('PT2 (FILTRAR)'!$E$5)+1,NA()),ROWS($B$5:D89)),COLUMNS($B$5:D89)),"")</f>
        <v/>
      </c>
      <c r="E89" s="126" t="str">
        <f t="array" ref="E89">IFERROR(INDEX(BD[],_xlfn.AGGREGATE(15,6,IF(BD[CLASIFICACIÓN]=$B$2,ROW(BD[CLASIFICACIÓN])-ROW('PT2 (FILTRAR)'!$E$5)+1,NA()),ROWS($B$5:E89)),COLUMNS($B$5:E89)),"")</f>
        <v/>
      </c>
    </row>
    <row r="90" spans="2:5" x14ac:dyDescent="0.3">
      <c r="B90" s="126" t="str">
        <f t="array" ref="B90">IFERROR(INDEX(BD[],_xlfn.AGGREGATE(15,6,IF(BD[CLASIFICACIÓN]=$B$2,ROW(BD[CLASIFICACIÓN])-ROW('PT2 (FILTRAR)'!$E$5)+1,NA()),ROWS($B$5:B90)),COLUMNS($B$5:B90)),"")</f>
        <v/>
      </c>
      <c r="C90" s="127" t="str">
        <f t="array" ref="C90">IFERROR(INDEX(BD[],_xlfn.AGGREGATE(15,6,IF(BD[CLASIFICACIÓN]=$B$2,ROW(BD[CLASIFICACIÓN])-ROW('PT2 (FILTRAR)'!$E$5)+1,NA()),ROWS($B$5:C90)),COLUMNS($B$5:C90)),"")</f>
        <v/>
      </c>
      <c r="D90" s="142" t="str">
        <f t="array" ref="D90">IFERROR(INDEX(BD[],_xlfn.AGGREGATE(15,6,IF(BD[CLASIFICACIÓN]=$B$2,ROW(BD[CLASIFICACIÓN])-ROW('PT2 (FILTRAR)'!$E$5)+1,NA()),ROWS($B$5:D90)),COLUMNS($B$5:D90)),"")</f>
        <v/>
      </c>
      <c r="E90" s="126" t="str">
        <f t="array" ref="E90">IFERROR(INDEX(BD[],_xlfn.AGGREGATE(15,6,IF(BD[CLASIFICACIÓN]=$B$2,ROW(BD[CLASIFICACIÓN])-ROW('PT2 (FILTRAR)'!$E$5)+1,NA()),ROWS($B$5:E90)),COLUMNS($B$5:E90)),"")</f>
        <v/>
      </c>
    </row>
    <row r="91" spans="2:5" x14ac:dyDescent="0.3">
      <c r="B91" s="126" t="str">
        <f t="array" ref="B91">IFERROR(INDEX(BD[],_xlfn.AGGREGATE(15,6,IF(BD[CLASIFICACIÓN]=$B$2,ROW(BD[CLASIFICACIÓN])-ROW('PT2 (FILTRAR)'!$E$5)+1,NA()),ROWS($B$5:B91)),COLUMNS($B$5:B91)),"")</f>
        <v/>
      </c>
      <c r="C91" s="127" t="str">
        <f t="array" ref="C91">IFERROR(INDEX(BD[],_xlfn.AGGREGATE(15,6,IF(BD[CLASIFICACIÓN]=$B$2,ROW(BD[CLASIFICACIÓN])-ROW('PT2 (FILTRAR)'!$E$5)+1,NA()),ROWS($B$5:C91)),COLUMNS($B$5:C91)),"")</f>
        <v/>
      </c>
      <c r="D91" s="142" t="str">
        <f t="array" ref="D91">IFERROR(INDEX(BD[],_xlfn.AGGREGATE(15,6,IF(BD[CLASIFICACIÓN]=$B$2,ROW(BD[CLASIFICACIÓN])-ROW('PT2 (FILTRAR)'!$E$5)+1,NA()),ROWS($B$5:D91)),COLUMNS($B$5:D91)),"")</f>
        <v/>
      </c>
      <c r="E91" s="126" t="str">
        <f t="array" ref="E91">IFERROR(INDEX(BD[],_xlfn.AGGREGATE(15,6,IF(BD[CLASIFICACIÓN]=$B$2,ROW(BD[CLASIFICACIÓN])-ROW('PT2 (FILTRAR)'!$E$5)+1,NA()),ROWS($B$5:E91)),COLUMNS($B$5:E91)),"")</f>
        <v/>
      </c>
    </row>
    <row r="92" spans="2:5" x14ac:dyDescent="0.3">
      <c r="B92" s="126" t="str">
        <f t="array" ref="B92">IFERROR(INDEX(BD[],_xlfn.AGGREGATE(15,6,IF(BD[CLASIFICACIÓN]=$B$2,ROW(BD[CLASIFICACIÓN])-ROW('PT2 (FILTRAR)'!$E$5)+1,NA()),ROWS($B$5:B92)),COLUMNS($B$5:B92)),"")</f>
        <v/>
      </c>
      <c r="C92" s="127" t="str">
        <f t="array" ref="C92">IFERROR(INDEX(BD[],_xlfn.AGGREGATE(15,6,IF(BD[CLASIFICACIÓN]=$B$2,ROW(BD[CLASIFICACIÓN])-ROW('PT2 (FILTRAR)'!$E$5)+1,NA()),ROWS($B$5:C92)),COLUMNS($B$5:C92)),"")</f>
        <v/>
      </c>
      <c r="D92" s="142" t="str">
        <f t="array" ref="D92">IFERROR(INDEX(BD[],_xlfn.AGGREGATE(15,6,IF(BD[CLASIFICACIÓN]=$B$2,ROW(BD[CLASIFICACIÓN])-ROW('PT2 (FILTRAR)'!$E$5)+1,NA()),ROWS($B$5:D92)),COLUMNS($B$5:D92)),"")</f>
        <v/>
      </c>
      <c r="E92" s="126" t="str">
        <f t="array" ref="E92">IFERROR(INDEX(BD[],_xlfn.AGGREGATE(15,6,IF(BD[CLASIFICACIÓN]=$B$2,ROW(BD[CLASIFICACIÓN])-ROW('PT2 (FILTRAR)'!$E$5)+1,NA()),ROWS($B$5:E92)),COLUMNS($B$5:E92)),"")</f>
        <v/>
      </c>
    </row>
    <row r="93" spans="2:5" x14ac:dyDescent="0.3">
      <c r="B93" s="126" t="str">
        <f t="array" ref="B93">IFERROR(INDEX(BD[],_xlfn.AGGREGATE(15,6,IF(BD[CLASIFICACIÓN]=$B$2,ROW(BD[CLASIFICACIÓN])-ROW('PT2 (FILTRAR)'!$E$5)+1,NA()),ROWS($B$5:B93)),COLUMNS($B$5:B93)),"")</f>
        <v/>
      </c>
      <c r="C93" s="127" t="str">
        <f t="array" ref="C93">IFERROR(INDEX(BD[],_xlfn.AGGREGATE(15,6,IF(BD[CLASIFICACIÓN]=$B$2,ROW(BD[CLASIFICACIÓN])-ROW('PT2 (FILTRAR)'!$E$5)+1,NA()),ROWS($B$5:C93)),COLUMNS($B$5:C93)),"")</f>
        <v/>
      </c>
      <c r="D93" s="142" t="str">
        <f t="array" ref="D93">IFERROR(INDEX(BD[],_xlfn.AGGREGATE(15,6,IF(BD[CLASIFICACIÓN]=$B$2,ROW(BD[CLASIFICACIÓN])-ROW('PT2 (FILTRAR)'!$E$5)+1,NA()),ROWS($B$5:D93)),COLUMNS($B$5:D93)),"")</f>
        <v/>
      </c>
      <c r="E93" s="126" t="str">
        <f t="array" ref="E93">IFERROR(INDEX(BD[],_xlfn.AGGREGATE(15,6,IF(BD[CLASIFICACIÓN]=$B$2,ROW(BD[CLASIFICACIÓN])-ROW('PT2 (FILTRAR)'!$E$5)+1,NA()),ROWS($B$5:E93)),COLUMNS($B$5:E93)),"")</f>
        <v/>
      </c>
    </row>
    <row r="94" spans="2:5" x14ac:dyDescent="0.3">
      <c r="B94" s="126" t="str">
        <f t="array" ref="B94">IFERROR(INDEX(BD[],_xlfn.AGGREGATE(15,6,IF(BD[CLASIFICACIÓN]=$B$2,ROW(BD[CLASIFICACIÓN])-ROW('PT2 (FILTRAR)'!$E$5)+1,NA()),ROWS($B$5:B94)),COLUMNS($B$5:B94)),"")</f>
        <v/>
      </c>
      <c r="C94" s="127" t="str">
        <f t="array" ref="C94">IFERROR(INDEX(BD[],_xlfn.AGGREGATE(15,6,IF(BD[CLASIFICACIÓN]=$B$2,ROW(BD[CLASIFICACIÓN])-ROW('PT2 (FILTRAR)'!$E$5)+1,NA()),ROWS($B$5:C94)),COLUMNS($B$5:C94)),"")</f>
        <v/>
      </c>
      <c r="D94" s="142" t="str">
        <f t="array" ref="D94">IFERROR(INDEX(BD[],_xlfn.AGGREGATE(15,6,IF(BD[CLASIFICACIÓN]=$B$2,ROW(BD[CLASIFICACIÓN])-ROW('PT2 (FILTRAR)'!$E$5)+1,NA()),ROWS($B$5:D94)),COLUMNS($B$5:D94)),"")</f>
        <v/>
      </c>
      <c r="E94" s="126" t="str">
        <f t="array" ref="E94">IFERROR(INDEX(BD[],_xlfn.AGGREGATE(15,6,IF(BD[CLASIFICACIÓN]=$B$2,ROW(BD[CLASIFICACIÓN])-ROW('PT2 (FILTRAR)'!$E$5)+1,NA()),ROWS($B$5:E94)),COLUMNS($B$5:E94)),"")</f>
        <v/>
      </c>
    </row>
    <row r="95" spans="2:5" x14ac:dyDescent="0.3">
      <c r="B95" s="126" t="str">
        <f t="array" ref="B95">IFERROR(INDEX(BD[],_xlfn.AGGREGATE(15,6,IF(BD[CLASIFICACIÓN]=$B$2,ROW(BD[CLASIFICACIÓN])-ROW('PT2 (FILTRAR)'!$E$5)+1,NA()),ROWS($B$5:B95)),COLUMNS($B$5:B95)),"")</f>
        <v/>
      </c>
      <c r="C95" s="127" t="str">
        <f t="array" ref="C95">IFERROR(INDEX(BD[],_xlfn.AGGREGATE(15,6,IF(BD[CLASIFICACIÓN]=$B$2,ROW(BD[CLASIFICACIÓN])-ROW('PT2 (FILTRAR)'!$E$5)+1,NA()),ROWS($B$5:C95)),COLUMNS($B$5:C95)),"")</f>
        <v/>
      </c>
      <c r="D95" s="142" t="str">
        <f t="array" ref="D95">IFERROR(INDEX(BD[],_xlfn.AGGREGATE(15,6,IF(BD[CLASIFICACIÓN]=$B$2,ROW(BD[CLASIFICACIÓN])-ROW('PT2 (FILTRAR)'!$E$5)+1,NA()),ROWS($B$5:D95)),COLUMNS($B$5:D95)),"")</f>
        <v/>
      </c>
      <c r="E95" s="126" t="str">
        <f t="array" ref="E95">IFERROR(INDEX(BD[],_xlfn.AGGREGATE(15,6,IF(BD[CLASIFICACIÓN]=$B$2,ROW(BD[CLASIFICACIÓN])-ROW('PT2 (FILTRAR)'!$E$5)+1,NA()),ROWS($B$5:E95)),COLUMNS($B$5:E95)),"")</f>
        <v/>
      </c>
    </row>
    <row r="96" spans="2:5" x14ac:dyDescent="0.3">
      <c r="B96" s="126" t="str">
        <f t="array" ref="B96">IFERROR(INDEX(BD[],_xlfn.AGGREGATE(15,6,IF(BD[CLASIFICACIÓN]=$B$2,ROW(BD[CLASIFICACIÓN])-ROW('PT2 (FILTRAR)'!$E$5)+1,NA()),ROWS($B$5:B96)),COLUMNS($B$5:B96)),"")</f>
        <v/>
      </c>
      <c r="C96" s="127" t="str">
        <f t="array" ref="C96">IFERROR(INDEX(BD[],_xlfn.AGGREGATE(15,6,IF(BD[CLASIFICACIÓN]=$B$2,ROW(BD[CLASIFICACIÓN])-ROW('PT2 (FILTRAR)'!$E$5)+1,NA()),ROWS($B$5:C96)),COLUMNS($B$5:C96)),"")</f>
        <v/>
      </c>
      <c r="D96" s="142" t="str">
        <f t="array" ref="D96">IFERROR(INDEX(BD[],_xlfn.AGGREGATE(15,6,IF(BD[CLASIFICACIÓN]=$B$2,ROW(BD[CLASIFICACIÓN])-ROW('PT2 (FILTRAR)'!$E$5)+1,NA()),ROWS($B$5:D96)),COLUMNS($B$5:D96)),"")</f>
        <v/>
      </c>
      <c r="E96" s="126" t="str">
        <f t="array" ref="E96">IFERROR(INDEX(BD[],_xlfn.AGGREGATE(15,6,IF(BD[CLASIFICACIÓN]=$B$2,ROW(BD[CLASIFICACIÓN])-ROW('PT2 (FILTRAR)'!$E$5)+1,NA()),ROWS($B$5:E96)),COLUMNS($B$5:E96)),"")</f>
        <v/>
      </c>
    </row>
    <row r="97" spans="2:5" x14ac:dyDescent="0.3">
      <c r="B97" s="126" t="str">
        <f t="array" ref="B97">IFERROR(INDEX(BD[],_xlfn.AGGREGATE(15,6,IF(BD[CLASIFICACIÓN]=$B$2,ROW(BD[CLASIFICACIÓN])-ROW('PT2 (FILTRAR)'!$E$5)+1,NA()),ROWS($B$5:B97)),COLUMNS($B$5:B97)),"")</f>
        <v/>
      </c>
      <c r="C97" s="127" t="str">
        <f t="array" ref="C97">IFERROR(INDEX(BD[],_xlfn.AGGREGATE(15,6,IF(BD[CLASIFICACIÓN]=$B$2,ROW(BD[CLASIFICACIÓN])-ROW('PT2 (FILTRAR)'!$E$5)+1,NA()),ROWS($B$5:C97)),COLUMNS($B$5:C97)),"")</f>
        <v/>
      </c>
      <c r="D97" s="142" t="str">
        <f t="array" ref="D97">IFERROR(INDEX(BD[],_xlfn.AGGREGATE(15,6,IF(BD[CLASIFICACIÓN]=$B$2,ROW(BD[CLASIFICACIÓN])-ROW('PT2 (FILTRAR)'!$E$5)+1,NA()),ROWS($B$5:D97)),COLUMNS($B$5:D97)),"")</f>
        <v/>
      </c>
      <c r="E97" s="126" t="str">
        <f t="array" ref="E97">IFERROR(INDEX(BD[],_xlfn.AGGREGATE(15,6,IF(BD[CLASIFICACIÓN]=$B$2,ROW(BD[CLASIFICACIÓN])-ROW('PT2 (FILTRAR)'!$E$5)+1,NA()),ROWS($B$5:E97)),COLUMNS($B$5:E97)),"")</f>
        <v/>
      </c>
    </row>
    <row r="98" spans="2:5" x14ac:dyDescent="0.3">
      <c r="B98" s="126" t="str">
        <f t="array" ref="B98">IFERROR(INDEX(BD[],_xlfn.AGGREGATE(15,6,IF(BD[CLASIFICACIÓN]=$B$2,ROW(BD[CLASIFICACIÓN])-ROW('PT2 (FILTRAR)'!$E$5)+1,NA()),ROWS($B$5:B98)),COLUMNS($B$5:B98)),"")</f>
        <v/>
      </c>
      <c r="C98" s="127" t="str">
        <f t="array" ref="C98">IFERROR(INDEX(BD[],_xlfn.AGGREGATE(15,6,IF(BD[CLASIFICACIÓN]=$B$2,ROW(BD[CLASIFICACIÓN])-ROW('PT2 (FILTRAR)'!$E$5)+1,NA()),ROWS($B$5:C98)),COLUMNS($B$5:C98)),"")</f>
        <v/>
      </c>
      <c r="D98" s="142" t="str">
        <f t="array" ref="D98">IFERROR(INDEX(BD[],_xlfn.AGGREGATE(15,6,IF(BD[CLASIFICACIÓN]=$B$2,ROW(BD[CLASIFICACIÓN])-ROW('PT2 (FILTRAR)'!$E$5)+1,NA()),ROWS($B$5:D98)),COLUMNS($B$5:D98)),"")</f>
        <v/>
      </c>
      <c r="E98" s="126" t="str">
        <f t="array" ref="E98">IFERROR(INDEX(BD[],_xlfn.AGGREGATE(15,6,IF(BD[CLASIFICACIÓN]=$B$2,ROW(BD[CLASIFICACIÓN])-ROW('PT2 (FILTRAR)'!$E$5)+1,NA()),ROWS($B$5:E98)),COLUMNS($B$5:E98)),"")</f>
        <v/>
      </c>
    </row>
    <row r="99" spans="2:5" x14ac:dyDescent="0.3">
      <c r="B99" s="126" t="str">
        <f t="array" ref="B99">IFERROR(INDEX(BD[],_xlfn.AGGREGATE(15,6,IF(BD[CLASIFICACIÓN]=$B$2,ROW(BD[CLASIFICACIÓN])-ROW('PT2 (FILTRAR)'!$E$5)+1,NA()),ROWS($B$5:B99)),COLUMNS($B$5:B99)),"")</f>
        <v/>
      </c>
      <c r="C99" s="127" t="str">
        <f t="array" ref="C99">IFERROR(INDEX(BD[],_xlfn.AGGREGATE(15,6,IF(BD[CLASIFICACIÓN]=$B$2,ROW(BD[CLASIFICACIÓN])-ROW('PT2 (FILTRAR)'!$E$5)+1,NA()),ROWS($B$5:C99)),COLUMNS($B$5:C99)),"")</f>
        <v/>
      </c>
      <c r="D99" s="142" t="str">
        <f t="array" ref="D99">IFERROR(INDEX(BD[],_xlfn.AGGREGATE(15,6,IF(BD[CLASIFICACIÓN]=$B$2,ROW(BD[CLASIFICACIÓN])-ROW('PT2 (FILTRAR)'!$E$5)+1,NA()),ROWS($B$5:D99)),COLUMNS($B$5:D99)),"")</f>
        <v/>
      </c>
      <c r="E99" s="126" t="str">
        <f t="array" ref="E99">IFERROR(INDEX(BD[],_xlfn.AGGREGATE(15,6,IF(BD[CLASIFICACIÓN]=$B$2,ROW(BD[CLASIFICACIÓN])-ROW('PT2 (FILTRAR)'!$E$5)+1,NA()),ROWS($B$5:E99)),COLUMNS($B$5:E99)),"")</f>
        <v/>
      </c>
    </row>
    <row r="100" spans="2:5" x14ac:dyDescent="0.3">
      <c r="B100" s="126" t="str">
        <f t="array" ref="B100">IFERROR(INDEX(BD[],_xlfn.AGGREGATE(15,6,IF(BD[CLASIFICACIÓN]=$B$2,ROW(BD[CLASIFICACIÓN])-ROW('PT2 (FILTRAR)'!$E$5)+1,NA()),ROWS($B$5:B100)),COLUMNS($B$5:B100)),"")</f>
        <v/>
      </c>
      <c r="C100" s="127" t="str">
        <f t="array" ref="C100">IFERROR(INDEX(BD[],_xlfn.AGGREGATE(15,6,IF(BD[CLASIFICACIÓN]=$B$2,ROW(BD[CLASIFICACIÓN])-ROW('PT2 (FILTRAR)'!$E$5)+1,NA()),ROWS($B$5:C100)),COLUMNS($B$5:C100)),"")</f>
        <v/>
      </c>
      <c r="D100" s="142" t="str">
        <f t="array" ref="D100">IFERROR(INDEX(BD[],_xlfn.AGGREGATE(15,6,IF(BD[CLASIFICACIÓN]=$B$2,ROW(BD[CLASIFICACIÓN])-ROW('PT2 (FILTRAR)'!$E$5)+1,NA()),ROWS($B$5:D100)),COLUMNS($B$5:D100)),"")</f>
        <v/>
      </c>
      <c r="E100" s="126" t="str">
        <f t="array" ref="E100">IFERROR(INDEX(BD[],_xlfn.AGGREGATE(15,6,IF(BD[CLASIFICACIÓN]=$B$2,ROW(BD[CLASIFICACIÓN])-ROW('PT2 (FILTRAR)'!$E$5)+1,NA()),ROWS($B$5:E100)),COLUMNS($B$5:E100)),"")</f>
        <v/>
      </c>
    </row>
    <row r="101" spans="2:5" x14ac:dyDescent="0.3">
      <c r="B101" s="126" t="str">
        <f t="array" ref="B101">IFERROR(INDEX(BD[],_xlfn.AGGREGATE(15,6,IF(BD[CLASIFICACIÓN]=$B$2,ROW(BD[CLASIFICACIÓN])-ROW('PT2 (FILTRAR)'!$E$5)+1,NA()),ROWS($B$5:B101)),COLUMNS($B$5:B101)),"")</f>
        <v/>
      </c>
      <c r="C101" s="127" t="str">
        <f t="array" ref="C101">IFERROR(INDEX(BD[],_xlfn.AGGREGATE(15,6,IF(BD[CLASIFICACIÓN]=$B$2,ROW(BD[CLASIFICACIÓN])-ROW('PT2 (FILTRAR)'!$E$5)+1,NA()),ROWS($B$5:C101)),COLUMNS($B$5:C101)),"")</f>
        <v/>
      </c>
      <c r="D101" s="142" t="str">
        <f t="array" ref="D101">IFERROR(INDEX(BD[],_xlfn.AGGREGATE(15,6,IF(BD[CLASIFICACIÓN]=$B$2,ROW(BD[CLASIFICACIÓN])-ROW('PT2 (FILTRAR)'!$E$5)+1,NA()),ROWS($B$5:D101)),COLUMNS($B$5:D101)),"")</f>
        <v/>
      </c>
      <c r="E101" s="126" t="str">
        <f t="array" ref="E101">IFERROR(INDEX(BD[],_xlfn.AGGREGATE(15,6,IF(BD[CLASIFICACIÓN]=$B$2,ROW(BD[CLASIFICACIÓN])-ROW('PT2 (FILTRAR)'!$E$5)+1,NA()),ROWS($B$5:E101)),COLUMNS($B$5:E101)),"")</f>
        <v/>
      </c>
    </row>
    <row r="102" spans="2:5" x14ac:dyDescent="0.3">
      <c r="B102" s="126" t="str">
        <f t="array" ref="B102">IFERROR(INDEX(BD[],_xlfn.AGGREGATE(15,6,IF(BD[CLASIFICACIÓN]=$B$2,ROW(BD[CLASIFICACIÓN])-ROW('PT2 (FILTRAR)'!$E$5)+1,NA()),ROWS($B$5:B102)),COLUMNS($B$5:B102)),"")</f>
        <v/>
      </c>
      <c r="C102" s="127" t="str">
        <f t="array" ref="C102">IFERROR(INDEX(BD[],_xlfn.AGGREGATE(15,6,IF(BD[CLASIFICACIÓN]=$B$2,ROW(BD[CLASIFICACIÓN])-ROW('PT2 (FILTRAR)'!$E$5)+1,NA()),ROWS($B$5:C102)),COLUMNS($B$5:C102)),"")</f>
        <v/>
      </c>
      <c r="D102" s="142" t="str">
        <f t="array" ref="D102">IFERROR(INDEX(BD[],_xlfn.AGGREGATE(15,6,IF(BD[CLASIFICACIÓN]=$B$2,ROW(BD[CLASIFICACIÓN])-ROW('PT2 (FILTRAR)'!$E$5)+1,NA()),ROWS($B$5:D102)),COLUMNS($B$5:D102)),"")</f>
        <v/>
      </c>
      <c r="E102" s="126" t="str">
        <f t="array" ref="E102">IFERROR(INDEX(BD[],_xlfn.AGGREGATE(15,6,IF(BD[CLASIFICACIÓN]=$B$2,ROW(BD[CLASIFICACIÓN])-ROW('PT2 (FILTRAR)'!$E$5)+1,NA()),ROWS($B$5:E102)),COLUMNS($B$5:E102)),"")</f>
        <v/>
      </c>
    </row>
    <row r="103" spans="2:5" x14ac:dyDescent="0.3">
      <c r="B103" s="126" t="str">
        <f t="array" ref="B103">IFERROR(INDEX(BD[],_xlfn.AGGREGATE(15,6,IF(BD[CLASIFICACIÓN]=$B$2,ROW(BD[CLASIFICACIÓN])-ROW('PT2 (FILTRAR)'!$E$5)+1,NA()),ROWS($B$5:B103)),COLUMNS($B$5:B103)),"")</f>
        <v/>
      </c>
      <c r="C103" s="127" t="str">
        <f t="array" ref="C103">IFERROR(INDEX(BD[],_xlfn.AGGREGATE(15,6,IF(BD[CLASIFICACIÓN]=$B$2,ROW(BD[CLASIFICACIÓN])-ROW('PT2 (FILTRAR)'!$E$5)+1,NA()),ROWS($B$5:C103)),COLUMNS($B$5:C103)),"")</f>
        <v/>
      </c>
      <c r="D103" s="142" t="str">
        <f t="array" ref="D103">IFERROR(INDEX(BD[],_xlfn.AGGREGATE(15,6,IF(BD[CLASIFICACIÓN]=$B$2,ROW(BD[CLASIFICACIÓN])-ROW('PT2 (FILTRAR)'!$E$5)+1,NA()),ROWS($B$5:D103)),COLUMNS($B$5:D103)),"")</f>
        <v/>
      </c>
      <c r="E103" s="126" t="str">
        <f t="array" ref="E103">IFERROR(INDEX(BD[],_xlfn.AGGREGATE(15,6,IF(BD[CLASIFICACIÓN]=$B$2,ROW(BD[CLASIFICACIÓN])-ROW('PT2 (FILTRAR)'!$E$5)+1,NA()),ROWS($B$5:E103)),COLUMNS($B$5:E103)),"")</f>
        <v/>
      </c>
    </row>
    <row r="104" spans="2:5" x14ac:dyDescent="0.3">
      <c r="B104" s="126" t="str">
        <f t="array" ref="B104">IFERROR(INDEX(BD[],_xlfn.AGGREGATE(15,6,IF(BD[CLASIFICACIÓN]=$B$2,ROW(BD[CLASIFICACIÓN])-ROW('PT2 (FILTRAR)'!$E$5)+1,NA()),ROWS($B$5:B104)),COLUMNS($B$5:B104)),"")</f>
        <v/>
      </c>
      <c r="C104" s="127" t="str">
        <f t="array" ref="C104">IFERROR(INDEX(BD[],_xlfn.AGGREGATE(15,6,IF(BD[CLASIFICACIÓN]=$B$2,ROW(BD[CLASIFICACIÓN])-ROW('PT2 (FILTRAR)'!$E$5)+1,NA()),ROWS($B$5:C104)),COLUMNS($B$5:C104)),"")</f>
        <v/>
      </c>
      <c r="D104" s="142" t="str">
        <f t="array" ref="D104">IFERROR(INDEX(BD[],_xlfn.AGGREGATE(15,6,IF(BD[CLASIFICACIÓN]=$B$2,ROW(BD[CLASIFICACIÓN])-ROW('PT2 (FILTRAR)'!$E$5)+1,NA()),ROWS($B$5:D104)),COLUMNS($B$5:D104)),"")</f>
        <v/>
      </c>
      <c r="E104" s="126" t="str">
        <f t="array" ref="E104">IFERROR(INDEX(BD[],_xlfn.AGGREGATE(15,6,IF(BD[CLASIFICACIÓN]=$B$2,ROW(BD[CLASIFICACIÓN])-ROW('PT2 (FILTRAR)'!$E$5)+1,NA()),ROWS($B$5:E104)),COLUMNS($B$5:E104)),"")</f>
        <v/>
      </c>
    </row>
    <row r="105" spans="2:5" x14ac:dyDescent="0.3">
      <c r="B105" s="126" t="str">
        <f t="array" ref="B105">IFERROR(INDEX(BD[],_xlfn.AGGREGATE(15,6,IF(BD[CLASIFICACIÓN]=$B$2,ROW(BD[CLASIFICACIÓN])-ROW('PT2 (FILTRAR)'!$E$5)+1,NA()),ROWS($B$5:B105)),COLUMNS($B$5:B105)),"")</f>
        <v/>
      </c>
      <c r="C105" s="127" t="str">
        <f t="array" ref="C105">IFERROR(INDEX(BD[],_xlfn.AGGREGATE(15,6,IF(BD[CLASIFICACIÓN]=$B$2,ROW(BD[CLASIFICACIÓN])-ROW('PT2 (FILTRAR)'!$E$5)+1,NA()),ROWS($B$5:C105)),COLUMNS($B$5:C105)),"")</f>
        <v/>
      </c>
      <c r="D105" s="142" t="str">
        <f t="array" ref="D105">IFERROR(INDEX(BD[],_xlfn.AGGREGATE(15,6,IF(BD[CLASIFICACIÓN]=$B$2,ROW(BD[CLASIFICACIÓN])-ROW('PT2 (FILTRAR)'!$E$5)+1,NA()),ROWS($B$5:D105)),COLUMNS($B$5:D105)),"")</f>
        <v/>
      </c>
      <c r="E105" s="126" t="str">
        <f t="array" ref="E105">IFERROR(INDEX(BD[],_xlfn.AGGREGATE(15,6,IF(BD[CLASIFICACIÓN]=$B$2,ROW(BD[CLASIFICACIÓN])-ROW('PT2 (FILTRAR)'!$E$5)+1,NA()),ROWS($B$5:E105)),COLUMNS($B$5:E105)),"")</f>
        <v/>
      </c>
    </row>
    <row r="106" spans="2:5" x14ac:dyDescent="0.3">
      <c r="B106" s="126" t="str">
        <f t="array" ref="B106">IFERROR(INDEX(BD[],_xlfn.AGGREGATE(15,6,IF(BD[CLASIFICACIÓN]=$B$2,ROW(BD[CLASIFICACIÓN])-ROW('PT2 (FILTRAR)'!$E$5)+1,NA()),ROWS($B$5:B106)),COLUMNS($B$5:B106)),"")</f>
        <v/>
      </c>
      <c r="C106" s="127" t="str">
        <f t="array" ref="C106">IFERROR(INDEX(BD[],_xlfn.AGGREGATE(15,6,IF(BD[CLASIFICACIÓN]=$B$2,ROW(BD[CLASIFICACIÓN])-ROW('PT2 (FILTRAR)'!$E$5)+1,NA()),ROWS($B$5:C106)),COLUMNS($B$5:C106)),"")</f>
        <v/>
      </c>
      <c r="D106" s="142" t="str">
        <f t="array" ref="D106">IFERROR(INDEX(BD[],_xlfn.AGGREGATE(15,6,IF(BD[CLASIFICACIÓN]=$B$2,ROW(BD[CLASIFICACIÓN])-ROW('PT2 (FILTRAR)'!$E$5)+1,NA()),ROWS($B$5:D106)),COLUMNS($B$5:D106)),"")</f>
        <v/>
      </c>
      <c r="E106" s="126" t="str">
        <f t="array" ref="E106">IFERROR(INDEX(BD[],_xlfn.AGGREGATE(15,6,IF(BD[CLASIFICACIÓN]=$B$2,ROW(BD[CLASIFICACIÓN])-ROW('PT2 (FILTRAR)'!$E$5)+1,NA()),ROWS($B$5:E106)),COLUMNS($B$5:E106)),"")</f>
        <v/>
      </c>
    </row>
    <row r="107" spans="2:5" x14ac:dyDescent="0.3">
      <c r="B107" s="126" t="str">
        <f t="array" ref="B107">IFERROR(INDEX(BD[],_xlfn.AGGREGATE(15,6,IF(BD[CLASIFICACIÓN]=$B$2,ROW(BD[CLASIFICACIÓN])-ROW('PT2 (FILTRAR)'!$E$5)+1,NA()),ROWS($B$5:B107)),COLUMNS($B$5:B107)),"")</f>
        <v/>
      </c>
      <c r="C107" s="127" t="str">
        <f t="array" ref="C107">IFERROR(INDEX(BD[],_xlfn.AGGREGATE(15,6,IF(BD[CLASIFICACIÓN]=$B$2,ROW(BD[CLASIFICACIÓN])-ROW('PT2 (FILTRAR)'!$E$5)+1,NA()),ROWS($B$5:C107)),COLUMNS($B$5:C107)),"")</f>
        <v/>
      </c>
      <c r="D107" s="142" t="str">
        <f t="array" ref="D107">IFERROR(INDEX(BD[],_xlfn.AGGREGATE(15,6,IF(BD[CLASIFICACIÓN]=$B$2,ROW(BD[CLASIFICACIÓN])-ROW('PT2 (FILTRAR)'!$E$5)+1,NA()),ROWS($B$5:D107)),COLUMNS($B$5:D107)),"")</f>
        <v/>
      </c>
      <c r="E107" s="126" t="str">
        <f t="array" ref="E107">IFERROR(INDEX(BD[],_xlfn.AGGREGATE(15,6,IF(BD[CLASIFICACIÓN]=$B$2,ROW(BD[CLASIFICACIÓN])-ROW('PT2 (FILTRAR)'!$E$5)+1,NA()),ROWS($B$5:E107)),COLUMNS($B$5:E107)),"")</f>
        <v/>
      </c>
    </row>
    <row r="108" spans="2:5" x14ac:dyDescent="0.3">
      <c r="B108" s="126" t="str">
        <f t="array" ref="B108">IFERROR(INDEX(BD[],_xlfn.AGGREGATE(15,6,IF(BD[CLASIFICACIÓN]=$B$2,ROW(BD[CLASIFICACIÓN])-ROW('PT2 (FILTRAR)'!$E$5)+1,NA()),ROWS($B$5:B108)),COLUMNS($B$5:B108)),"")</f>
        <v/>
      </c>
      <c r="C108" s="127" t="str">
        <f t="array" ref="C108">IFERROR(INDEX(BD[],_xlfn.AGGREGATE(15,6,IF(BD[CLASIFICACIÓN]=$B$2,ROW(BD[CLASIFICACIÓN])-ROW('PT2 (FILTRAR)'!$E$5)+1,NA()),ROWS($B$5:C108)),COLUMNS($B$5:C108)),"")</f>
        <v/>
      </c>
      <c r="D108" s="142" t="str">
        <f t="array" ref="D108">IFERROR(INDEX(BD[],_xlfn.AGGREGATE(15,6,IF(BD[CLASIFICACIÓN]=$B$2,ROW(BD[CLASIFICACIÓN])-ROW('PT2 (FILTRAR)'!$E$5)+1,NA()),ROWS($B$5:D108)),COLUMNS($B$5:D108)),"")</f>
        <v/>
      </c>
      <c r="E108" s="126" t="str">
        <f t="array" ref="E108">IFERROR(INDEX(BD[],_xlfn.AGGREGATE(15,6,IF(BD[CLASIFICACIÓN]=$B$2,ROW(BD[CLASIFICACIÓN])-ROW('PT2 (FILTRAR)'!$E$5)+1,NA()),ROWS($B$5:E108)),COLUMNS($B$5:E108)),"")</f>
        <v/>
      </c>
    </row>
    <row r="109" spans="2:5" x14ac:dyDescent="0.3">
      <c r="B109" s="126" t="str">
        <f t="array" ref="B109">IFERROR(INDEX(BD[],_xlfn.AGGREGATE(15,6,IF(BD[CLASIFICACIÓN]=$B$2,ROW(BD[CLASIFICACIÓN])-ROW('PT2 (FILTRAR)'!$E$5)+1,NA()),ROWS($B$5:B109)),COLUMNS($B$5:B109)),"")</f>
        <v/>
      </c>
      <c r="C109" s="127" t="str">
        <f t="array" ref="C109">IFERROR(INDEX(BD[],_xlfn.AGGREGATE(15,6,IF(BD[CLASIFICACIÓN]=$B$2,ROW(BD[CLASIFICACIÓN])-ROW('PT2 (FILTRAR)'!$E$5)+1,NA()),ROWS($B$5:C109)),COLUMNS($B$5:C109)),"")</f>
        <v/>
      </c>
      <c r="D109" s="142" t="str">
        <f t="array" ref="D109">IFERROR(INDEX(BD[],_xlfn.AGGREGATE(15,6,IF(BD[CLASIFICACIÓN]=$B$2,ROW(BD[CLASIFICACIÓN])-ROW('PT2 (FILTRAR)'!$E$5)+1,NA()),ROWS($B$5:D109)),COLUMNS($B$5:D109)),"")</f>
        <v/>
      </c>
      <c r="E109" s="126" t="str">
        <f t="array" ref="E109">IFERROR(INDEX(BD[],_xlfn.AGGREGATE(15,6,IF(BD[CLASIFICACIÓN]=$B$2,ROW(BD[CLASIFICACIÓN])-ROW('PT2 (FILTRAR)'!$E$5)+1,NA()),ROWS($B$5:E109)),COLUMNS($B$5:E109)),"")</f>
        <v/>
      </c>
    </row>
    <row r="110" spans="2:5" x14ac:dyDescent="0.3">
      <c r="B110" s="126" t="str">
        <f t="array" ref="B110">IFERROR(INDEX(BD[],_xlfn.AGGREGATE(15,6,IF(BD[CLASIFICACIÓN]=$B$2,ROW(BD[CLASIFICACIÓN])-ROW('PT2 (FILTRAR)'!$E$5)+1,NA()),ROWS($B$5:B110)),COLUMNS($B$5:B110)),"")</f>
        <v/>
      </c>
      <c r="C110" s="127" t="str">
        <f t="array" ref="C110">IFERROR(INDEX(BD[],_xlfn.AGGREGATE(15,6,IF(BD[CLASIFICACIÓN]=$B$2,ROW(BD[CLASIFICACIÓN])-ROW('PT2 (FILTRAR)'!$E$5)+1,NA()),ROWS($B$5:C110)),COLUMNS($B$5:C110)),"")</f>
        <v/>
      </c>
      <c r="D110" s="142" t="str">
        <f t="array" ref="D110">IFERROR(INDEX(BD[],_xlfn.AGGREGATE(15,6,IF(BD[CLASIFICACIÓN]=$B$2,ROW(BD[CLASIFICACIÓN])-ROW('PT2 (FILTRAR)'!$E$5)+1,NA()),ROWS($B$5:D110)),COLUMNS($B$5:D110)),"")</f>
        <v/>
      </c>
      <c r="E110" s="126" t="str">
        <f t="array" ref="E110">IFERROR(INDEX(BD[],_xlfn.AGGREGATE(15,6,IF(BD[CLASIFICACIÓN]=$B$2,ROW(BD[CLASIFICACIÓN])-ROW('PT2 (FILTRAR)'!$E$5)+1,NA()),ROWS($B$5:E110)),COLUMNS($B$5:E110)),"")</f>
        <v/>
      </c>
    </row>
    <row r="111" spans="2:5" x14ac:dyDescent="0.3">
      <c r="B111" s="126" t="str">
        <f t="array" ref="B111">IFERROR(INDEX(BD[],_xlfn.AGGREGATE(15,6,IF(BD[CLASIFICACIÓN]=$B$2,ROW(BD[CLASIFICACIÓN])-ROW('PT2 (FILTRAR)'!$E$5)+1,NA()),ROWS($B$5:B111)),COLUMNS($B$5:B111)),"")</f>
        <v/>
      </c>
      <c r="C111" s="127" t="str">
        <f t="array" ref="C111">IFERROR(INDEX(BD[],_xlfn.AGGREGATE(15,6,IF(BD[CLASIFICACIÓN]=$B$2,ROW(BD[CLASIFICACIÓN])-ROW('PT2 (FILTRAR)'!$E$5)+1,NA()),ROWS($B$5:C111)),COLUMNS($B$5:C111)),"")</f>
        <v/>
      </c>
      <c r="D111" s="142" t="str">
        <f t="array" ref="D111">IFERROR(INDEX(BD[],_xlfn.AGGREGATE(15,6,IF(BD[CLASIFICACIÓN]=$B$2,ROW(BD[CLASIFICACIÓN])-ROW('PT2 (FILTRAR)'!$E$5)+1,NA()),ROWS($B$5:D111)),COLUMNS($B$5:D111)),"")</f>
        <v/>
      </c>
      <c r="E111" s="126" t="str">
        <f t="array" ref="E111">IFERROR(INDEX(BD[],_xlfn.AGGREGATE(15,6,IF(BD[CLASIFICACIÓN]=$B$2,ROW(BD[CLASIFICACIÓN])-ROW('PT2 (FILTRAR)'!$E$5)+1,NA()),ROWS($B$5:E111)),COLUMNS($B$5:E111)),"")</f>
        <v/>
      </c>
    </row>
    <row r="112" spans="2:5" x14ac:dyDescent="0.3">
      <c r="B112" s="126" t="str">
        <f t="array" ref="B112">IFERROR(INDEX(BD[],_xlfn.AGGREGATE(15,6,IF(BD[CLASIFICACIÓN]=$B$2,ROW(BD[CLASIFICACIÓN])-ROW('PT2 (FILTRAR)'!$E$5)+1,NA()),ROWS($B$5:B112)),COLUMNS($B$5:B112)),"")</f>
        <v/>
      </c>
      <c r="C112" s="127" t="str">
        <f t="array" ref="C112">IFERROR(INDEX(BD[],_xlfn.AGGREGATE(15,6,IF(BD[CLASIFICACIÓN]=$B$2,ROW(BD[CLASIFICACIÓN])-ROW('PT2 (FILTRAR)'!$E$5)+1,NA()),ROWS($B$5:C112)),COLUMNS($B$5:C112)),"")</f>
        <v/>
      </c>
      <c r="D112" s="142" t="str">
        <f t="array" ref="D112">IFERROR(INDEX(BD[],_xlfn.AGGREGATE(15,6,IF(BD[CLASIFICACIÓN]=$B$2,ROW(BD[CLASIFICACIÓN])-ROW('PT2 (FILTRAR)'!$E$5)+1,NA()),ROWS($B$5:D112)),COLUMNS($B$5:D112)),"")</f>
        <v/>
      </c>
      <c r="E112" s="126" t="str">
        <f t="array" ref="E112">IFERROR(INDEX(BD[],_xlfn.AGGREGATE(15,6,IF(BD[CLASIFICACIÓN]=$B$2,ROW(BD[CLASIFICACIÓN])-ROW('PT2 (FILTRAR)'!$E$5)+1,NA()),ROWS($B$5:E112)),COLUMNS($B$5:E112)),"")</f>
        <v/>
      </c>
    </row>
    <row r="113" spans="2:5" x14ac:dyDescent="0.3">
      <c r="B113" s="126" t="str">
        <f t="array" ref="B113">IFERROR(INDEX(BD[],_xlfn.AGGREGATE(15,6,IF(BD[CLASIFICACIÓN]=$B$2,ROW(BD[CLASIFICACIÓN])-ROW('PT2 (FILTRAR)'!$E$5)+1,NA()),ROWS($B$5:B113)),COLUMNS($B$5:B113)),"")</f>
        <v/>
      </c>
      <c r="C113" s="127" t="str">
        <f t="array" ref="C113">IFERROR(INDEX(BD[],_xlfn.AGGREGATE(15,6,IF(BD[CLASIFICACIÓN]=$B$2,ROW(BD[CLASIFICACIÓN])-ROW('PT2 (FILTRAR)'!$E$5)+1,NA()),ROWS($B$5:C113)),COLUMNS($B$5:C113)),"")</f>
        <v/>
      </c>
      <c r="D113" s="142" t="str">
        <f t="array" ref="D113">IFERROR(INDEX(BD[],_xlfn.AGGREGATE(15,6,IF(BD[CLASIFICACIÓN]=$B$2,ROW(BD[CLASIFICACIÓN])-ROW('PT2 (FILTRAR)'!$E$5)+1,NA()),ROWS($B$5:D113)),COLUMNS($B$5:D113)),"")</f>
        <v/>
      </c>
      <c r="E113" s="126" t="str">
        <f t="array" ref="E113">IFERROR(INDEX(BD[],_xlfn.AGGREGATE(15,6,IF(BD[CLASIFICACIÓN]=$B$2,ROW(BD[CLASIFICACIÓN])-ROW('PT2 (FILTRAR)'!$E$5)+1,NA()),ROWS($B$5:E113)),COLUMNS($B$5:E113)),"")</f>
        <v/>
      </c>
    </row>
    <row r="114" spans="2:5" x14ac:dyDescent="0.3">
      <c r="B114" s="126" t="str">
        <f t="array" ref="B114">IFERROR(INDEX(BD[],_xlfn.AGGREGATE(15,6,IF(BD[CLASIFICACIÓN]=$B$2,ROW(BD[CLASIFICACIÓN])-ROW('PT2 (FILTRAR)'!$E$5)+1,NA()),ROWS($B$5:B114)),COLUMNS($B$5:B114)),"")</f>
        <v/>
      </c>
      <c r="C114" s="127" t="str">
        <f t="array" ref="C114">IFERROR(INDEX(BD[],_xlfn.AGGREGATE(15,6,IF(BD[CLASIFICACIÓN]=$B$2,ROW(BD[CLASIFICACIÓN])-ROW('PT2 (FILTRAR)'!$E$5)+1,NA()),ROWS($B$5:C114)),COLUMNS($B$5:C114)),"")</f>
        <v/>
      </c>
      <c r="D114" s="142" t="str">
        <f t="array" ref="D114">IFERROR(INDEX(BD[],_xlfn.AGGREGATE(15,6,IF(BD[CLASIFICACIÓN]=$B$2,ROW(BD[CLASIFICACIÓN])-ROW('PT2 (FILTRAR)'!$E$5)+1,NA()),ROWS($B$5:D114)),COLUMNS($B$5:D114)),"")</f>
        <v/>
      </c>
      <c r="E114" s="126" t="str">
        <f t="array" ref="E114">IFERROR(INDEX(BD[],_xlfn.AGGREGATE(15,6,IF(BD[CLASIFICACIÓN]=$B$2,ROW(BD[CLASIFICACIÓN])-ROW('PT2 (FILTRAR)'!$E$5)+1,NA()),ROWS($B$5:E114)),COLUMNS($B$5:E114)),"")</f>
        <v/>
      </c>
    </row>
    <row r="115" spans="2:5" x14ac:dyDescent="0.3">
      <c r="B115" s="126" t="str">
        <f t="array" ref="B115">IFERROR(INDEX(BD[],_xlfn.AGGREGATE(15,6,IF(BD[CLASIFICACIÓN]=$B$2,ROW(BD[CLASIFICACIÓN])-ROW('PT2 (FILTRAR)'!$E$5)+1,NA()),ROWS($B$5:B115)),COLUMNS($B$5:B115)),"")</f>
        <v/>
      </c>
      <c r="C115" s="127" t="str">
        <f t="array" ref="C115">IFERROR(INDEX(BD[],_xlfn.AGGREGATE(15,6,IF(BD[CLASIFICACIÓN]=$B$2,ROW(BD[CLASIFICACIÓN])-ROW('PT2 (FILTRAR)'!$E$5)+1,NA()),ROWS($B$5:C115)),COLUMNS($B$5:C115)),"")</f>
        <v/>
      </c>
      <c r="D115" s="142" t="str">
        <f t="array" ref="D115">IFERROR(INDEX(BD[],_xlfn.AGGREGATE(15,6,IF(BD[CLASIFICACIÓN]=$B$2,ROW(BD[CLASIFICACIÓN])-ROW('PT2 (FILTRAR)'!$E$5)+1,NA()),ROWS($B$5:D115)),COLUMNS($B$5:D115)),"")</f>
        <v/>
      </c>
      <c r="E115" s="126" t="str">
        <f t="array" ref="E115">IFERROR(INDEX(BD[],_xlfn.AGGREGATE(15,6,IF(BD[CLASIFICACIÓN]=$B$2,ROW(BD[CLASIFICACIÓN])-ROW('PT2 (FILTRAR)'!$E$5)+1,NA()),ROWS($B$5:E115)),COLUMNS($B$5:E115)),"")</f>
        <v/>
      </c>
    </row>
    <row r="116" spans="2:5" x14ac:dyDescent="0.3">
      <c r="B116" s="126" t="str">
        <f t="array" ref="B116">IFERROR(INDEX(BD[],_xlfn.AGGREGATE(15,6,IF(BD[CLASIFICACIÓN]=$B$2,ROW(BD[CLASIFICACIÓN])-ROW('PT2 (FILTRAR)'!$E$5)+1,NA()),ROWS($B$5:B116)),COLUMNS($B$5:B116)),"")</f>
        <v/>
      </c>
      <c r="C116" s="127" t="str">
        <f t="array" ref="C116">IFERROR(INDEX(BD[],_xlfn.AGGREGATE(15,6,IF(BD[CLASIFICACIÓN]=$B$2,ROW(BD[CLASIFICACIÓN])-ROW('PT2 (FILTRAR)'!$E$5)+1,NA()),ROWS($B$5:C116)),COLUMNS($B$5:C116)),"")</f>
        <v/>
      </c>
      <c r="D116" s="142" t="str">
        <f t="array" ref="D116">IFERROR(INDEX(BD[],_xlfn.AGGREGATE(15,6,IF(BD[CLASIFICACIÓN]=$B$2,ROW(BD[CLASIFICACIÓN])-ROW('PT2 (FILTRAR)'!$E$5)+1,NA()),ROWS($B$5:D116)),COLUMNS($B$5:D116)),"")</f>
        <v/>
      </c>
      <c r="E116" s="126" t="str">
        <f t="array" ref="E116">IFERROR(INDEX(BD[],_xlfn.AGGREGATE(15,6,IF(BD[CLASIFICACIÓN]=$B$2,ROW(BD[CLASIFICACIÓN])-ROW('PT2 (FILTRAR)'!$E$5)+1,NA()),ROWS($B$5:E116)),COLUMNS($B$5:E116)),"")</f>
        <v/>
      </c>
    </row>
    <row r="117" spans="2:5" x14ac:dyDescent="0.3">
      <c r="B117" s="126" t="str">
        <f t="array" ref="B117">IFERROR(INDEX(BD[],_xlfn.AGGREGATE(15,6,IF(BD[CLASIFICACIÓN]=$B$2,ROW(BD[CLASIFICACIÓN])-ROW('PT2 (FILTRAR)'!$E$5)+1,NA()),ROWS($B$5:B117)),COLUMNS($B$5:B117)),"")</f>
        <v/>
      </c>
      <c r="C117" s="127" t="str">
        <f t="array" ref="C117">IFERROR(INDEX(BD[],_xlfn.AGGREGATE(15,6,IF(BD[CLASIFICACIÓN]=$B$2,ROW(BD[CLASIFICACIÓN])-ROW('PT2 (FILTRAR)'!$E$5)+1,NA()),ROWS($B$5:C117)),COLUMNS($B$5:C117)),"")</f>
        <v/>
      </c>
      <c r="D117" s="142" t="str">
        <f t="array" ref="D117">IFERROR(INDEX(BD[],_xlfn.AGGREGATE(15,6,IF(BD[CLASIFICACIÓN]=$B$2,ROW(BD[CLASIFICACIÓN])-ROW('PT2 (FILTRAR)'!$E$5)+1,NA()),ROWS($B$5:D117)),COLUMNS($B$5:D117)),"")</f>
        <v/>
      </c>
      <c r="E117" s="126" t="str">
        <f t="array" ref="E117">IFERROR(INDEX(BD[],_xlfn.AGGREGATE(15,6,IF(BD[CLASIFICACIÓN]=$B$2,ROW(BD[CLASIFICACIÓN])-ROW('PT2 (FILTRAR)'!$E$5)+1,NA()),ROWS($B$5:E117)),COLUMNS($B$5:E117)),"")</f>
        <v/>
      </c>
    </row>
    <row r="118" spans="2:5" x14ac:dyDescent="0.3">
      <c r="B118" s="126" t="str">
        <f t="array" ref="B118">IFERROR(INDEX(BD[],_xlfn.AGGREGATE(15,6,IF(BD[CLASIFICACIÓN]=$B$2,ROW(BD[CLASIFICACIÓN])-ROW('PT2 (FILTRAR)'!$E$5)+1,NA()),ROWS($B$5:B118)),COLUMNS($B$5:B118)),"")</f>
        <v/>
      </c>
      <c r="C118" s="127" t="str">
        <f t="array" ref="C118">IFERROR(INDEX(BD[],_xlfn.AGGREGATE(15,6,IF(BD[CLASIFICACIÓN]=$B$2,ROW(BD[CLASIFICACIÓN])-ROW('PT2 (FILTRAR)'!$E$5)+1,NA()),ROWS($B$5:C118)),COLUMNS($B$5:C118)),"")</f>
        <v/>
      </c>
      <c r="D118" s="142" t="str">
        <f t="array" ref="D118">IFERROR(INDEX(BD[],_xlfn.AGGREGATE(15,6,IF(BD[CLASIFICACIÓN]=$B$2,ROW(BD[CLASIFICACIÓN])-ROW('PT2 (FILTRAR)'!$E$5)+1,NA()),ROWS($B$5:D118)),COLUMNS($B$5:D118)),"")</f>
        <v/>
      </c>
      <c r="E118" s="126" t="str">
        <f t="array" ref="E118">IFERROR(INDEX(BD[],_xlfn.AGGREGATE(15,6,IF(BD[CLASIFICACIÓN]=$B$2,ROW(BD[CLASIFICACIÓN])-ROW('PT2 (FILTRAR)'!$E$5)+1,NA()),ROWS($B$5:E118)),COLUMNS($B$5:E118)),"")</f>
        <v/>
      </c>
    </row>
    <row r="119" spans="2:5" x14ac:dyDescent="0.3">
      <c r="B119" s="126" t="str">
        <f t="array" ref="B119">IFERROR(INDEX(BD[],_xlfn.AGGREGATE(15,6,IF(BD[CLASIFICACIÓN]=$B$2,ROW(BD[CLASIFICACIÓN])-ROW('PT2 (FILTRAR)'!$E$5)+1,NA()),ROWS($B$5:B119)),COLUMNS($B$5:B119)),"")</f>
        <v/>
      </c>
      <c r="C119" s="127" t="str">
        <f t="array" ref="C119">IFERROR(INDEX(BD[],_xlfn.AGGREGATE(15,6,IF(BD[CLASIFICACIÓN]=$B$2,ROW(BD[CLASIFICACIÓN])-ROW('PT2 (FILTRAR)'!$E$5)+1,NA()),ROWS($B$5:C119)),COLUMNS($B$5:C119)),"")</f>
        <v/>
      </c>
      <c r="D119" s="142" t="str">
        <f t="array" ref="D119">IFERROR(INDEX(BD[],_xlfn.AGGREGATE(15,6,IF(BD[CLASIFICACIÓN]=$B$2,ROW(BD[CLASIFICACIÓN])-ROW('PT2 (FILTRAR)'!$E$5)+1,NA()),ROWS($B$5:D119)),COLUMNS($B$5:D119)),"")</f>
        <v/>
      </c>
      <c r="E119" s="126" t="str">
        <f t="array" ref="E119">IFERROR(INDEX(BD[],_xlfn.AGGREGATE(15,6,IF(BD[CLASIFICACIÓN]=$B$2,ROW(BD[CLASIFICACIÓN])-ROW('PT2 (FILTRAR)'!$E$5)+1,NA()),ROWS($B$5:E119)),COLUMNS($B$5:E119)),"")</f>
        <v/>
      </c>
    </row>
    <row r="120" spans="2:5" x14ac:dyDescent="0.3">
      <c r="B120" s="126" t="str">
        <f t="array" ref="B120">IFERROR(INDEX(BD[],_xlfn.AGGREGATE(15,6,IF(BD[CLASIFICACIÓN]=$B$2,ROW(BD[CLASIFICACIÓN])-ROW('PT2 (FILTRAR)'!$E$5)+1,NA()),ROWS($B$5:B120)),COLUMNS($B$5:B120)),"")</f>
        <v/>
      </c>
      <c r="C120" s="127" t="str">
        <f t="array" ref="C120">IFERROR(INDEX(BD[],_xlfn.AGGREGATE(15,6,IF(BD[CLASIFICACIÓN]=$B$2,ROW(BD[CLASIFICACIÓN])-ROW('PT2 (FILTRAR)'!$E$5)+1,NA()),ROWS($B$5:C120)),COLUMNS($B$5:C120)),"")</f>
        <v/>
      </c>
      <c r="D120" s="142" t="str">
        <f t="array" ref="D120">IFERROR(INDEX(BD[],_xlfn.AGGREGATE(15,6,IF(BD[CLASIFICACIÓN]=$B$2,ROW(BD[CLASIFICACIÓN])-ROW('PT2 (FILTRAR)'!$E$5)+1,NA()),ROWS($B$5:D120)),COLUMNS($B$5:D120)),"")</f>
        <v/>
      </c>
      <c r="E120" s="126" t="str">
        <f t="array" ref="E120">IFERROR(INDEX(BD[],_xlfn.AGGREGATE(15,6,IF(BD[CLASIFICACIÓN]=$B$2,ROW(BD[CLASIFICACIÓN])-ROW('PT2 (FILTRAR)'!$E$5)+1,NA()),ROWS($B$5:E120)),COLUMNS($B$5:E120)),"")</f>
        <v/>
      </c>
    </row>
    <row r="121" spans="2:5" x14ac:dyDescent="0.3">
      <c r="B121" s="126" t="str">
        <f t="array" ref="B121">IFERROR(INDEX(BD[],_xlfn.AGGREGATE(15,6,IF(BD[CLASIFICACIÓN]=$B$2,ROW(BD[CLASIFICACIÓN])-ROW('PT2 (FILTRAR)'!$E$5)+1,NA()),ROWS($B$5:B121)),COLUMNS($B$5:B121)),"")</f>
        <v/>
      </c>
      <c r="C121" s="127" t="str">
        <f t="array" ref="C121">IFERROR(INDEX(BD[],_xlfn.AGGREGATE(15,6,IF(BD[CLASIFICACIÓN]=$B$2,ROW(BD[CLASIFICACIÓN])-ROW('PT2 (FILTRAR)'!$E$5)+1,NA()),ROWS($B$5:C121)),COLUMNS($B$5:C121)),"")</f>
        <v/>
      </c>
      <c r="D121" s="142" t="str">
        <f t="array" ref="D121">IFERROR(INDEX(BD[],_xlfn.AGGREGATE(15,6,IF(BD[CLASIFICACIÓN]=$B$2,ROW(BD[CLASIFICACIÓN])-ROW('PT2 (FILTRAR)'!$E$5)+1,NA()),ROWS($B$5:D121)),COLUMNS($B$5:D121)),"")</f>
        <v/>
      </c>
      <c r="E121" s="126" t="str">
        <f t="array" ref="E121">IFERROR(INDEX(BD[],_xlfn.AGGREGATE(15,6,IF(BD[CLASIFICACIÓN]=$B$2,ROW(BD[CLASIFICACIÓN])-ROW('PT2 (FILTRAR)'!$E$5)+1,NA()),ROWS($B$5:E121)),COLUMNS($B$5:E121)),"")</f>
        <v/>
      </c>
    </row>
    <row r="122" spans="2:5" x14ac:dyDescent="0.3">
      <c r="B122" s="126" t="str">
        <f t="array" ref="B122">IFERROR(INDEX(BD[],_xlfn.AGGREGATE(15,6,IF(BD[CLASIFICACIÓN]=$B$2,ROW(BD[CLASIFICACIÓN])-ROW('PT2 (FILTRAR)'!$E$5)+1,NA()),ROWS($B$5:B122)),COLUMNS($B$5:B122)),"")</f>
        <v/>
      </c>
      <c r="C122" s="127" t="str">
        <f t="array" ref="C122">IFERROR(INDEX(BD[],_xlfn.AGGREGATE(15,6,IF(BD[CLASIFICACIÓN]=$B$2,ROW(BD[CLASIFICACIÓN])-ROW('PT2 (FILTRAR)'!$E$5)+1,NA()),ROWS($B$5:C122)),COLUMNS($B$5:C122)),"")</f>
        <v/>
      </c>
      <c r="D122" s="142" t="str">
        <f t="array" ref="D122">IFERROR(INDEX(BD[],_xlfn.AGGREGATE(15,6,IF(BD[CLASIFICACIÓN]=$B$2,ROW(BD[CLASIFICACIÓN])-ROW('PT2 (FILTRAR)'!$E$5)+1,NA()),ROWS($B$5:D122)),COLUMNS($B$5:D122)),"")</f>
        <v/>
      </c>
      <c r="E122" s="126" t="str">
        <f t="array" ref="E122">IFERROR(INDEX(BD[],_xlfn.AGGREGATE(15,6,IF(BD[CLASIFICACIÓN]=$B$2,ROW(BD[CLASIFICACIÓN])-ROW('PT2 (FILTRAR)'!$E$5)+1,NA()),ROWS($B$5:E122)),COLUMNS($B$5:E122)),"")</f>
        <v/>
      </c>
    </row>
    <row r="123" spans="2:5" x14ac:dyDescent="0.3">
      <c r="B123" s="126" t="str">
        <f t="array" ref="B123">IFERROR(INDEX(BD[],_xlfn.AGGREGATE(15,6,IF(BD[CLASIFICACIÓN]=$B$2,ROW(BD[CLASIFICACIÓN])-ROW('PT2 (FILTRAR)'!$E$5)+1,NA()),ROWS($B$5:B123)),COLUMNS($B$5:B123)),"")</f>
        <v/>
      </c>
      <c r="C123" s="127" t="str">
        <f t="array" ref="C123">IFERROR(INDEX(BD[],_xlfn.AGGREGATE(15,6,IF(BD[CLASIFICACIÓN]=$B$2,ROW(BD[CLASIFICACIÓN])-ROW('PT2 (FILTRAR)'!$E$5)+1,NA()),ROWS($B$5:C123)),COLUMNS($B$5:C123)),"")</f>
        <v/>
      </c>
      <c r="D123" s="142" t="str">
        <f t="array" ref="D123">IFERROR(INDEX(BD[],_xlfn.AGGREGATE(15,6,IF(BD[CLASIFICACIÓN]=$B$2,ROW(BD[CLASIFICACIÓN])-ROW('PT2 (FILTRAR)'!$E$5)+1,NA()),ROWS($B$5:D123)),COLUMNS($B$5:D123)),"")</f>
        <v/>
      </c>
      <c r="E123" s="126" t="str">
        <f t="array" ref="E123">IFERROR(INDEX(BD[],_xlfn.AGGREGATE(15,6,IF(BD[CLASIFICACIÓN]=$B$2,ROW(BD[CLASIFICACIÓN])-ROW('PT2 (FILTRAR)'!$E$5)+1,NA()),ROWS($B$5:E123)),COLUMNS($B$5:E123)),"")</f>
        <v/>
      </c>
    </row>
    <row r="124" spans="2:5" x14ac:dyDescent="0.3">
      <c r="B124" s="126" t="str">
        <f t="array" ref="B124">IFERROR(INDEX(BD[],_xlfn.AGGREGATE(15,6,IF(BD[CLASIFICACIÓN]=$B$2,ROW(BD[CLASIFICACIÓN])-ROW('PT2 (FILTRAR)'!$E$5)+1,NA()),ROWS($B$5:B124)),COLUMNS($B$5:B124)),"")</f>
        <v/>
      </c>
      <c r="C124" s="127" t="str">
        <f t="array" ref="C124">IFERROR(INDEX(BD[],_xlfn.AGGREGATE(15,6,IF(BD[CLASIFICACIÓN]=$B$2,ROW(BD[CLASIFICACIÓN])-ROW('PT2 (FILTRAR)'!$E$5)+1,NA()),ROWS($B$5:C124)),COLUMNS($B$5:C124)),"")</f>
        <v/>
      </c>
      <c r="D124" s="142" t="str">
        <f t="array" ref="D124">IFERROR(INDEX(BD[],_xlfn.AGGREGATE(15,6,IF(BD[CLASIFICACIÓN]=$B$2,ROW(BD[CLASIFICACIÓN])-ROW('PT2 (FILTRAR)'!$E$5)+1,NA()),ROWS($B$5:D124)),COLUMNS($B$5:D124)),"")</f>
        <v/>
      </c>
      <c r="E124" s="126" t="str">
        <f t="array" ref="E124">IFERROR(INDEX(BD[],_xlfn.AGGREGATE(15,6,IF(BD[CLASIFICACIÓN]=$B$2,ROW(BD[CLASIFICACIÓN])-ROW('PT2 (FILTRAR)'!$E$5)+1,NA()),ROWS($B$5:E124)),COLUMNS($B$5:E124)),"")</f>
        <v/>
      </c>
    </row>
    <row r="125" spans="2:5" x14ac:dyDescent="0.3">
      <c r="B125" s="126" t="str">
        <f t="array" ref="B125">IFERROR(INDEX(BD[],_xlfn.AGGREGATE(15,6,IF(BD[CLASIFICACIÓN]=$B$2,ROW(BD[CLASIFICACIÓN])-ROW('PT2 (FILTRAR)'!$E$5)+1,NA()),ROWS($B$5:B125)),COLUMNS($B$5:B125)),"")</f>
        <v/>
      </c>
      <c r="C125" s="127" t="str">
        <f t="array" ref="C125">IFERROR(INDEX(BD[],_xlfn.AGGREGATE(15,6,IF(BD[CLASIFICACIÓN]=$B$2,ROW(BD[CLASIFICACIÓN])-ROW('PT2 (FILTRAR)'!$E$5)+1,NA()),ROWS($B$5:C125)),COLUMNS($B$5:C125)),"")</f>
        <v/>
      </c>
      <c r="D125" s="142" t="str">
        <f t="array" ref="D125">IFERROR(INDEX(BD[],_xlfn.AGGREGATE(15,6,IF(BD[CLASIFICACIÓN]=$B$2,ROW(BD[CLASIFICACIÓN])-ROW('PT2 (FILTRAR)'!$E$5)+1,NA()),ROWS($B$5:D125)),COLUMNS($B$5:D125)),"")</f>
        <v/>
      </c>
      <c r="E125" s="126" t="str">
        <f t="array" ref="E125">IFERROR(INDEX(BD[],_xlfn.AGGREGATE(15,6,IF(BD[CLASIFICACIÓN]=$B$2,ROW(BD[CLASIFICACIÓN])-ROW('PT2 (FILTRAR)'!$E$5)+1,NA()),ROWS($B$5:E125)),COLUMNS($B$5:E125)),"")</f>
        <v/>
      </c>
    </row>
    <row r="126" spans="2:5" x14ac:dyDescent="0.3">
      <c r="B126" s="126" t="str">
        <f t="array" ref="B126">IFERROR(INDEX(BD[],_xlfn.AGGREGATE(15,6,IF(BD[CLASIFICACIÓN]=$B$2,ROW(BD[CLASIFICACIÓN])-ROW('PT2 (FILTRAR)'!$E$5)+1,NA()),ROWS($B$5:B126)),COLUMNS($B$5:B126)),"")</f>
        <v/>
      </c>
      <c r="C126" s="127" t="str">
        <f t="array" ref="C126">IFERROR(INDEX(BD[],_xlfn.AGGREGATE(15,6,IF(BD[CLASIFICACIÓN]=$B$2,ROW(BD[CLASIFICACIÓN])-ROW('PT2 (FILTRAR)'!$E$5)+1,NA()),ROWS($B$5:C126)),COLUMNS($B$5:C126)),"")</f>
        <v/>
      </c>
      <c r="D126" s="142" t="str">
        <f t="array" ref="D126">IFERROR(INDEX(BD[],_xlfn.AGGREGATE(15,6,IF(BD[CLASIFICACIÓN]=$B$2,ROW(BD[CLASIFICACIÓN])-ROW('PT2 (FILTRAR)'!$E$5)+1,NA()),ROWS($B$5:D126)),COLUMNS($B$5:D126)),"")</f>
        <v/>
      </c>
      <c r="E126" s="126" t="str">
        <f t="array" ref="E126">IFERROR(INDEX(BD[],_xlfn.AGGREGATE(15,6,IF(BD[CLASIFICACIÓN]=$B$2,ROW(BD[CLASIFICACIÓN])-ROW('PT2 (FILTRAR)'!$E$5)+1,NA()),ROWS($B$5:E126)),COLUMNS($B$5:E126)),"")</f>
        <v/>
      </c>
    </row>
    <row r="127" spans="2:5" x14ac:dyDescent="0.3">
      <c r="B127" s="126" t="str">
        <f t="array" ref="B127">IFERROR(INDEX(BD[],_xlfn.AGGREGATE(15,6,IF(BD[CLASIFICACIÓN]=$B$2,ROW(BD[CLASIFICACIÓN])-ROW('PT2 (FILTRAR)'!$E$5)+1,NA()),ROWS($B$5:B127)),COLUMNS($B$5:B127)),"")</f>
        <v/>
      </c>
      <c r="C127" s="127" t="str">
        <f t="array" ref="C127">IFERROR(INDEX(BD[],_xlfn.AGGREGATE(15,6,IF(BD[CLASIFICACIÓN]=$B$2,ROW(BD[CLASIFICACIÓN])-ROW('PT2 (FILTRAR)'!$E$5)+1,NA()),ROWS($B$5:C127)),COLUMNS($B$5:C127)),"")</f>
        <v/>
      </c>
      <c r="D127" s="142" t="str">
        <f t="array" ref="D127">IFERROR(INDEX(BD[],_xlfn.AGGREGATE(15,6,IF(BD[CLASIFICACIÓN]=$B$2,ROW(BD[CLASIFICACIÓN])-ROW('PT2 (FILTRAR)'!$E$5)+1,NA()),ROWS($B$5:D127)),COLUMNS($B$5:D127)),"")</f>
        <v/>
      </c>
      <c r="E127" s="126" t="str">
        <f t="array" ref="E127">IFERROR(INDEX(BD[],_xlfn.AGGREGATE(15,6,IF(BD[CLASIFICACIÓN]=$B$2,ROW(BD[CLASIFICACIÓN])-ROW('PT2 (FILTRAR)'!$E$5)+1,NA()),ROWS($B$5:E127)),COLUMNS($B$5:E127)),"")</f>
        <v/>
      </c>
    </row>
    <row r="128" spans="2:5" x14ac:dyDescent="0.3">
      <c r="B128" s="126" t="str">
        <f t="array" ref="B128">IFERROR(INDEX(BD[],_xlfn.AGGREGATE(15,6,IF(BD[CLASIFICACIÓN]=$B$2,ROW(BD[CLASIFICACIÓN])-ROW('PT2 (FILTRAR)'!$E$5)+1,NA()),ROWS($B$5:B128)),COLUMNS($B$5:B128)),"")</f>
        <v/>
      </c>
      <c r="C128" s="127" t="str">
        <f t="array" ref="C128">IFERROR(INDEX(BD[],_xlfn.AGGREGATE(15,6,IF(BD[CLASIFICACIÓN]=$B$2,ROW(BD[CLASIFICACIÓN])-ROW('PT2 (FILTRAR)'!$E$5)+1,NA()),ROWS($B$5:C128)),COLUMNS($B$5:C128)),"")</f>
        <v/>
      </c>
      <c r="D128" s="142" t="str">
        <f t="array" ref="D128">IFERROR(INDEX(BD[],_xlfn.AGGREGATE(15,6,IF(BD[CLASIFICACIÓN]=$B$2,ROW(BD[CLASIFICACIÓN])-ROW('PT2 (FILTRAR)'!$E$5)+1,NA()),ROWS($B$5:D128)),COLUMNS($B$5:D128)),"")</f>
        <v/>
      </c>
      <c r="E128" s="126" t="str">
        <f t="array" ref="E128">IFERROR(INDEX(BD[],_xlfn.AGGREGATE(15,6,IF(BD[CLASIFICACIÓN]=$B$2,ROW(BD[CLASIFICACIÓN])-ROW('PT2 (FILTRAR)'!$E$5)+1,NA()),ROWS($B$5:E128)),COLUMNS($B$5:E128)),"")</f>
        <v/>
      </c>
    </row>
    <row r="129" spans="2:5" x14ac:dyDescent="0.3">
      <c r="B129" s="126" t="str">
        <f t="array" ref="B129">IFERROR(INDEX(BD[],_xlfn.AGGREGATE(15,6,IF(BD[CLASIFICACIÓN]=$B$2,ROW(BD[CLASIFICACIÓN])-ROW('PT2 (FILTRAR)'!$E$5)+1,NA()),ROWS($B$5:B129)),COLUMNS($B$5:B129)),"")</f>
        <v/>
      </c>
      <c r="C129" s="127" t="str">
        <f t="array" ref="C129">IFERROR(INDEX(BD[],_xlfn.AGGREGATE(15,6,IF(BD[CLASIFICACIÓN]=$B$2,ROW(BD[CLASIFICACIÓN])-ROW('PT2 (FILTRAR)'!$E$5)+1,NA()),ROWS($B$5:C129)),COLUMNS($B$5:C129)),"")</f>
        <v/>
      </c>
      <c r="D129" s="142" t="str">
        <f t="array" ref="D129">IFERROR(INDEX(BD[],_xlfn.AGGREGATE(15,6,IF(BD[CLASIFICACIÓN]=$B$2,ROW(BD[CLASIFICACIÓN])-ROW('PT2 (FILTRAR)'!$E$5)+1,NA()),ROWS($B$5:D129)),COLUMNS($B$5:D129)),"")</f>
        <v/>
      </c>
      <c r="E129" s="126" t="str">
        <f t="array" ref="E129">IFERROR(INDEX(BD[],_xlfn.AGGREGATE(15,6,IF(BD[CLASIFICACIÓN]=$B$2,ROW(BD[CLASIFICACIÓN])-ROW('PT2 (FILTRAR)'!$E$5)+1,NA()),ROWS($B$5:E129)),COLUMNS($B$5:E129)),"")</f>
        <v/>
      </c>
    </row>
    <row r="130" spans="2:5" x14ac:dyDescent="0.3">
      <c r="B130" s="126" t="str">
        <f t="array" ref="B130">IFERROR(INDEX(BD[],_xlfn.AGGREGATE(15,6,IF(BD[CLASIFICACIÓN]=$B$2,ROW(BD[CLASIFICACIÓN])-ROW('PT2 (FILTRAR)'!$E$5)+1,NA()),ROWS($B$5:B130)),COLUMNS($B$5:B130)),"")</f>
        <v/>
      </c>
      <c r="C130" s="127" t="str">
        <f t="array" ref="C130">IFERROR(INDEX(BD[],_xlfn.AGGREGATE(15,6,IF(BD[CLASIFICACIÓN]=$B$2,ROW(BD[CLASIFICACIÓN])-ROW('PT2 (FILTRAR)'!$E$5)+1,NA()),ROWS($B$5:C130)),COLUMNS($B$5:C130)),"")</f>
        <v/>
      </c>
      <c r="D130" s="142" t="str">
        <f t="array" ref="D130">IFERROR(INDEX(BD[],_xlfn.AGGREGATE(15,6,IF(BD[CLASIFICACIÓN]=$B$2,ROW(BD[CLASIFICACIÓN])-ROW('PT2 (FILTRAR)'!$E$5)+1,NA()),ROWS($B$5:D130)),COLUMNS($B$5:D130)),"")</f>
        <v/>
      </c>
      <c r="E130" s="126" t="str">
        <f t="array" ref="E130">IFERROR(INDEX(BD[],_xlfn.AGGREGATE(15,6,IF(BD[CLASIFICACIÓN]=$B$2,ROW(BD[CLASIFICACIÓN])-ROW('PT2 (FILTRAR)'!$E$5)+1,NA()),ROWS($B$5:E130)),COLUMNS($B$5:E130)),"")</f>
        <v/>
      </c>
    </row>
    <row r="131" spans="2:5" x14ac:dyDescent="0.3">
      <c r="B131" s="126" t="str">
        <f t="array" ref="B131">IFERROR(INDEX(BD[],_xlfn.AGGREGATE(15,6,IF(BD[CLASIFICACIÓN]=$B$2,ROW(BD[CLASIFICACIÓN])-ROW('PT2 (FILTRAR)'!$E$5)+1,NA()),ROWS($B$5:B131)),COLUMNS($B$5:B131)),"")</f>
        <v/>
      </c>
      <c r="C131" s="127" t="str">
        <f t="array" ref="C131">IFERROR(INDEX(BD[],_xlfn.AGGREGATE(15,6,IF(BD[CLASIFICACIÓN]=$B$2,ROW(BD[CLASIFICACIÓN])-ROW('PT2 (FILTRAR)'!$E$5)+1,NA()),ROWS($B$5:C131)),COLUMNS($B$5:C131)),"")</f>
        <v/>
      </c>
      <c r="D131" s="142" t="str">
        <f t="array" ref="D131">IFERROR(INDEX(BD[],_xlfn.AGGREGATE(15,6,IF(BD[CLASIFICACIÓN]=$B$2,ROW(BD[CLASIFICACIÓN])-ROW('PT2 (FILTRAR)'!$E$5)+1,NA()),ROWS($B$5:D131)),COLUMNS($B$5:D131)),"")</f>
        <v/>
      </c>
      <c r="E131" s="126" t="str">
        <f t="array" ref="E131">IFERROR(INDEX(BD[],_xlfn.AGGREGATE(15,6,IF(BD[CLASIFICACIÓN]=$B$2,ROW(BD[CLASIFICACIÓN])-ROW('PT2 (FILTRAR)'!$E$5)+1,NA()),ROWS($B$5:E131)),COLUMNS($B$5:E131)),"")</f>
        <v/>
      </c>
    </row>
    <row r="132" spans="2:5" x14ac:dyDescent="0.3">
      <c r="B132" s="126" t="str">
        <f t="array" ref="B132">IFERROR(INDEX(BD[],_xlfn.AGGREGATE(15,6,IF(BD[CLASIFICACIÓN]=$B$2,ROW(BD[CLASIFICACIÓN])-ROW('PT2 (FILTRAR)'!$E$5)+1,NA()),ROWS($B$5:B132)),COLUMNS($B$5:B132)),"")</f>
        <v/>
      </c>
      <c r="C132" s="127" t="str">
        <f t="array" ref="C132">IFERROR(INDEX(BD[],_xlfn.AGGREGATE(15,6,IF(BD[CLASIFICACIÓN]=$B$2,ROW(BD[CLASIFICACIÓN])-ROW('PT2 (FILTRAR)'!$E$5)+1,NA()),ROWS($B$5:C132)),COLUMNS($B$5:C132)),"")</f>
        <v/>
      </c>
      <c r="D132" s="142" t="str">
        <f t="array" ref="D132">IFERROR(INDEX(BD[],_xlfn.AGGREGATE(15,6,IF(BD[CLASIFICACIÓN]=$B$2,ROW(BD[CLASIFICACIÓN])-ROW('PT2 (FILTRAR)'!$E$5)+1,NA()),ROWS($B$5:D132)),COLUMNS($B$5:D132)),"")</f>
        <v/>
      </c>
      <c r="E132" s="126" t="str">
        <f t="array" ref="E132">IFERROR(INDEX(BD[],_xlfn.AGGREGATE(15,6,IF(BD[CLASIFICACIÓN]=$B$2,ROW(BD[CLASIFICACIÓN])-ROW('PT2 (FILTRAR)'!$E$5)+1,NA()),ROWS($B$5:E132)),COLUMNS($B$5:E132)),"")</f>
        <v/>
      </c>
    </row>
    <row r="133" spans="2:5" x14ac:dyDescent="0.3">
      <c r="B133" s="126" t="str">
        <f t="array" ref="B133">IFERROR(INDEX(BD[],_xlfn.AGGREGATE(15,6,IF(BD[CLASIFICACIÓN]=$B$2,ROW(BD[CLASIFICACIÓN])-ROW('PT2 (FILTRAR)'!$E$5)+1,NA()),ROWS($B$5:B133)),COLUMNS($B$5:B133)),"")</f>
        <v/>
      </c>
      <c r="C133" s="127" t="str">
        <f t="array" ref="C133">IFERROR(INDEX(BD[],_xlfn.AGGREGATE(15,6,IF(BD[CLASIFICACIÓN]=$B$2,ROW(BD[CLASIFICACIÓN])-ROW('PT2 (FILTRAR)'!$E$5)+1,NA()),ROWS($B$5:C133)),COLUMNS($B$5:C133)),"")</f>
        <v/>
      </c>
      <c r="D133" s="142" t="str">
        <f t="array" ref="D133">IFERROR(INDEX(BD[],_xlfn.AGGREGATE(15,6,IF(BD[CLASIFICACIÓN]=$B$2,ROW(BD[CLASIFICACIÓN])-ROW('PT2 (FILTRAR)'!$E$5)+1,NA()),ROWS($B$5:D133)),COLUMNS($B$5:D133)),"")</f>
        <v/>
      </c>
      <c r="E133" s="126" t="str">
        <f t="array" ref="E133">IFERROR(INDEX(BD[],_xlfn.AGGREGATE(15,6,IF(BD[CLASIFICACIÓN]=$B$2,ROW(BD[CLASIFICACIÓN])-ROW('PT2 (FILTRAR)'!$E$5)+1,NA()),ROWS($B$5:E133)),COLUMNS($B$5:E133)),"")</f>
        <v/>
      </c>
    </row>
    <row r="134" spans="2:5" x14ac:dyDescent="0.3">
      <c r="B134" s="126" t="str">
        <f t="array" ref="B134">IFERROR(INDEX(BD[],_xlfn.AGGREGATE(15,6,IF(BD[CLASIFICACIÓN]=$B$2,ROW(BD[CLASIFICACIÓN])-ROW('PT2 (FILTRAR)'!$E$5)+1,NA()),ROWS($B$5:B134)),COLUMNS($B$5:B134)),"")</f>
        <v/>
      </c>
      <c r="C134" s="127" t="str">
        <f t="array" ref="C134">IFERROR(INDEX(BD[],_xlfn.AGGREGATE(15,6,IF(BD[CLASIFICACIÓN]=$B$2,ROW(BD[CLASIFICACIÓN])-ROW('PT2 (FILTRAR)'!$E$5)+1,NA()),ROWS($B$5:C134)),COLUMNS($B$5:C134)),"")</f>
        <v/>
      </c>
      <c r="D134" s="142" t="str">
        <f t="array" ref="D134">IFERROR(INDEX(BD[],_xlfn.AGGREGATE(15,6,IF(BD[CLASIFICACIÓN]=$B$2,ROW(BD[CLASIFICACIÓN])-ROW('PT2 (FILTRAR)'!$E$5)+1,NA()),ROWS($B$5:D134)),COLUMNS($B$5:D134)),"")</f>
        <v/>
      </c>
      <c r="E134" s="126" t="str">
        <f t="array" ref="E134">IFERROR(INDEX(BD[],_xlfn.AGGREGATE(15,6,IF(BD[CLASIFICACIÓN]=$B$2,ROW(BD[CLASIFICACIÓN])-ROW('PT2 (FILTRAR)'!$E$5)+1,NA()),ROWS($B$5:E134)),COLUMNS($B$5:E134)),"")</f>
        <v/>
      </c>
    </row>
    <row r="135" spans="2:5" x14ac:dyDescent="0.3">
      <c r="B135" s="126" t="str">
        <f t="array" ref="B135">IFERROR(INDEX(BD[],_xlfn.AGGREGATE(15,6,IF(BD[CLASIFICACIÓN]=$B$2,ROW(BD[CLASIFICACIÓN])-ROW('PT2 (FILTRAR)'!$E$5)+1,NA()),ROWS($B$5:B135)),COLUMNS($B$5:B135)),"")</f>
        <v/>
      </c>
      <c r="C135" s="127" t="str">
        <f t="array" ref="C135">IFERROR(INDEX(BD[],_xlfn.AGGREGATE(15,6,IF(BD[CLASIFICACIÓN]=$B$2,ROW(BD[CLASIFICACIÓN])-ROW('PT2 (FILTRAR)'!$E$5)+1,NA()),ROWS($B$5:C135)),COLUMNS($B$5:C135)),"")</f>
        <v/>
      </c>
      <c r="D135" s="142" t="str">
        <f t="array" ref="D135">IFERROR(INDEX(BD[],_xlfn.AGGREGATE(15,6,IF(BD[CLASIFICACIÓN]=$B$2,ROW(BD[CLASIFICACIÓN])-ROW('PT2 (FILTRAR)'!$E$5)+1,NA()),ROWS($B$5:D135)),COLUMNS($B$5:D135)),"")</f>
        <v/>
      </c>
      <c r="E135" s="126" t="str">
        <f t="array" ref="E135">IFERROR(INDEX(BD[],_xlfn.AGGREGATE(15,6,IF(BD[CLASIFICACIÓN]=$B$2,ROW(BD[CLASIFICACIÓN])-ROW('PT2 (FILTRAR)'!$E$5)+1,NA()),ROWS($B$5:E135)),COLUMNS($B$5:E135)),"")</f>
        <v/>
      </c>
    </row>
    <row r="136" spans="2:5" x14ac:dyDescent="0.3">
      <c r="B136" s="126" t="str">
        <f t="array" ref="B136">IFERROR(INDEX(BD[],_xlfn.AGGREGATE(15,6,IF(BD[CLASIFICACIÓN]=$B$2,ROW(BD[CLASIFICACIÓN])-ROW('PT2 (FILTRAR)'!$E$5)+1,NA()),ROWS($B$5:B136)),COLUMNS($B$5:B136)),"")</f>
        <v/>
      </c>
      <c r="C136" s="127" t="str">
        <f t="array" ref="C136">IFERROR(INDEX(BD[],_xlfn.AGGREGATE(15,6,IF(BD[CLASIFICACIÓN]=$B$2,ROW(BD[CLASIFICACIÓN])-ROW('PT2 (FILTRAR)'!$E$5)+1,NA()),ROWS($B$5:C136)),COLUMNS($B$5:C136)),"")</f>
        <v/>
      </c>
      <c r="D136" s="142" t="str">
        <f t="array" ref="D136">IFERROR(INDEX(BD[],_xlfn.AGGREGATE(15,6,IF(BD[CLASIFICACIÓN]=$B$2,ROW(BD[CLASIFICACIÓN])-ROW('PT2 (FILTRAR)'!$E$5)+1,NA()),ROWS($B$5:D136)),COLUMNS($B$5:D136)),"")</f>
        <v/>
      </c>
      <c r="E136" s="126" t="str">
        <f t="array" ref="E136">IFERROR(INDEX(BD[],_xlfn.AGGREGATE(15,6,IF(BD[CLASIFICACIÓN]=$B$2,ROW(BD[CLASIFICACIÓN])-ROW('PT2 (FILTRAR)'!$E$5)+1,NA()),ROWS($B$5:E136)),COLUMNS($B$5:E136)),"")</f>
        <v/>
      </c>
    </row>
    <row r="137" spans="2:5" x14ac:dyDescent="0.3">
      <c r="B137" s="126" t="str">
        <f t="array" ref="B137">IFERROR(INDEX(BD[],_xlfn.AGGREGATE(15,6,IF(BD[CLASIFICACIÓN]=$B$2,ROW(BD[CLASIFICACIÓN])-ROW('PT2 (FILTRAR)'!$E$5)+1,NA()),ROWS($B$5:B137)),COLUMNS($B$5:B137)),"")</f>
        <v/>
      </c>
      <c r="C137" s="127" t="str">
        <f t="array" ref="C137">IFERROR(INDEX(BD[],_xlfn.AGGREGATE(15,6,IF(BD[CLASIFICACIÓN]=$B$2,ROW(BD[CLASIFICACIÓN])-ROW('PT2 (FILTRAR)'!$E$5)+1,NA()),ROWS($B$5:C137)),COLUMNS($B$5:C137)),"")</f>
        <v/>
      </c>
      <c r="D137" s="142" t="str">
        <f t="array" ref="D137">IFERROR(INDEX(BD[],_xlfn.AGGREGATE(15,6,IF(BD[CLASIFICACIÓN]=$B$2,ROW(BD[CLASIFICACIÓN])-ROW('PT2 (FILTRAR)'!$E$5)+1,NA()),ROWS($B$5:D137)),COLUMNS($B$5:D137)),"")</f>
        <v/>
      </c>
      <c r="E137" s="126" t="str">
        <f t="array" ref="E137">IFERROR(INDEX(BD[],_xlfn.AGGREGATE(15,6,IF(BD[CLASIFICACIÓN]=$B$2,ROW(BD[CLASIFICACIÓN])-ROW('PT2 (FILTRAR)'!$E$5)+1,NA()),ROWS($B$5:E137)),COLUMNS($B$5:E137)),"")</f>
        <v/>
      </c>
    </row>
    <row r="138" spans="2:5" x14ac:dyDescent="0.3">
      <c r="B138" s="126" t="str">
        <f t="array" ref="B138">IFERROR(INDEX(BD[],_xlfn.AGGREGATE(15,6,IF(BD[CLASIFICACIÓN]=$B$2,ROW(BD[CLASIFICACIÓN])-ROW('PT2 (FILTRAR)'!$E$5)+1,NA()),ROWS($B$5:B138)),COLUMNS($B$5:B138)),"")</f>
        <v/>
      </c>
      <c r="C138" s="127" t="str">
        <f t="array" ref="C138">IFERROR(INDEX(BD[],_xlfn.AGGREGATE(15,6,IF(BD[CLASIFICACIÓN]=$B$2,ROW(BD[CLASIFICACIÓN])-ROW('PT2 (FILTRAR)'!$E$5)+1,NA()),ROWS($B$5:C138)),COLUMNS($B$5:C138)),"")</f>
        <v/>
      </c>
      <c r="D138" s="142" t="str">
        <f t="array" ref="D138">IFERROR(INDEX(BD[],_xlfn.AGGREGATE(15,6,IF(BD[CLASIFICACIÓN]=$B$2,ROW(BD[CLASIFICACIÓN])-ROW('PT2 (FILTRAR)'!$E$5)+1,NA()),ROWS($B$5:D138)),COLUMNS($B$5:D138)),"")</f>
        <v/>
      </c>
      <c r="E138" s="126" t="str">
        <f t="array" ref="E138">IFERROR(INDEX(BD[],_xlfn.AGGREGATE(15,6,IF(BD[CLASIFICACIÓN]=$B$2,ROW(BD[CLASIFICACIÓN])-ROW('PT2 (FILTRAR)'!$E$5)+1,NA()),ROWS($B$5:E138)),COLUMNS($B$5:E138)),"")</f>
        <v/>
      </c>
    </row>
    <row r="139" spans="2:5" x14ac:dyDescent="0.3">
      <c r="B139" s="126" t="str">
        <f t="array" ref="B139">IFERROR(INDEX(BD[],_xlfn.AGGREGATE(15,6,IF(BD[CLASIFICACIÓN]=$B$2,ROW(BD[CLASIFICACIÓN])-ROW('PT2 (FILTRAR)'!$E$5)+1,NA()),ROWS($B$5:B139)),COLUMNS($B$5:B139)),"")</f>
        <v/>
      </c>
      <c r="C139" s="127" t="str">
        <f t="array" ref="C139">IFERROR(INDEX(BD[],_xlfn.AGGREGATE(15,6,IF(BD[CLASIFICACIÓN]=$B$2,ROW(BD[CLASIFICACIÓN])-ROW('PT2 (FILTRAR)'!$E$5)+1,NA()),ROWS($B$5:C139)),COLUMNS($B$5:C139)),"")</f>
        <v/>
      </c>
      <c r="D139" s="142" t="str">
        <f t="array" ref="D139">IFERROR(INDEX(BD[],_xlfn.AGGREGATE(15,6,IF(BD[CLASIFICACIÓN]=$B$2,ROW(BD[CLASIFICACIÓN])-ROW('PT2 (FILTRAR)'!$E$5)+1,NA()),ROWS($B$5:D139)),COLUMNS($B$5:D139)),"")</f>
        <v/>
      </c>
      <c r="E139" s="126" t="str">
        <f t="array" ref="E139">IFERROR(INDEX(BD[],_xlfn.AGGREGATE(15,6,IF(BD[CLASIFICACIÓN]=$B$2,ROW(BD[CLASIFICACIÓN])-ROW('PT2 (FILTRAR)'!$E$5)+1,NA()),ROWS($B$5:E139)),COLUMNS($B$5:E139)),"")</f>
        <v/>
      </c>
    </row>
    <row r="140" spans="2:5" x14ac:dyDescent="0.3">
      <c r="B140" s="126" t="str">
        <f t="array" ref="B140">IFERROR(INDEX(BD[],_xlfn.AGGREGATE(15,6,IF(BD[CLASIFICACIÓN]=$B$2,ROW(BD[CLASIFICACIÓN])-ROW('PT2 (FILTRAR)'!$E$5)+1,NA()),ROWS($B$5:B140)),COLUMNS($B$5:B140)),"")</f>
        <v/>
      </c>
      <c r="C140" s="127" t="str">
        <f t="array" ref="C140">IFERROR(INDEX(BD[],_xlfn.AGGREGATE(15,6,IF(BD[CLASIFICACIÓN]=$B$2,ROW(BD[CLASIFICACIÓN])-ROW('PT2 (FILTRAR)'!$E$5)+1,NA()),ROWS($B$5:C140)),COLUMNS($B$5:C140)),"")</f>
        <v/>
      </c>
      <c r="D140" s="142" t="str">
        <f t="array" ref="D140">IFERROR(INDEX(BD[],_xlfn.AGGREGATE(15,6,IF(BD[CLASIFICACIÓN]=$B$2,ROW(BD[CLASIFICACIÓN])-ROW('PT2 (FILTRAR)'!$E$5)+1,NA()),ROWS($B$5:D140)),COLUMNS($B$5:D140)),"")</f>
        <v/>
      </c>
      <c r="E140" s="126" t="str">
        <f t="array" ref="E140">IFERROR(INDEX(BD[],_xlfn.AGGREGATE(15,6,IF(BD[CLASIFICACIÓN]=$B$2,ROW(BD[CLASIFICACIÓN])-ROW('PT2 (FILTRAR)'!$E$5)+1,NA()),ROWS($B$5:E140)),COLUMNS($B$5:E140)),"")</f>
        <v/>
      </c>
    </row>
    <row r="141" spans="2:5" x14ac:dyDescent="0.3">
      <c r="B141" s="126" t="str">
        <f t="array" ref="B141">IFERROR(INDEX(BD[],_xlfn.AGGREGATE(15,6,IF(BD[CLASIFICACIÓN]=$B$2,ROW(BD[CLASIFICACIÓN])-ROW('PT2 (FILTRAR)'!$E$5)+1,NA()),ROWS($B$5:B141)),COLUMNS($B$5:B141)),"")</f>
        <v/>
      </c>
      <c r="C141" s="127" t="str">
        <f t="array" ref="C141">IFERROR(INDEX(BD[],_xlfn.AGGREGATE(15,6,IF(BD[CLASIFICACIÓN]=$B$2,ROW(BD[CLASIFICACIÓN])-ROW('PT2 (FILTRAR)'!$E$5)+1,NA()),ROWS($B$5:C141)),COLUMNS($B$5:C141)),"")</f>
        <v/>
      </c>
      <c r="D141" s="142" t="str">
        <f t="array" ref="D141">IFERROR(INDEX(BD[],_xlfn.AGGREGATE(15,6,IF(BD[CLASIFICACIÓN]=$B$2,ROW(BD[CLASIFICACIÓN])-ROW('PT2 (FILTRAR)'!$E$5)+1,NA()),ROWS($B$5:D141)),COLUMNS($B$5:D141)),"")</f>
        <v/>
      </c>
      <c r="E141" s="126" t="str">
        <f t="array" ref="E141">IFERROR(INDEX(BD[],_xlfn.AGGREGATE(15,6,IF(BD[CLASIFICACIÓN]=$B$2,ROW(BD[CLASIFICACIÓN])-ROW('PT2 (FILTRAR)'!$E$5)+1,NA()),ROWS($B$5:E141)),COLUMNS($B$5:E141)),"")</f>
        <v/>
      </c>
    </row>
    <row r="142" spans="2:5" x14ac:dyDescent="0.3">
      <c r="B142" s="126" t="str">
        <f t="array" ref="B142">IFERROR(INDEX(BD[],_xlfn.AGGREGATE(15,6,IF(BD[CLASIFICACIÓN]=$B$2,ROW(BD[CLASIFICACIÓN])-ROW('PT2 (FILTRAR)'!$E$5)+1,NA()),ROWS($B$5:B142)),COLUMNS($B$5:B142)),"")</f>
        <v/>
      </c>
      <c r="C142" s="127" t="str">
        <f t="array" ref="C142">IFERROR(INDEX(BD[],_xlfn.AGGREGATE(15,6,IF(BD[CLASIFICACIÓN]=$B$2,ROW(BD[CLASIFICACIÓN])-ROW('PT2 (FILTRAR)'!$E$5)+1,NA()),ROWS($B$5:C142)),COLUMNS($B$5:C142)),"")</f>
        <v/>
      </c>
      <c r="D142" s="142" t="str">
        <f t="array" ref="D142">IFERROR(INDEX(BD[],_xlfn.AGGREGATE(15,6,IF(BD[CLASIFICACIÓN]=$B$2,ROW(BD[CLASIFICACIÓN])-ROW('PT2 (FILTRAR)'!$E$5)+1,NA()),ROWS($B$5:D142)),COLUMNS($B$5:D142)),"")</f>
        <v/>
      </c>
      <c r="E142" s="126" t="str">
        <f t="array" ref="E142">IFERROR(INDEX(BD[],_xlfn.AGGREGATE(15,6,IF(BD[CLASIFICACIÓN]=$B$2,ROW(BD[CLASIFICACIÓN])-ROW('PT2 (FILTRAR)'!$E$5)+1,NA()),ROWS($B$5:E142)),COLUMNS($B$5:E142)),"")</f>
        <v/>
      </c>
    </row>
    <row r="143" spans="2:5" x14ac:dyDescent="0.3">
      <c r="B143" s="126" t="str">
        <f t="array" ref="B143">IFERROR(INDEX(BD[],_xlfn.AGGREGATE(15,6,IF(BD[CLASIFICACIÓN]=$B$2,ROW(BD[CLASIFICACIÓN])-ROW('PT2 (FILTRAR)'!$E$5)+1,NA()),ROWS($B$5:B143)),COLUMNS($B$5:B143)),"")</f>
        <v/>
      </c>
      <c r="C143" s="127" t="str">
        <f t="array" ref="C143">IFERROR(INDEX(BD[],_xlfn.AGGREGATE(15,6,IF(BD[CLASIFICACIÓN]=$B$2,ROW(BD[CLASIFICACIÓN])-ROW('PT2 (FILTRAR)'!$E$5)+1,NA()),ROWS($B$5:C143)),COLUMNS($B$5:C143)),"")</f>
        <v/>
      </c>
      <c r="D143" s="142" t="str">
        <f t="array" ref="D143">IFERROR(INDEX(BD[],_xlfn.AGGREGATE(15,6,IF(BD[CLASIFICACIÓN]=$B$2,ROW(BD[CLASIFICACIÓN])-ROW('PT2 (FILTRAR)'!$E$5)+1,NA()),ROWS($B$5:D143)),COLUMNS($B$5:D143)),"")</f>
        <v/>
      </c>
      <c r="E143" s="126" t="str">
        <f t="array" ref="E143">IFERROR(INDEX(BD[],_xlfn.AGGREGATE(15,6,IF(BD[CLASIFICACIÓN]=$B$2,ROW(BD[CLASIFICACIÓN])-ROW('PT2 (FILTRAR)'!$E$5)+1,NA()),ROWS($B$5:E143)),COLUMNS($B$5:E143)),"")</f>
        <v/>
      </c>
    </row>
    <row r="144" spans="2:5" x14ac:dyDescent="0.3">
      <c r="B144" s="126" t="str">
        <f t="array" ref="B144">IFERROR(INDEX(BD[],_xlfn.AGGREGATE(15,6,IF(BD[CLASIFICACIÓN]=$B$2,ROW(BD[CLASIFICACIÓN])-ROW('PT2 (FILTRAR)'!$E$5)+1,NA()),ROWS($B$5:B144)),COLUMNS($B$5:B144)),"")</f>
        <v/>
      </c>
      <c r="C144" s="127" t="str">
        <f t="array" ref="C144">IFERROR(INDEX(BD[],_xlfn.AGGREGATE(15,6,IF(BD[CLASIFICACIÓN]=$B$2,ROW(BD[CLASIFICACIÓN])-ROW('PT2 (FILTRAR)'!$E$5)+1,NA()),ROWS($B$5:C144)),COLUMNS($B$5:C144)),"")</f>
        <v/>
      </c>
      <c r="D144" s="142" t="str">
        <f t="array" ref="D144">IFERROR(INDEX(BD[],_xlfn.AGGREGATE(15,6,IF(BD[CLASIFICACIÓN]=$B$2,ROW(BD[CLASIFICACIÓN])-ROW('PT2 (FILTRAR)'!$E$5)+1,NA()),ROWS($B$5:D144)),COLUMNS($B$5:D144)),"")</f>
        <v/>
      </c>
      <c r="E144" s="126" t="str">
        <f t="array" ref="E144">IFERROR(INDEX(BD[],_xlfn.AGGREGATE(15,6,IF(BD[CLASIFICACIÓN]=$B$2,ROW(BD[CLASIFICACIÓN])-ROW('PT2 (FILTRAR)'!$E$5)+1,NA()),ROWS($B$5:E144)),COLUMNS($B$5:E144)),"")</f>
        <v/>
      </c>
    </row>
    <row r="145" spans="2:5" x14ac:dyDescent="0.3">
      <c r="B145" s="126" t="str">
        <f t="array" ref="B145">IFERROR(INDEX(BD[],_xlfn.AGGREGATE(15,6,IF(BD[CLASIFICACIÓN]=$B$2,ROW(BD[CLASIFICACIÓN])-ROW('PT2 (FILTRAR)'!$E$5)+1,NA()),ROWS($B$5:B145)),COLUMNS($B$5:B145)),"")</f>
        <v/>
      </c>
      <c r="C145" s="127" t="str">
        <f t="array" ref="C145">IFERROR(INDEX(BD[],_xlfn.AGGREGATE(15,6,IF(BD[CLASIFICACIÓN]=$B$2,ROW(BD[CLASIFICACIÓN])-ROW('PT2 (FILTRAR)'!$E$5)+1,NA()),ROWS($B$5:C145)),COLUMNS($B$5:C145)),"")</f>
        <v/>
      </c>
      <c r="D145" s="142" t="str">
        <f t="array" ref="D145">IFERROR(INDEX(BD[],_xlfn.AGGREGATE(15,6,IF(BD[CLASIFICACIÓN]=$B$2,ROW(BD[CLASIFICACIÓN])-ROW('PT2 (FILTRAR)'!$E$5)+1,NA()),ROWS($B$5:D145)),COLUMNS($B$5:D145)),"")</f>
        <v/>
      </c>
      <c r="E145" s="126" t="str">
        <f t="array" ref="E145">IFERROR(INDEX(BD[],_xlfn.AGGREGATE(15,6,IF(BD[CLASIFICACIÓN]=$B$2,ROW(BD[CLASIFICACIÓN])-ROW('PT2 (FILTRAR)'!$E$5)+1,NA()),ROWS($B$5:E145)),COLUMNS($B$5:E145)),"")</f>
        <v/>
      </c>
    </row>
    <row r="146" spans="2:5" x14ac:dyDescent="0.3">
      <c r="B146" s="126" t="str">
        <f t="array" ref="B146">IFERROR(INDEX(BD[],_xlfn.AGGREGATE(15,6,IF(BD[CLASIFICACIÓN]=$B$2,ROW(BD[CLASIFICACIÓN])-ROW('PT2 (FILTRAR)'!$E$5)+1,NA()),ROWS($B$5:B146)),COLUMNS($B$5:B146)),"")</f>
        <v/>
      </c>
      <c r="C146" s="127" t="str">
        <f t="array" ref="C146">IFERROR(INDEX(BD[],_xlfn.AGGREGATE(15,6,IF(BD[CLASIFICACIÓN]=$B$2,ROW(BD[CLASIFICACIÓN])-ROW('PT2 (FILTRAR)'!$E$5)+1,NA()),ROWS($B$5:C146)),COLUMNS($B$5:C146)),"")</f>
        <v/>
      </c>
      <c r="D146" s="142" t="str">
        <f t="array" ref="D146">IFERROR(INDEX(BD[],_xlfn.AGGREGATE(15,6,IF(BD[CLASIFICACIÓN]=$B$2,ROW(BD[CLASIFICACIÓN])-ROW('PT2 (FILTRAR)'!$E$5)+1,NA()),ROWS($B$5:D146)),COLUMNS($B$5:D146)),"")</f>
        <v/>
      </c>
      <c r="E146" s="126" t="str">
        <f t="array" ref="E146">IFERROR(INDEX(BD[],_xlfn.AGGREGATE(15,6,IF(BD[CLASIFICACIÓN]=$B$2,ROW(BD[CLASIFICACIÓN])-ROW('PT2 (FILTRAR)'!$E$5)+1,NA()),ROWS($B$5:E146)),COLUMNS($B$5:E146)),"")</f>
        <v/>
      </c>
    </row>
    <row r="147" spans="2:5" x14ac:dyDescent="0.3">
      <c r="B147" s="126" t="str">
        <f t="array" ref="B147">IFERROR(INDEX(BD[],_xlfn.AGGREGATE(15,6,IF(BD[CLASIFICACIÓN]=$B$2,ROW(BD[CLASIFICACIÓN])-ROW('PT2 (FILTRAR)'!$E$5)+1,NA()),ROWS($B$5:B147)),COLUMNS($B$5:B147)),"")</f>
        <v/>
      </c>
      <c r="C147" s="127" t="str">
        <f t="array" ref="C147">IFERROR(INDEX(BD[],_xlfn.AGGREGATE(15,6,IF(BD[CLASIFICACIÓN]=$B$2,ROW(BD[CLASIFICACIÓN])-ROW('PT2 (FILTRAR)'!$E$5)+1,NA()),ROWS($B$5:C147)),COLUMNS($B$5:C147)),"")</f>
        <v/>
      </c>
      <c r="D147" s="142" t="str">
        <f t="array" ref="D147">IFERROR(INDEX(BD[],_xlfn.AGGREGATE(15,6,IF(BD[CLASIFICACIÓN]=$B$2,ROW(BD[CLASIFICACIÓN])-ROW('PT2 (FILTRAR)'!$E$5)+1,NA()),ROWS($B$5:D147)),COLUMNS($B$5:D147)),"")</f>
        <v/>
      </c>
      <c r="E147" s="126" t="str">
        <f t="array" ref="E147">IFERROR(INDEX(BD[],_xlfn.AGGREGATE(15,6,IF(BD[CLASIFICACIÓN]=$B$2,ROW(BD[CLASIFICACIÓN])-ROW('PT2 (FILTRAR)'!$E$5)+1,NA()),ROWS($B$5:E147)),COLUMNS($B$5:E147)),"")</f>
        <v/>
      </c>
    </row>
    <row r="148" spans="2:5" x14ac:dyDescent="0.3">
      <c r="B148" s="126" t="str">
        <f t="array" ref="B148">IFERROR(INDEX(BD[],_xlfn.AGGREGATE(15,6,IF(BD[CLASIFICACIÓN]=$B$2,ROW(BD[CLASIFICACIÓN])-ROW('PT2 (FILTRAR)'!$E$5)+1,NA()),ROWS($B$5:B148)),COLUMNS($B$5:B148)),"")</f>
        <v/>
      </c>
      <c r="C148" s="127" t="str">
        <f t="array" ref="C148">IFERROR(INDEX(BD[],_xlfn.AGGREGATE(15,6,IF(BD[CLASIFICACIÓN]=$B$2,ROW(BD[CLASIFICACIÓN])-ROW('PT2 (FILTRAR)'!$E$5)+1,NA()),ROWS($B$5:C148)),COLUMNS($B$5:C148)),"")</f>
        <v/>
      </c>
      <c r="D148" s="142" t="str">
        <f t="array" ref="D148">IFERROR(INDEX(BD[],_xlfn.AGGREGATE(15,6,IF(BD[CLASIFICACIÓN]=$B$2,ROW(BD[CLASIFICACIÓN])-ROW('PT2 (FILTRAR)'!$E$5)+1,NA()),ROWS($B$5:D148)),COLUMNS($B$5:D148)),"")</f>
        <v/>
      </c>
      <c r="E148" s="126" t="str">
        <f t="array" ref="E148">IFERROR(INDEX(BD[],_xlfn.AGGREGATE(15,6,IF(BD[CLASIFICACIÓN]=$B$2,ROW(BD[CLASIFICACIÓN])-ROW('PT2 (FILTRAR)'!$E$5)+1,NA()),ROWS($B$5:E148)),COLUMNS($B$5:E148)),"")</f>
        <v/>
      </c>
    </row>
    <row r="149" spans="2:5" x14ac:dyDescent="0.3">
      <c r="B149" s="126" t="str">
        <f t="array" ref="B149">IFERROR(INDEX(BD[],_xlfn.AGGREGATE(15,6,IF(BD[CLASIFICACIÓN]=$B$2,ROW(BD[CLASIFICACIÓN])-ROW('PT2 (FILTRAR)'!$E$5)+1,NA()),ROWS($B$5:B149)),COLUMNS($B$5:B149)),"")</f>
        <v/>
      </c>
      <c r="C149" s="127" t="str">
        <f t="array" ref="C149">IFERROR(INDEX(BD[],_xlfn.AGGREGATE(15,6,IF(BD[CLASIFICACIÓN]=$B$2,ROW(BD[CLASIFICACIÓN])-ROW('PT2 (FILTRAR)'!$E$5)+1,NA()),ROWS($B$5:C149)),COLUMNS($B$5:C149)),"")</f>
        <v/>
      </c>
      <c r="D149" s="142" t="str">
        <f t="array" ref="D149">IFERROR(INDEX(BD[],_xlfn.AGGREGATE(15,6,IF(BD[CLASIFICACIÓN]=$B$2,ROW(BD[CLASIFICACIÓN])-ROW('PT2 (FILTRAR)'!$E$5)+1,NA()),ROWS($B$5:D149)),COLUMNS($B$5:D149)),"")</f>
        <v/>
      </c>
      <c r="E149" s="126" t="str">
        <f t="array" ref="E149">IFERROR(INDEX(BD[],_xlfn.AGGREGATE(15,6,IF(BD[CLASIFICACIÓN]=$B$2,ROW(BD[CLASIFICACIÓN])-ROW('PT2 (FILTRAR)'!$E$5)+1,NA()),ROWS($B$5:E149)),COLUMNS($B$5:E149)),"")</f>
        <v/>
      </c>
    </row>
    <row r="150" spans="2:5" x14ac:dyDescent="0.3">
      <c r="B150" s="126" t="str">
        <f t="array" ref="B150">IFERROR(INDEX(BD[],_xlfn.AGGREGATE(15,6,IF(BD[CLASIFICACIÓN]=$B$2,ROW(BD[CLASIFICACIÓN])-ROW('PT2 (FILTRAR)'!$E$5)+1,NA()),ROWS($B$5:B150)),COLUMNS($B$5:B150)),"")</f>
        <v/>
      </c>
      <c r="C150" s="127" t="str">
        <f t="array" ref="C150">IFERROR(INDEX(BD[],_xlfn.AGGREGATE(15,6,IF(BD[CLASIFICACIÓN]=$B$2,ROW(BD[CLASIFICACIÓN])-ROW('PT2 (FILTRAR)'!$E$5)+1,NA()),ROWS($B$5:C150)),COLUMNS($B$5:C150)),"")</f>
        <v/>
      </c>
      <c r="D150" s="142" t="str">
        <f t="array" ref="D150">IFERROR(INDEX(BD[],_xlfn.AGGREGATE(15,6,IF(BD[CLASIFICACIÓN]=$B$2,ROW(BD[CLASIFICACIÓN])-ROW('PT2 (FILTRAR)'!$E$5)+1,NA()),ROWS($B$5:D150)),COLUMNS($B$5:D150)),"")</f>
        <v/>
      </c>
      <c r="E150" s="126" t="str">
        <f t="array" ref="E150">IFERROR(INDEX(BD[],_xlfn.AGGREGATE(15,6,IF(BD[CLASIFICACIÓN]=$B$2,ROW(BD[CLASIFICACIÓN])-ROW('PT2 (FILTRAR)'!$E$5)+1,NA()),ROWS($B$5:E150)),COLUMNS($B$5:E150)),"")</f>
        <v/>
      </c>
    </row>
    <row r="151" spans="2:5" x14ac:dyDescent="0.3">
      <c r="B151" s="126" t="str">
        <f t="array" ref="B151">IFERROR(INDEX(BD[],_xlfn.AGGREGATE(15,6,IF(BD[CLASIFICACIÓN]=$B$2,ROW(BD[CLASIFICACIÓN])-ROW('PT2 (FILTRAR)'!$E$5)+1,NA()),ROWS($B$5:B151)),COLUMNS($B$5:B151)),"")</f>
        <v/>
      </c>
      <c r="C151" s="127" t="str">
        <f t="array" ref="C151">IFERROR(INDEX(BD[],_xlfn.AGGREGATE(15,6,IF(BD[CLASIFICACIÓN]=$B$2,ROW(BD[CLASIFICACIÓN])-ROW('PT2 (FILTRAR)'!$E$5)+1,NA()),ROWS($B$5:C151)),COLUMNS($B$5:C151)),"")</f>
        <v/>
      </c>
      <c r="D151" s="142" t="str">
        <f t="array" ref="D151">IFERROR(INDEX(BD[],_xlfn.AGGREGATE(15,6,IF(BD[CLASIFICACIÓN]=$B$2,ROW(BD[CLASIFICACIÓN])-ROW('PT2 (FILTRAR)'!$E$5)+1,NA()),ROWS($B$5:D151)),COLUMNS($B$5:D151)),"")</f>
        <v/>
      </c>
      <c r="E151" s="126" t="str">
        <f t="array" ref="E151">IFERROR(INDEX(BD[],_xlfn.AGGREGATE(15,6,IF(BD[CLASIFICACIÓN]=$B$2,ROW(BD[CLASIFICACIÓN])-ROW('PT2 (FILTRAR)'!$E$5)+1,NA()),ROWS($B$5:E151)),COLUMNS($B$5:E151)),"")</f>
        <v/>
      </c>
    </row>
    <row r="152" spans="2:5" x14ac:dyDescent="0.3">
      <c r="B152" s="126" t="str">
        <f t="array" ref="B152">IFERROR(INDEX(BD[],_xlfn.AGGREGATE(15,6,IF(BD[CLASIFICACIÓN]=$B$2,ROW(BD[CLASIFICACIÓN])-ROW('PT2 (FILTRAR)'!$E$5)+1,NA()),ROWS($B$5:B152)),COLUMNS($B$5:B152)),"")</f>
        <v/>
      </c>
      <c r="C152" s="127" t="str">
        <f t="array" ref="C152">IFERROR(INDEX(BD[],_xlfn.AGGREGATE(15,6,IF(BD[CLASIFICACIÓN]=$B$2,ROW(BD[CLASIFICACIÓN])-ROW('PT2 (FILTRAR)'!$E$5)+1,NA()),ROWS($B$5:C152)),COLUMNS($B$5:C152)),"")</f>
        <v/>
      </c>
      <c r="D152" s="142" t="str">
        <f t="array" ref="D152">IFERROR(INDEX(BD[],_xlfn.AGGREGATE(15,6,IF(BD[CLASIFICACIÓN]=$B$2,ROW(BD[CLASIFICACIÓN])-ROW('PT2 (FILTRAR)'!$E$5)+1,NA()),ROWS($B$5:D152)),COLUMNS($B$5:D152)),"")</f>
        <v/>
      </c>
      <c r="E152" s="126" t="str">
        <f t="array" ref="E152">IFERROR(INDEX(BD[],_xlfn.AGGREGATE(15,6,IF(BD[CLASIFICACIÓN]=$B$2,ROW(BD[CLASIFICACIÓN])-ROW('PT2 (FILTRAR)'!$E$5)+1,NA()),ROWS($B$5:E152)),COLUMNS($B$5:E152)),"")</f>
        <v/>
      </c>
    </row>
    <row r="153" spans="2:5" x14ac:dyDescent="0.3">
      <c r="B153" s="126" t="str">
        <f t="array" ref="B153">IFERROR(INDEX(BD[],_xlfn.AGGREGATE(15,6,IF(BD[CLASIFICACIÓN]=$B$2,ROW(BD[CLASIFICACIÓN])-ROW('PT2 (FILTRAR)'!$E$5)+1,NA()),ROWS($B$5:B153)),COLUMNS($B$5:B153)),"")</f>
        <v/>
      </c>
      <c r="C153" s="127" t="str">
        <f t="array" ref="C153">IFERROR(INDEX(BD[],_xlfn.AGGREGATE(15,6,IF(BD[CLASIFICACIÓN]=$B$2,ROW(BD[CLASIFICACIÓN])-ROW('PT2 (FILTRAR)'!$E$5)+1,NA()),ROWS($B$5:C153)),COLUMNS($B$5:C153)),"")</f>
        <v/>
      </c>
      <c r="D153" s="142" t="str">
        <f t="array" ref="D153">IFERROR(INDEX(BD[],_xlfn.AGGREGATE(15,6,IF(BD[CLASIFICACIÓN]=$B$2,ROW(BD[CLASIFICACIÓN])-ROW('PT2 (FILTRAR)'!$E$5)+1,NA()),ROWS($B$5:D153)),COLUMNS($B$5:D153)),"")</f>
        <v/>
      </c>
      <c r="E153" s="126" t="str">
        <f t="array" ref="E153">IFERROR(INDEX(BD[],_xlfn.AGGREGATE(15,6,IF(BD[CLASIFICACIÓN]=$B$2,ROW(BD[CLASIFICACIÓN])-ROW('PT2 (FILTRAR)'!$E$5)+1,NA()),ROWS($B$5:E153)),COLUMNS($B$5:E153)),"")</f>
        <v/>
      </c>
    </row>
    <row r="154" spans="2:5" x14ac:dyDescent="0.3">
      <c r="B154" s="126" t="str">
        <f t="array" ref="B154">IFERROR(INDEX(BD[],_xlfn.AGGREGATE(15,6,IF(BD[CLASIFICACIÓN]=$B$2,ROW(BD[CLASIFICACIÓN])-ROW('PT2 (FILTRAR)'!$E$5)+1,NA()),ROWS($B$5:B154)),COLUMNS($B$5:B154)),"")</f>
        <v/>
      </c>
      <c r="C154" s="127" t="str">
        <f t="array" ref="C154">IFERROR(INDEX(BD[],_xlfn.AGGREGATE(15,6,IF(BD[CLASIFICACIÓN]=$B$2,ROW(BD[CLASIFICACIÓN])-ROW('PT2 (FILTRAR)'!$E$5)+1,NA()),ROWS($B$5:C154)),COLUMNS($B$5:C154)),"")</f>
        <v/>
      </c>
      <c r="D154" s="142" t="str">
        <f t="array" ref="D154">IFERROR(INDEX(BD[],_xlfn.AGGREGATE(15,6,IF(BD[CLASIFICACIÓN]=$B$2,ROW(BD[CLASIFICACIÓN])-ROW('PT2 (FILTRAR)'!$E$5)+1,NA()),ROWS($B$5:D154)),COLUMNS($B$5:D154)),"")</f>
        <v/>
      </c>
      <c r="E154" s="126" t="str">
        <f t="array" ref="E154">IFERROR(INDEX(BD[],_xlfn.AGGREGATE(15,6,IF(BD[CLASIFICACIÓN]=$B$2,ROW(BD[CLASIFICACIÓN])-ROW('PT2 (FILTRAR)'!$E$5)+1,NA()),ROWS($B$5:E154)),COLUMNS($B$5:E154)),"")</f>
        <v/>
      </c>
    </row>
    <row r="155" spans="2:5" x14ac:dyDescent="0.3">
      <c r="B155" s="126" t="str">
        <f t="array" ref="B155">IFERROR(INDEX(BD[],_xlfn.AGGREGATE(15,6,IF(BD[CLASIFICACIÓN]=$B$2,ROW(BD[CLASIFICACIÓN])-ROW('PT2 (FILTRAR)'!$E$5)+1,NA()),ROWS($B$5:B155)),COLUMNS($B$5:B155)),"")</f>
        <v/>
      </c>
      <c r="C155" s="127" t="str">
        <f t="array" ref="C155">IFERROR(INDEX(BD[],_xlfn.AGGREGATE(15,6,IF(BD[CLASIFICACIÓN]=$B$2,ROW(BD[CLASIFICACIÓN])-ROW('PT2 (FILTRAR)'!$E$5)+1,NA()),ROWS($B$5:C155)),COLUMNS($B$5:C155)),"")</f>
        <v/>
      </c>
      <c r="D155" s="142" t="str">
        <f t="array" ref="D155">IFERROR(INDEX(BD[],_xlfn.AGGREGATE(15,6,IF(BD[CLASIFICACIÓN]=$B$2,ROW(BD[CLASIFICACIÓN])-ROW('PT2 (FILTRAR)'!$E$5)+1,NA()),ROWS($B$5:D155)),COLUMNS($B$5:D155)),"")</f>
        <v/>
      </c>
      <c r="E155" s="126" t="str">
        <f t="array" ref="E155">IFERROR(INDEX(BD[],_xlfn.AGGREGATE(15,6,IF(BD[CLASIFICACIÓN]=$B$2,ROW(BD[CLASIFICACIÓN])-ROW('PT2 (FILTRAR)'!$E$5)+1,NA()),ROWS($B$5:E155)),COLUMNS($B$5:E155)),"")</f>
        <v/>
      </c>
    </row>
    <row r="156" spans="2:5" x14ac:dyDescent="0.3">
      <c r="B156" s="126" t="str">
        <f t="array" ref="B156">IFERROR(INDEX(BD[],_xlfn.AGGREGATE(15,6,IF(BD[CLASIFICACIÓN]=$B$2,ROW(BD[CLASIFICACIÓN])-ROW('PT2 (FILTRAR)'!$E$5)+1,NA()),ROWS($B$5:B156)),COLUMNS($B$5:B156)),"")</f>
        <v/>
      </c>
      <c r="C156" s="127" t="str">
        <f t="array" ref="C156">IFERROR(INDEX(BD[],_xlfn.AGGREGATE(15,6,IF(BD[CLASIFICACIÓN]=$B$2,ROW(BD[CLASIFICACIÓN])-ROW('PT2 (FILTRAR)'!$E$5)+1,NA()),ROWS($B$5:C156)),COLUMNS($B$5:C156)),"")</f>
        <v/>
      </c>
      <c r="D156" s="142" t="str">
        <f t="array" ref="D156">IFERROR(INDEX(BD[],_xlfn.AGGREGATE(15,6,IF(BD[CLASIFICACIÓN]=$B$2,ROW(BD[CLASIFICACIÓN])-ROW('PT2 (FILTRAR)'!$E$5)+1,NA()),ROWS($B$5:D156)),COLUMNS($B$5:D156)),"")</f>
        <v/>
      </c>
      <c r="E156" s="126" t="str">
        <f t="array" ref="E156">IFERROR(INDEX(BD[],_xlfn.AGGREGATE(15,6,IF(BD[CLASIFICACIÓN]=$B$2,ROW(BD[CLASIFICACIÓN])-ROW('PT2 (FILTRAR)'!$E$5)+1,NA()),ROWS($B$5:E156)),COLUMNS($B$5:E156)),"")</f>
        <v/>
      </c>
    </row>
    <row r="157" spans="2:5" x14ac:dyDescent="0.3">
      <c r="B157" s="126" t="str">
        <f t="array" ref="B157">IFERROR(INDEX(BD[],_xlfn.AGGREGATE(15,6,IF(BD[CLASIFICACIÓN]=$B$2,ROW(BD[CLASIFICACIÓN])-ROW('PT2 (FILTRAR)'!$E$5)+1,NA()),ROWS($B$5:B157)),COLUMNS($B$5:B157)),"")</f>
        <v/>
      </c>
      <c r="C157" s="127" t="str">
        <f t="array" ref="C157">IFERROR(INDEX(BD[],_xlfn.AGGREGATE(15,6,IF(BD[CLASIFICACIÓN]=$B$2,ROW(BD[CLASIFICACIÓN])-ROW('PT2 (FILTRAR)'!$E$5)+1,NA()),ROWS($B$5:C157)),COLUMNS($B$5:C157)),"")</f>
        <v/>
      </c>
      <c r="D157" s="142" t="str">
        <f t="array" ref="D157">IFERROR(INDEX(BD[],_xlfn.AGGREGATE(15,6,IF(BD[CLASIFICACIÓN]=$B$2,ROW(BD[CLASIFICACIÓN])-ROW('PT2 (FILTRAR)'!$E$5)+1,NA()),ROWS($B$5:D157)),COLUMNS($B$5:D157)),"")</f>
        <v/>
      </c>
      <c r="E157" s="126" t="str">
        <f t="array" ref="E157">IFERROR(INDEX(BD[],_xlfn.AGGREGATE(15,6,IF(BD[CLASIFICACIÓN]=$B$2,ROW(BD[CLASIFICACIÓN])-ROW('PT2 (FILTRAR)'!$E$5)+1,NA()),ROWS($B$5:E157)),COLUMNS($B$5:E157)),"")</f>
        <v/>
      </c>
    </row>
    <row r="158" spans="2:5" x14ac:dyDescent="0.3">
      <c r="B158" s="126" t="str">
        <f t="array" ref="B158">IFERROR(INDEX(BD[],_xlfn.AGGREGATE(15,6,IF(BD[CLASIFICACIÓN]=$B$2,ROW(BD[CLASIFICACIÓN])-ROW('PT2 (FILTRAR)'!$E$5)+1,NA()),ROWS($B$5:B158)),COLUMNS($B$5:B158)),"")</f>
        <v/>
      </c>
      <c r="C158" s="127" t="str">
        <f t="array" ref="C158">IFERROR(INDEX(BD[],_xlfn.AGGREGATE(15,6,IF(BD[CLASIFICACIÓN]=$B$2,ROW(BD[CLASIFICACIÓN])-ROW('PT2 (FILTRAR)'!$E$5)+1,NA()),ROWS($B$5:C158)),COLUMNS($B$5:C158)),"")</f>
        <v/>
      </c>
      <c r="D158" s="142" t="str">
        <f t="array" ref="D158">IFERROR(INDEX(BD[],_xlfn.AGGREGATE(15,6,IF(BD[CLASIFICACIÓN]=$B$2,ROW(BD[CLASIFICACIÓN])-ROW('PT2 (FILTRAR)'!$E$5)+1,NA()),ROWS($B$5:D158)),COLUMNS($B$5:D158)),"")</f>
        <v/>
      </c>
      <c r="E158" s="126" t="str">
        <f t="array" ref="E158">IFERROR(INDEX(BD[],_xlfn.AGGREGATE(15,6,IF(BD[CLASIFICACIÓN]=$B$2,ROW(BD[CLASIFICACIÓN])-ROW('PT2 (FILTRAR)'!$E$5)+1,NA()),ROWS($B$5:E158)),COLUMNS($B$5:E158)),"")</f>
        <v/>
      </c>
    </row>
    <row r="159" spans="2:5" x14ac:dyDescent="0.3">
      <c r="B159" s="126" t="str">
        <f t="array" ref="B159">IFERROR(INDEX(BD[],_xlfn.AGGREGATE(15,6,IF(BD[CLASIFICACIÓN]=$B$2,ROW(BD[CLASIFICACIÓN])-ROW('PT2 (FILTRAR)'!$E$5)+1,NA()),ROWS($B$5:B159)),COLUMNS($B$5:B159)),"")</f>
        <v/>
      </c>
      <c r="C159" s="127" t="str">
        <f t="array" ref="C159">IFERROR(INDEX(BD[],_xlfn.AGGREGATE(15,6,IF(BD[CLASIFICACIÓN]=$B$2,ROW(BD[CLASIFICACIÓN])-ROW('PT2 (FILTRAR)'!$E$5)+1,NA()),ROWS($B$5:C159)),COLUMNS($B$5:C159)),"")</f>
        <v/>
      </c>
      <c r="D159" s="142" t="str">
        <f t="array" ref="D159">IFERROR(INDEX(BD[],_xlfn.AGGREGATE(15,6,IF(BD[CLASIFICACIÓN]=$B$2,ROW(BD[CLASIFICACIÓN])-ROW('PT2 (FILTRAR)'!$E$5)+1,NA()),ROWS($B$5:D159)),COLUMNS($B$5:D159)),"")</f>
        <v/>
      </c>
      <c r="E159" s="126" t="str">
        <f t="array" ref="E159">IFERROR(INDEX(BD[],_xlfn.AGGREGATE(15,6,IF(BD[CLASIFICACIÓN]=$B$2,ROW(BD[CLASIFICACIÓN])-ROW('PT2 (FILTRAR)'!$E$5)+1,NA()),ROWS($B$5:E159)),COLUMNS($B$5:E159)),"")</f>
        <v/>
      </c>
    </row>
    <row r="160" spans="2:5" x14ac:dyDescent="0.3">
      <c r="B160" s="126" t="str">
        <f t="array" ref="B160">IFERROR(INDEX(BD[],_xlfn.AGGREGATE(15,6,IF(BD[CLASIFICACIÓN]=$B$2,ROW(BD[CLASIFICACIÓN])-ROW('PT2 (FILTRAR)'!$E$5)+1,NA()),ROWS($B$5:B160)),COLUMNS($B$5:B160)),"")</f>
        <v/>
      </c>
      <c r="C160" s="127" t="str">
        <f t="array" ref="C160">IFERROR(INDEX(BD[],_xlfn.AGGREGATE(15,6,IF(BD[CLASIFICACIÓN]=$B$2,ROW(BD[CLASIFICACIÓN])-ROW('PT2 (FILTRAR)'!$E$5)+1,NA()),ROWS($B$5:C160)),COLUMNS($B$5:C160)),"")</f>
        <v/>
      </c>
      <c r="D160" s="142" t="str">
        <f t="array" ref="D160">IFERROR(INDEX(BD[],_xlfn.AGGREGATE(15,6,IF(BD[CLASIFICACIÓN]=$B$2,ROW(BD[CLASIFICACIÓN])-ROW('PT2 (FILTRAR)'!$E$5)+1,NA()),ROWS($B$5:D160)),COLUMNS($B$5:D160)),"")</f>
        <v/>
      </c>
      <c r="E160" s="126" t="str">
        <f t="array" ref="E160">IFERROR(INDEX(BD[],_xlfn.AGGREGATE(15,6,IF(BD[CLASIFICACIÓN]=$B$2,ROW(BD[CLASIFICACIÓN])-ROW('PT2 (FILTRAR)'!$E$5)+1,NA()),ROWS($B$5:E160)),COLUMNS($B$5:E160)),"")</f>
        <v/>
      </c>
    </row>
    <row r="161" spans="2:5" x14ac:dyDescent="0.3">
      <c r="B161" s="126" t="str">
        <f t="array" ref="B161">IFERROR(INDEX(BD[],_xlfn.AGGREGATE(15,6,IF(BD[CLASIFICACIÓN]=$B$2,ROW(BD[CLASIFICACIÓN])-ROW('PT2 (FILTRAR)'!$E$5)+1,NA()),ROWS($B$5:B161)),COLUMNS($B$5:B161)),"")</f>
        <v/>
      </c>
      <c r="C161" s="127" t="str">
        <f t="array" ref="C161">IFERROR(INDEX(BD[],_xlfn.AGGREGATE(15,6,IF(BD[CLASIFICACIÓN]=$B$2,ROW(BD[CLASIFICACIÓN])-ROW('PT2 (FILTRAR)'!$E$5)+1,NA()),ROWS($B$5:C161)),COLUMNS($B$5:C161)),"")</f>
        <v/>
      </c>
      <c r="D161" s="142" t="str">
        <f t="array" ref="D161">IFERROR(INDEX(BD[],_xlfn.AGGREGATE(15,6,IF(BD[CLASIFICACIÓN]=$B$2,ROW(BD[CLASIFICACIÓN])-ROW('PT2 (FILTRAR)'!$E$5)+1,NA()),ROWS($B$5:D161)),COLUMNS($B$5:D161)),"")</f>
        <v/>
      </c>
      <c r="E161" s="126" t="str">
        <f t="array" ref="E161">IFERROR(INDEX(BD[],_xlfn.AGGREGATE(15,6,IF(BD[CLASIFICACIÓN]=$B$2,ROW(BD[CLASIFICACIÓN])-ROW('PT2 (FILTRAR)'!$E$5)+1,NA()),ROWS($B$5:E161)),COLUMNS($B$5:E161)),"")</f>
        <v/>
      </c>
    </row>
    <row r="162" spans="2:5" x14ac:dyDescent="0.3">
      <c r="B162" s="126" t="str">
        <f t="array" ref="B162">IFERROR(INDEX(BD[],_xlfn.AGGREGATE(15,6,IF(BD[CLASIFICACIÓN]=$B$2,ROW(BD[CLASIFICACIÓN])-ROW('PT2 (FILTRAR)'!$E$5)+1,NA()),ROWS($B$5:B162)),COLUMNS($B$5:B162)),"")</f>
        <v/>
      </c>
      <c r="C162" s="127" t="str">
        <f t="array" ref="C162">IFERROR(INDEX(BD[],_xlfn.AGGREGATE(15,6,IF(BD[CLASIFICACIÓN]=$B$2,ROW(BD[CLASIFICACIÓN])-ROW('PT2 (FILTRAR)'!$E$5)+1,NA()),ROWS($B$5:C162)),COLUMNS($B$5:C162)),"")</f>
        <v/>
      </c>
      <c r="D162" s="142" t="str">
        <f t="array" ref="D162">IFERROR(INDEX(BD[],_xlfn.AGGREGATE(15,6,IF(BD[CLASIFICACIÓN]=$B$2,ROW(BD[CLASIFICACIÓN])-ROW('PT2 (FILTRAR)'!$E$5)+1,NA()),ROWS($B$5:D162)),COLUMNS($B$5:D162)),"")</f>
        <v/>
      </c>
      <c r="E162" s="126" t="str">
        <f t="array" ref="E162">IFERROR(INDEX(BD[],_xlfn.AGGREGATE(15,6,IF(BD[CLASIFICACIÓN]=$B$2,ROW(BD[CLASIFICACIÓN])-ROW('PT2 (FILTRAR)'!$E$5)+1,NA()),ROWS($B$5:E162)),COLUMNS($B$5:E162)),"")</f>
        <v/>
      </c>
    </row>
    <row r="163" spans="2:5" x14ac:dyDescent="0.3">
      <c r="B163" s="126" t="str">
        <f t="array" ref="B163">IFERROR(INDEX(BD[],_xlfn.AGGREGATE(15,6,IF(BD[CLASIFICACIÓN]=$B$2,ROW(BD[CLASIFICACIÓN])-ROW('PT2 (FILTRAR)'!$E$5)+1,NA()),ROWS($B$5:B163)),COLUMNS($B$5:B163)),"")</f>
        <v/>
      </c>
      <c r="C163" s="127" t="str">
        <f t="array" ref="C163">IFERROR(INDEX(BD[],_xlfn.AGGREGATE(15,6,IF(BD[CLASIFICACIÓN]=$B$2,ROW(BD[CLASIFICACIÓN])-ROW('PT2 (FILTRAR)'!$E$5)+1,NA()),ROWS($B$5:C163)),COLUMNS($B$5:C163)),"")</f>
        <v/>
      </c>
      <c r="D163" s="142" t="str">
        <f t="array" ref="D163">IFERROR(INDEX(BD[],_xlfn.AGGREGATE(15,6,IF(BD[CLASIFICACIÓN]=$B$2,ROW(BD[CLASIFICACIÓN])-ROW('PT2 (FILTRAR)'!$E$5)+1,NA()),ROWS($B$5:D163)),COLUMNS($B$5:D163)),"")</f>
        <v/>
      </c>
      <c r="E163" s="126" t="str">
        <f t="array" ref="E163">IFERROR(INDEX(BD[],_xlfn.AGGREGATE(15,6,IF(BD[CLASIFICACIÓN]=$B$2,ROW(BD[CLASIFICACIÓN])-ROW('PT2 (FILTRAR)'!$E$5)+1,NA()),ROWS($B$5:E163)),COLUMNS($B$5:E163)),"")</f>
        <v/>
      </c>
    </row>
    <row r="164" spans="2:5" x14ac:dyDescent="0.3">
      <c r="B164" s="126" t="str">
        <f t="array" ref="B164">IFERROR(INDEX(BD[],_xlfn.AGGREGATE(15,6,IF(BD[CLASIFICACIÓN]=$B$2,ROW(BD[CLASIFICACIÓN])-ROW('PT2 (FILTRAR)'!$E$5)+1,NA()),ROWS($B$5:B164)),COLUMNS($B$5:B164)),"")</f>
        <v/>
      </c>
      <c r="C164" s="127" t="str">
        <f t="array" ref="C164">IFERROR(INDEX(BD[],_xlfn.AGGREGATE(15,6,IF(BD[CLASIFICACIÓN]=$B$2,ROW(BD[CLASIFICACIÓN])-ROW('PT2 (FILTRAR)'!$E$5)+1,NA()),ROWS($B$5:C164)),COLUMNS($B$5:C164)),"")</f>
        <v/>
      </c>
      <c r="D164" s="142" t="str">
        <f t="array" ref="D164">IFERROR(INDEX(BD[],_xlfn.AGGREGATE(15,6,IF(BD[CLASIFICACIÓN]=$B$2,ROW(BD[CLASIFICACIÓN])-ROW('PT2 (FILTRAR)'!$E$5)+1,NA()),ROWS($B$5:D164)),COLUMNS($B$5:D164)),"")</f>
        <v/>
      </c>
      <c r="E164" s="126" t="str">
        <f t="array" ref="E164">IFERROR(INDEX(BD[],_xlfn.AGGREGATE(15,6,IF(BD[CLASIFICACIÓN]=$B$2,ROW(BD[CLASIFICACIÓN])-ROW('PT2 (FILTRAR)'!$E$5)+1,NA()),ROWS($B$5:E164)),COLUMNS($B$5:E164)),"")</f>
        <v/>
      </c>
    </row>
    <row r="165" spans="2:5" x14ac:dyDescent="0.3">
      <c r="B165" s="126" t="str">
        <f t="array" ref="B165">IFERROR(INDEX(BD[],_xlfn.AGGREGATE(15,6,IF(BD[CLASIFICACIÓN]=$B$2,ROW(BD[CLASIFICACIÓN])-ROW('PT2 (FILTRAR)'!$E$5)+1,NA()),ROWS($B$5:B165)),COLUMNS($B$5:B165)),"")</f>
        <v/>
      </c>
      <c r="C165" s="127" t="str">
        <f t="array" ref="C165">IFERROR(INDEX(BD[],_xlfn.AGGREGATE(15,6,IF(BD[CLASIFICACIÓN]=$B$2,ROW(BD[CLASIFICACIÓN])-ROW('PT2 (FILTRAR)'!$E$5)+1,NA()),ROWS($B$5:C165)),COLUMNS($B$5:C165)),"")</f>
        <v/>
      </c>
      <c r="D165" s="142" t="str">
        <f t="array" ref="D165">IFERROR(INDEX(BD[],_xlfn.AGGREGATE(15,6,IF(BD[CLASIFICACIÓN]=$B$2,ROW(BD[CLASIFICACIÓN])-ROW('PT2 (FILTRAR)'!$E$5)+1,NA()),ROWS($B$5:D165)),COLUMNS($B$5:D165)),"")</f>
        <v/>
      </c>
      <c r="E165" s="126" t="str">
        <f t="array" ref="E165">IFERROR(INDEX(BD[],_xlfn.AGGREGATE(15,6,IF(BD[CLASIFICACIÓN]=$B$2,ROW(BD[CLASIFICACIÓN])-ROW('PT2 (FILTRAR)'!$E$5)+1,NA()),ROWS($B$5:E165)),COLUMNS($B$5:E165)),"")</f>
        <v/>
      </c>
    </row>
    <row r="166" spans="2:5" x14ac:dyDescent="0.3">
      <c r="B166" s="126" t="str">
        <f t="array" ref="B166">IFERROR(INDEX(BD[],_xlfn.AGGREGATE(15,6,IF(BD[CLASIFICACIÓN]=$B$2,ROW(BD[CLASIFICACIÓN])-ROW('PT2 (FILTRAR)'!$E$5)+1,NA()),ROWS($B$5:B166)),COLUMNS($B$5:B166)),"")</f>
        <v/>
      </c>
      <c r="C166" s="127" t="str">
        <f t="array" ref="C166">IFERROR(INDEX(BD[],_xlfn.AGGREGATE(15,6,IF(BD[CLASIFICACIÓN]=$B$2,ROW(BD[CLASIFICACIÓN])-ROW('PT2 (FILTRAR)'!$E$5)+1,NA()),ROWS($B$5:C166)),COLUMNS($B$5:C166)),"")</f>
        <v/>
      </c>
      <c r="D166" s="142" t="str">
        <f t="array" ref="D166">IFERROR(INDEX(BD[],_xlfn.AGGREGATE(15,6,IF(BD[CLASIFICACIÓN]=$B$2,ROW(BD[CLASIFICACIÓN])-ROW('PT2 (FILTRAR)'!$E$5)+1,NA()),ROWS($B$5:D166)),COLUMNS($B$5:D166)),"")</f>
        <v/>
      </c>
      <c r="E166" s="126" t="str">
        <f t="array" ref="E166">IFERROR(INDEX(BD[],_xlfn.AGGREGATE(15,6,IF(BD[CLASIFICACIÓN]=$B$2,ROW(BD[CLASIFICACIÓN])-ROW('PT2 (FILTRAR)'!$E$5)+1,NA()),ROWS($B$5:E166)),COLUMNS($B$5:E166)),"")</f>
        <v/>
      </c>
    </row>
    <row r="167" spans="2:5" x14ac:dyDescent="0.3">
      <c r="B167" s="126" t="str">
        <f t="array" ref="B167">IFERROR(INDEX(BD[],_xlfn.AGGREGATE(15,6,IF(BD[CLASIFICACIÓN]=$B$2,ROW(BD[CLASIFICACIÓN])-ROW('PT2 (FILTRAR)'!$E$5)+1,NA()),ROWS($B$5:B167)),COLUMNS($B$5:B167)),"")</f>
        <v/>
      </c>
      <c r="C167" s="127" t="str">
        <f t="array" ref="C167">IFERROR(INDEX(BD[],_xlfn.AGGREGATE(15,6,IF(BD[CLASIFICACIÓN]=$B$2,ROW(BD[CLASIFICACIÓN])-ROW('PT2 (FILTRAR)'!$E$5)+1,NA()),ROWS($B$5:C167)),COLUMNS($B$5:C167)),"")</f>
        <v/>
      </c>
      <c r="D167" s="142" t="str">
        <f t="array" ref="D167">IFERROR(INDEX(BD[],_xlfn.AGGREGATE(15,6,IF(BD[CLASIFICACIÓN]=$B$2,ROW(BD[CLASIFICACIÓN])-ROW('PT2 (FILTRAR)'!$E$5)+1,NA()),ROWS($B$5:D167)),COLUMNS($B$5:D167)),"")</f>
        <v/>
      </c>
      <c r="E167" s="126" t="str">
        <f t="array" ref="E167">IFERROR(INDEX(BD[],_xlfn.AGGREGATE(15,6,IF(BD[CLASIFICACIÓN]=$B$2,ROW(BD[CLASIFICACIÓN])-ROW('PT2 (FILTRAR)'!$E$5)+1,NA()),ROWS($B$5:E167)),COLUMNS($B$5:E167)),"")</f>
        <v/>
      </c>
    </row>
    <row r="168" spans="2:5" x14ac:dyDescent="0.3">
      <c r="B168" s="126" t="str">
        <f t="array" ref="B168">IFERROR(INDEX(BD[],_xlfn.AGGREGATE(15,6,IF(BD[CLASIFICACIÓN]=$B$2,ROW(BD[CLASIFICACIÓN])-ROW('PT2 (FILTRAR)'!$E$5)+1,NA()),ROWS($B$5:B168)),COLUMNS($B$5:B168)),"")</f>
        <v/>
      </c>
      <c r="C168" s="127" t="str">
        <f t="array" ref="C168">IFERROR(INDEX(BD[],_xlfn.AGGREGATE(15,6,IF(BD[CLASIFICACIÓN]=$B$2,ROW(BD[CLASIFICACIÓN])-ROW('PT2 (FILTRAR)'!$E$5)+1,NA()),ROWS($B$5:C168)),COLUMNS($B$5:C168)),"")</f>
        <v/>
      </c>
      <c r="D168" s="142" t="str">
        <f t="array" ref="D168">IFERROR(INDEX(BD[],_xlfn.AGGREGATE(15,6,IF(BD[CLASIFICACIÓN]=$B$2,ROW(BD[CLASIFICACIÓN])-ROW('PT2 (FILTRAR)'!$E$5)+1,NA()),ROWS($B$5:D168)),COLUMNS($B$5:D168)),"")</f>
        <v/>
      </c>
      <c r="E168" s="126" t="str">
        <f t="array" ref="E168">IFERROR(INDEX(BD[],_xlfn.AGGREGATE(15,6,IF(BD[CLASIFICACIÓN]=$B$2,ROW(BD[CLASIFICACIÓN])-ROW('PT2 (FILTRAR)'!$E$5)+1,NA()),ROWS($B$5:E168)),COLUMNS($B$5:E168)),"")</f>
        <v/>
      </c>
    </row>
    <row r="169" spans="2:5" x14ac:dyDescent="0.3">
      <c r="B169" s="126" t="str">
        <f t="array" ref="B169">IFERROR(INDEX(BD[],_xlfn.AGGREGATE(15,6,IF(BD[CLASIFICACIÓN]=$B$2,ROW(BD[CLASIFICACIÓN])-ROW('PT2 (FILTRAR)'!$E$5)+1,NA()),ROWS($B$5:B169)),COLUMNS($B$5:B169)),"")</f>
        <v/>
      </c>
      <c r="C169" s="127" t="str">
        <f t="array" ref="C169">IFERROR(INDEX(BD[],_xlfn.AGGREGATE(15,6,IF(BD[CLASIFICACIÓN]=$B$2,ROW(BD[CLASIFICACIÓN])-ROW('PT2 (FILTRAR)'!$E$5)+1,NA()),ROWS($B$5:C169)),COLUMNS($B$5:C169)),"")</f>
        <v/>
      </c>
      <c r="D169" s="142" t="str">
        <f t="array" ref="D169">IFERROR(INDEX(BD[],_xlfn.AGGREGATE(15,6,IF(BD[CLASIFICACIÓN]=$B$2,ROW(BD[CLASIFICACIÓN])-ROW('PT2 (FILTRAR)'!$E$5)+1,NA()),ROWS($B$5:D169)),COLUMNS($B$5:D169)),"")</f>
        <v/>
      </c>
      <c r="E169" s="126" t="str">
        <f t="array" ref="E169">IFERROR(INDEX(BD[],_xlfn.AGGREGATE(15,6,IF(BD[CLASIFICACIÓN]=$B$2,ROW(BD[CLASIFICACIÓN])-ROW('PT2 (FILTRAR)'!$E$5)+1,NA()),ROWS($B$5:E169)),COLUMNS($B$5:E169)),"")</f>
        <v/>
      </c>
    </row>
    <row r="170" spans="2:5" x14ac:dyDescent="0.3">
      <c r="B170" s="126" t="str">
        <f t="array" ref="B170">IFERROR(INDEX(BD[],_xlfn.AGGREGATE(15,6,IF(BD[CLASIFICACIÓN]=$B$2,ROW(BD[CLASIFICACIÓN])-ROW('PT2 (FILTRAR)'!$E$5)+1,NA()),ROWS($B$5:B170)),COLUMNS($B$5:B170)),"")</f>
        <v/>
      </c>
      <c r="C170" s="127" t="str">
        <f t="array" ref="C170">IFERROR(INDEX(BD[],_xlfn.AGGREGATE(15,6,IF(BD[CLASIFICACIÓN]=$B$2,ROW(BD[CLASIFICACIÓN])-ROW('PT2 (FILTRAR)'!$E$5)+1,NA()),ROWS($B$5:C170)),COLUMNS($B$5:C170)),"")</f>
        <v/>
      </c>
      <c r="D170" s="142" t="str">
        <f t="array" ref="D170">IFERROR(INDEX(BD[],_xlfn.AGGREGATE(15,6,IF(BD[CLASIFICACIÓN]=$B$2,ROW(BD[CLASIFICACIÓN])-ROW('PT2 (FILTRAR)'!$E$5)+1,NA()),ROWS($B$5:D170)),COLUMNS($B$5:D170)),"")</f>
        <v/>
      </c>
      <c r="E170" s="126" t="str">
        <f t="array" ref="E170">IFERROR(INDEX(BD[],_xlfn.AGGREGATE(15,6,IF(BD[CLASIFICACIÓN]=$B$2,ROW(BD[CLASIFICACIÓN])-ROW('PT2 (FILTRAR)'!$E$5)+1,NA()),ROWS($B$5:E170)),COLUMNS($B$5:E170)),"")</f>
        <v/>
      </c>
    </row>
    <row r="171" spans="2:5" x14ac:dyDescent="0.3">
      <c r="B171" s="126" t="str">
        <f t="array" ref="B171">IFERROR(INDEX(BD[],_xlfn.AGGREGATE(15,6,IF(BD[CLASIFICACIÓN]=$B$2,ROW(BD[CLASIFICACIÓN])-ROW('PT2 (FILTRAR)'!$E$5)+1,NA()),ROWS($B$5:B171)),COLUMNS($B$5:B171)),"")</f>
        <v/>
      </c>
      <c r="C171" s="127" t="str">
        <f t="array" ref="C171">IFERROR(INDEX(BD[],_xlfn.AGGREGATE(15,6,IF(BD[CLASIFICACIÓN]=$B$2,ROW(BD[CLASIFICACIÓN])-ROW('PT2 (FILTRAR)'!$E$5)+1,NA()),ROWS($B$5:C171)),COLUMNS($B$5:C171)),"")</f>
        <v/>
      </c>
      <c r="D171" s="142" t="str">
        <f t="array" ref="D171">IFERROR(INDEX(BD[],_xlfn.AGGREGATE(15,6,IF(BD[CLASIFICACIÓN]=$B$2,ROW(BD[CLASIFICACIÓN])-ROW('PT2 (FILTRAR)'!$E$5)+1,NA()),ROWS($B$5:D171)),COLUMNS($B$5:D171)),"")</f>
        <v/>
      </c>
      <c r="E171" s="126" t="str">
        <f t="array" ref="E171">IFERROR(INDEX(BD[],_xlfn.AGGREGATE(15,6,IF(BD[CLASIFICACIÓN]=$B$2,ROW(BD[CLASIFICACIÓN])-ROW('PT2 (FILTRAR)'!$E$5)+1,NA()),ROWS($B$5:E171)),COLUMNS($B$5:E171)),"")</f>
        <v/>
      </c>
    </row>
    <row r="172" spans="2:5" x14ac:dyDescent="0.3">
      <c r="B172" s="126" t="str">
        <f t="array" ref="B172">IFERROR(INDEX(BD[],_xlfn.AGGREGATE(15,6,IF(BD[CLASIFICACIÓN]=$B$2,ROW(BD[CLASIFICACIÓN])-ROW('PT2 (FILTRAR)'!$E$5)+1,NA()),ROWS($B$5:B172)),COLUMNS($B$5:B172)),"")</f>
        <v/>
      </c>
      <c r="C172" s="127" t="str">
        <f t="array" ref="C172">IFERROR(INDEX(BD[],_xlfn.AGGREGATE(15,6,IF(BD[CLASIFICACIÓN]=$B$2,ROW(BD[CLASIFICACIÓN])-ROW('PT2 (FILTRAR)'!$E$5)+1,NA()),ROWS($B$5:C172)),COLUMNS($B$5:C172)),"")</f>
        <v/>
      </c>
      <c r="D172" s="142" t="str">
        <f t="array" ref="D172">IFERROR(INDEX(BD[],_xlfn.AGGREGATE(15,6,IF(BD[CLASIFICACIÓN]=$B$2,ROW(BD[CLASIFICACIÓN])-ROW('PT2 (FILTRAR)'!$E$5)+1,NA()),ROWS($B$5:D172)),COLUMNS($B$5:D172)),"")</f>
        <v/>
      </c>
      <c r="E172" s="126" t="str">
        <f t="array" ref="E172">IFERROR(INDEX(BD[],_xlfn.AGGREGATE(15,6,IF(BD[CLASIFICACIÓN]=$B$2,ROW(BD[CLASIFICACIÓN])-ROW('PT2 (FILTRAR)'!$E$5)+1,NA()),ROWS($B$5:E172)),COLUMNS($B$5:E172)),"")</f>
        <v/>
      </c>
    </row>
    <row r="173" spans="2:5" x14ac:dyDescent="0.3">
      <c r="B173" s="126" t="str">
        <f t="array" ref="B173">IFERROR(INDEX(BD[],_xlfn.AGGREGATE(15,6,IF(BD[CLASIFICACIÓN]=$B$2,ROW(BD[CLASIFICACIÓN])-ROW('PT2 (FILTRAR)'!$E$5)+1,NA()),ROWS($B$5:B173)),COLUMNS($B$5:B173)),"")</f>
        <v/>
      </c>
      <c r="C173" s="127" t="str">
        <f t="array" ref="C173">IFERROR(INDEX(BD[],_xlfn.AGGREGATE(15,6,IF(BD[CLASIFICACIÓN]=$B$2,ROW(BD[CLASIFICACIÓN])-ROW('PT2 (FILTRAR)'!$E$5)+1,NA()),ROWS($B$5:C173)),COLUMNS($B$5:C173)),"")</f>
        <v/>
      </c>
      <c r="D173" s="142" t="str">
        <f t="array" ref="D173">IFERROR(INDEX(BD[],_xlfn.AGGREGATE(15,6,IF(BD[CLASIFICACIÓN]=$B$2,ROW(BD[CLASIFICACIÓN])-ROW('PT2 (FILTRAR)'!$E$5)+1,NA()),ROWS($B$5:D173)),COLUMNS($B$5:D173)),"")</f>
        <v/>
      </c>
      <c r="E173" s="126" t="str">
        <f t="array" ref="E173">IFERROR(INDEX(BD[],_xlfn.AGGREGATE(15,6,IF(BD[CLASIFICACIÓN]=$B$2,ROW(BD[CLASIFICACIÓN])-ROW('PT2 (FILTRAR)'!$E$5)+1,NA()),ROWS($B$5:E173)),COLUMNS($B$5:E173)),"")</f>
        <v/>
      </c>
    </row>
    <row r="174" spans="2:5" x14ac:dyDescent="0.3">
      <c r="B174" s="126" t="str">
        <f t="array" ref="B174">IFERROR(INDEX(BD[],_xlfn.AGGREGATE(15,6,IF(BD[CLASIFICACIÓN]=$B$2,ROW(BD[CLASIFICACIÓN])-ROW('PT2 (FILTRAR)'!$E$5)+1,NA()),ROWS($B$5:B174)),COLUMNS($B$5:B174)),"")</f>
        <v/>
      </c>
      <c r="C174" s="127" t="str">
        <f t="array" ref="C174">IFERROR(INDEX(BD[],_xlfn.AGGREGATE(15,6,IF(BD[CLASIFICACIÓN]=$B$2,ROW(BD[CLASIFICACIÓN])-ROW('PT2 (FILTRAR)'!$E$5)+1,NA()),ROWS($B$5:C174)),COLUMNS($B$5:C174)),"")</f>
        <v/>
      </c>
      <c r="D174" s="142" t="str">
        <f t="array" ref="D174">IFERROR(INDEX(BD[],_xlfn.AGGREGATE(15,6,IF(BD[CLASIFICACIÓN]=$B$2,ROW(BD[CLASIFICACIÓN])-ROW('PT2 (FILTRAR)'!$E$5)+1,NA()),ROWS($B$5:D174)),COLUMNS($B$5:D174)),"")</f>
        <v/>
      </c>
      <c r="E174" s="126" t="str">
        <f t="array" ref="E174">IFERROR(INDEX(BD[],_xlfn.AGGREGATE(15,6,IF(BD[CLASIFICACIÓN]=$B$2,ROW(BD[CLASIFICACIÓN])-ROW('PT2 (FILTRAR)'!$E$5)+1,NA()),ROWS($B$5:E174)),COLUMNS($B$5:E174)),"")</f>
        <v/>
      </c>
    </row>
    <row r="175" spans="2:5" x14ac:dyDescent="0.3">
      <c r="B175" s="126" t="str">
        <f t="array" ref="B175">IFERROR(INDEX(BD[],_xlfn.AGGREGATE(15,6,IF(BD[CLASIFICACIÓN]=$B$2,ROW(BD[CLASIFICACIÓN])-ROW('PT2 (FILTRAR)'!$E$5)+1,NA()),ROWS($B$5:B175)),COLUMNS($B$5:B175)),"")</f>
        <v/>
      </c>
      <c r="C175" s="127" t="str">
        <f t="array" ref="C175">IFERROR(INDEX(BD[],_xlfn.AGGREGATE(15,6,IF(BD[CLASIFICACIÓN]=$B$2,ROW(BD[CLASIFICACIÓN])-ROW('PT2 (FILTRAR)'!$E$5)+1,NA()),ROWS($B$5:C175)),COLUMNS($B$5:C175)),"")</f>
        <v/>
      </c>
      <c r="D175" s="142" t="str">
        <f t="array" ref="D175">IFERROR(INDEX(BD[],_xlfn.AGGREGATE(15,6,IF(BD[CLASIFICACIÓN]=$B$2,ROW(BD[CLASIFICACIÓN])-ROW('PT2 (FILTRAR)'!$E$5)+1,NA()),ROWS($B$5:D175)),COLUMNS($B$5:D175)),"")</f>
        <v/>
      </c>
      <c r="E175" s="126" t="str">
        <f t="array" ref="E175">IFERROR(INDEX(BD[],_xlfn.AGGREGATE(15,6,IF(BD[CLASIFICACIÓN]=$B$2,ROW(BD[CLASIFICACIÓN])-ROW('PT2 (FILTRAR)'!$E$5)+1,NA()),ROWS($B$5:E175)),COLUMNS($B$5:E175)),"")</f>
        <v/>
      </c>
    </row>
    <row r="176" spans="2:5" x14ac:dyDescent="0.3">
      <c r="B176" s="126" t="str">
        <f t="array" ref="B176">IFERROR(INDEX(BD[],_xlfn.AGGREGATE(15,6,IF(BD[CLASIFICACIÓN]=$B$2,ROW(BD[CLASIFICACIÓN])-ROW('PT2 (FILTRAR)'!$E$5)+1,NA()),ROWS($B$5:B176)),COLUMNS($B$5:B176)),"")</f>
        <v/>
      </c>
      <c r="C176" s="127" t="str">
        <f t="array" ref="C176">IFERROR(INDEX(BD[],_xlfn.AGGREGATE(15,6,IF(BD[CLASIFICACIÓN]=$B$2,ROW(BD[CLASIFICACIÓN])-ROW('PT2 (FILTRAR)'!$E$5)+1,NA()),ROWS($B$5:C176)),COLUMNS($B$5:C176)),"")</f>
        <v/>
      </c>
      <c r="D176" s="142" t="str">
        <f t="array" ref="D176">IFERROR(INDEX(BD[],_xlfn.AGGREGATE(15,6,IF(BD[CLASIFICACIÓN]=$B$2,ROW(BD[CLASIFICACIÓN])-ROW('PT2 (FILTRAR)'!$E$5)+1,NA()),ROWS($B$5:D176)),COLUMNS($B$5:D176)),"")</f>
        <v/>
      </c>
      <c r="E176" s="126" t="str">
        <f t="array" ref="E176">IFERROR(INDEX(BD[],_xlfn.AGGREGATE(15,6,IF(BD[CLASIFICACIÓN]=$B$2,ROW(BD[CLASIFICACIÓN])-ROW('PT2 (FILTRAR)'!$E$5)+1,NA()),ROWS($B$5:E176)),COLUMNS($B$5:E176)),"")</f>
        <v/>
      </c>
    </row>
    <row r="177" spans="2:5" x14ac:dyDescent="0.3">
      <c r="B177" s="126" t="str">
        <f t="array" ref="B177">IFERROR(INDEX(BD[],_xlfn.AGGREGATE(15,6,IF(BD[CLASIFICACIÓN]=$B$2,ROW(BD[CLASIFICACIÓN])-ROW('PT2 (FILTRAR)'!$E$5)+1,NA()),ROWS($B$5:B177)),COLUMNS($B$5:B177)),"")</f>
        <v/>
      </c>
      <c r="C177" s="127" t="str">
        <f t="array" ref="C177">IFERROR(INDEX(BD[],_xlfn.AGGREGATE(15,6,IF(BD[CLASIFICACIÓN]=$B$2,ROW(BD[CLASIFICACIÓN])-ROW('PT2 (FILTRAR)'!$E$5)+1,NA()),ROWS($B$5:C177)),COLUMNS($B$5:C177)),"")</f>
        <v/>
      </c>
      <c r="D177" s="142" t="str">
        <f t="array" ref="D177">IFERROR(INDEX(BD[],_xlfn.AGGREGATE(15,6,IF(BD[CLASIFICACIÓN]=$B$2,ROW(BD[CLASIFICACIÓN])-ROW('PT2 (FILTRAR)'!$E$5)+1,NA()),ROWS($B$5:D177)),COLUMNS($B$5:D177)),"")</f>
        <v/>
      </c>
      <c r="E177" s="126" t="str">
        <f t="array" ref="E177">IFERROR(INDEX(BD[],_xlfn.AGGREGATE(15,6,IF(BD[CLASIFICACIÓN]=$B$2,ROW(BD[CLASIFICACIÓN])-ROW('PT2 (FILTRAR)'!$E$5)+1,NA()),ROWS($B$5:E177)),COLUMNS($B$5:E177)),"")</f>
        <v/>
      </c>
    </row>
    <row r="178" spans="2:5" x14ac:dyDescent="0.3">
      <c r="B178" s="126" t="str">
        <f t="array" ref="B178">IFERROR(INDEX(BD[],_xlfn.AGGREGATE(15,6,IF(BD[CLASIFICACIÓN]=$B$2,ROW(BD[CLASIFICACIÓN])-ROW('PT2 (FILTRAR)'!$E$5)+1,NA()),ROWS($B$5:B178)),COLUMNS($B$5:B178)),"")</f>
        <v/>
      </c>
      <c r="C178" s="127" t="str">
        <f t="array" ref="C178">IFERROR(INDEX(BD[],_xlfn.AGGREGATE(15,6,IF(BD[CLASIFICACIÓN]=$B$2,ROW(BD[CLASIFICACIÓN])-ROW('PT2 (FILTRAR)'!$E$5)+1,NA()),ROWS($B$5:C178)),COLUMNS($B$5:C178)),"")</f>
        <v/>
      </c>
      <c r="D178" s="142" t="str">
        <f t="array" ref="D178">IFERROR(INDEX(BD[],_xlfn.AGGREGATE(15,6,IF(BD[CLASIFICACIÓN]=$B$2,ROW(BD[CLASIFICACIÓN])-ROW('PT2 (FILTRAR)'!$E$5)+1,NA()),ROWS($B$5:D178)),COLUMNS($B$5:D178)),"")</f>
        <v/>
      </c>
      <c r="E178" s="126" t="str">
        <f t="array" ref="E178">IFERROR(INDEX(BD[],_xlfn.AGGREGATE(15,6,IF(BD[CLASIFICACIÓN]=$B$2,ROW(BD[CLASIFICACIÓN])-ROW('PT2 (FILTRAR)'!$E$5)+1,NA()),ROWS($B$5:E178)),COLUMNS($B$5:E178)),"")</f>
        <v/>
      </c>
    </row>
    <row r="179" spans="2:5" x14ac:dyDescent="0.3">
      <c r="B179" s="126" t="str">
        <f t="array" ref="B179">IFERROR(INDEX(BD[],_xlfn.AGGREGATE(15,6,IF(BD[CLASIFICACIÓN]=$B$2,ROW(BD[CLASIFICACIÓN])-ROW('PT2 (FILTRAR)'!$E$5)+1,NA()),ROWS($B$5:B179)),COLUMNS($B$5:B179)),"")</f>
        <v/>
      </c>
      <c r="C179" s="127" t="str">
        <f t="array" ref="C179">IFERROR(INDEX(BD[],_xlfn.AGGREGATE(15,6,IF(BD[CLASIFICACIÓN]=$B$2,ROW(BD[CLASIFICACIÓN])-ROW('PT2 (FILTRAR)'!$E$5)+1,NA()),ROWS($B$5:C179)),COLUMNS($B$5:C179)),"")</f>
        <v/>
      </c>
      <c r="D179" s="142" t="str">
        <f t="array" ref="D179">IFERROR(INDEX(BD[],_xlfn.AGGREGATE(15,6,IF(BD[CLASIFICACIÓN]=$B$2,ROW(BD[CLASIFICACIÓN])-ROW('PT2 (FILTRAR)'!$E$5)+1,NA()),ROWS($B$5:D179)),COLUMNS($B$5:D179)),"")</f>
        <v/>
      </c>
      <c r="E179" s="126" t="str">
        <f t="array" ref="E179">IFERROR(INDEX(BD[],_xlfn.AGGREGATE(15,6,IF(BD[CLASIFICACIÓN]=$B$2,ROW(BD[CLASIFICACIÓN])-ROW('PT2 (FILTRAR)'!$E$5)+1,NA()),ROWS($B$5:E179)),COLUMNS($B$5:E179)),"")</f>
        <v/>
      </c>
    </row>
    <row r="180" spans="2:5" x14ac:dyDescent="0.3">
      <c r="B180" s="126" t="str">
        <f t="array" ref="B180">IFERROR(INDEX(BD[],_xlfn.AGGREGATE(15,6,IF(BD[CLASIFICACIÓN]=$B$2,ROW(BD[CLASIFICACIÓN])-ROW('PT2 (FILTRAR)'!$E$5)+1,NA()),ROWS($B$5:B180)),COLUMNS($B$5:B180)),"")</f>
        <v/>
      </c>
      <c r="C180" s="127" t="str">
        <f t="array" ref="C180">IFERROR(INDEX(BD[],_xlfn.AGGREGATE(15,6,IF(BD[CLASIFICACIÓN]=$B$2,ROW(BD[CLASIFICACIÓN])-ROW('PT2 (FILTRAR)'!$E$5)+1,NA()),ROWS($B$5:C180)),COLUMNS($B$5:C180)),"")</f>
        <v/>
      </c>
      <c r="D180" s="142" t="str">
        <f t="array" ref="D180">IFERROR(INDEX(BD[],_xlfn.AGGREGATE(15,6,IF(BD[CLASIFICACIÓN]=$B$2,ROW(BD[CLASIFICACIÓN])-ROW('PT2 (FILTRAR)'!$E$5)+1,NA()),ROWS($B$5:D180)),COLUMNS($B$5:D180)),"")</f>
        <v/>
      </c>
      <c r="E180" s="126" t="str">
        <f t="array" ref="E180">IFERROR(INDEX(BD[],_xlfn.AGGREGATE(15,6,IF(BD[CLASIFICACIÓN]=$B$2,ROW(BD[CLASIFICACIÓN])-ROW('PT2 (FILTRAR)'!$E$5)+1,NA()),ROWS($B$5:E180)),COLUMNS($B$5:E180)),"")</f>
        <v/>
      </c>
    </row>
    <row r="181" spans="2:5" x14ac:dyDescent="0.3">
      <c r="B181" s="126" t="str">
        <f t="array" ref="B181">IFERROR(INDEX(BD[],_xlfn.AGGREGATE(15,6,IF(BD[CLASIFICACIÓN]=$B$2,ROW(BD[CLASIFICACIÓN])-ROW('PT2 (FILTRAR)'!$E$5)+1,NA()),ROWS($B$5:B181)),COLUMNS($B$5:B181)),"")</f>
        <v/>
      </c>
      <c r="C181" s="127" t="str">
        <f t="array" ref="C181">IFERROR(INDEX(BD[],_xlfn.AGGREGATE(15,6,IF(BD[CLASIFICACIÓN]=$B$2,ROW(BD[CLASIFICACIÓN])-ROW('PT2 (FILTRAR)'!$E$5)+1,NA()),ROWS($B$5:C181)),COLUMNS($B$5:C181)),"")</f>
        <v/>
      </c>
      <c r="D181" s="142" t="str">
        <f t="array" ref="D181">IFERROR(INDEX(BD[],_xlfn.AGGREGATE(15,6,IF(BD[CLASIFICACIÓN]=$B$2,ROW(BD[CLASIFICACIÓN])-ROW('PT2 (FILTRAR)'!$E$5)+1,NA()),ROWS($B$5:D181)),COLUMNS($B$5:D181)),"")</f>
        <v/>
      </c>
      <c r="E181" s="126" t="str">
        <f t="array" ref="E181">IFERROR(INDEX(BD[],_xlfn.AGGREGATE(15,6,IF(BD[CLASIFICACIÓN]=$B$2,ROW(BD[CLASIFICACIÓN])-ROW('PT2 (FILTRAR)'!$E$5)+1,NA()),ROWS($B$5:E181)),COLUMNS($B$5:E181)),"")</f>
        <v/>
      </c>
    </row>
    <row r="182" spans="2:5" x14ac:dyDescent="0.3">
      <c r="B182" s="126" t="str">
        <f t="array" ref="B182">IFERROR(INDEX(BD[],_xlfn.AGGREGATE(15,6,IF(BD[CLASIFICACIÓN]=$B$2,ROW(BD[CLASIFICACIÓN])-ROW('PT2 (FILTRAR)'!$E$5)+1,NA()),ROWS($B$5:B182)),COLUMNS($B$5:B182)),"")</f>
        <v/>
      </c>
      <c r="C182" s="127" t="str">
        <f t="array" ref="C182">IFERROR(INDEX(BD[],_xlfn.AGGREGATE(15,6,IF(BD[CLASIFICACIÓN]=$B$2,ROW(BD[CLASIFICACIÓN])-ROW('PT2 (FILTRAR)'!$E$5)+1,NA()),ROWS($B$5:C182)),COLUMNS($B$5:C182)),"")</f>
        <v/>
      </c>
      <c r="D182" s="142" t="str">
        <f t="array" ref="D182">IFERROR(INDEX(BD[],_xlfn.AGGREGATE(15,6,IF(BD[CLASIFICACIÓN]=$B$2,ROW(BD[CLASIFICACIÓN])-ROW('PT2 (FILTRAR)'!$E$5)+1,NA()),ROWS($B$5:D182)),COLUMNS($B$5:D182)),"")</f>
        <v/>
      </c>
      <c r="E182" s="126" t="str">
        <f t="array" ref="E182">IFERROR(INDEX(BD[],_xlfn.AGGREGATE(15,6,IF(BD[CLASIFICACIÓN]=$B$2,ROW(BD[CLASIFICACIÓN])-ROW('PT2 (FILTRAR)'!$E$5)+1,NA()),ROWS($B$5:E182)),COLUMNS($B$5:E182)),"")</f>
        <v/>
      </c>
    </row>
    <row r="183" spans="2:5" x14ac:dyDescent="0.3">
      <c r="B183" s="126" t="str">
        <f t="array" ref="B183">IFERROR(INDEX(BD[],_xlfn.AGGREGATE(15,6,IF(BD[CLASIFICACIÓN]=$B$2,ROW(BD[CLASIFICACIÓN])-ROW('PT2 (FILTRAR)'!$E$5)+1,NA()),ROWS($B$5:B183)),COLUMNS($B$5:B183)),"")</f>
        <v/>
      </c>
      <c r="C183" s="127" t="str">
        <f t="array" ref="C183">IFERROR(INDEX(BD[],_xlfn.AGGREGATE(15,6,IF(BD[CLASIFICACIÓN]=$B$2,ROW(BD[CLASIFICACIÓN])-ROW('PT2 (FILTRAR)'!$E$5)+1,NA()),ROWS($B$5:C183)),COLUMNS($B$5:C183)),"")</f>
        <v/>
      </c>
      <c r="D183" s="142" t="str">
        <f t="array" ref="D183">IFERROR(INDEX(BD[],_xlfn.AGGREGATE(15,6,IF(BD[CLASIFICACIÓN]=$B$2,ROW(BD[CLASIFICACIÓN])-ROW('PT2 (FILTRAR)'!$E$5)+1,NA()),ROWS($B$5:D183)),COLUMNS($B$5:D183)),"")</f>
        <v/>
      </c>
      <c r="E183" s="126" t="str">
        <f t="array" ref="E183">IFERROR(INDEX(BD[],_xlfn.AGGREGATE(15,6,IF(BD[CLASIFICACIÓN]=$B$2,ROW(BD[CLASIFICACIÓN])-ROW('PT2 (FILTRAR)'!$E$5)+1,NA()),ROWS($B$5:E183)),COLUMNS($B$5:E183)),"")</f>
        <v/>
      </c>
    </row>
    <row r="184" spans="2:5" x14ac:dyDescent="0.3">
      <c r="B184" s="126" t="str">
        <f t="array" ref="B184">IFERROR(INDEX(BD[],_xlfn.AGGREGATE(15,6,IF(BD[CLASIFICACIÓN]=$B$2,ROW(BD[CLASIFICACIÓN])-ROW('PT2 (FILTRAR)'!$E$5)+1,NA()),ROWS($B$5:B184)),COLUMNS($B$5:B184)),"")</f>
        <v/>
      </c>
      <c r="C184" s="127" t="str">
        <f t="array" ref="C184">IFERROR(INDEX(BD[],_xlfn.AGGREGATE(15,6,IF(BD[CLASIFICACIÓN]=$B$2,ROW(BD[CLASIFICACIÓN])-ROW('PT2 (FILTRAR)'!$E$5)+1,NA()),ROWS($B$5:C184)),COLUMNS($B$5:C184)),"")</f>
        <v/>
      </c>
      <c r="D184" s="142" t="str">
        <f t="array" ref="D184">IFERROR(INDEX(BD[],_xlfn.AGGREGATE(15,6,IF(BD[CLASIFICACIÓN]=$B$2,ROW(BD[CLASIFICACIÓN])-ROW('PT2 (FILTRAR)'!$E$5)+1,NA()),ROWS($B$5:D184)),COLUMNS($B$5:D184)),"")</f>
        <v/>
      </c>
      <c r="E184" s="126" t="str">
        <f t="array" ref="E184">IFERROR(INDEX(BD[],_xlfn.AGGREGATE(15,6,IF(BD[CLASIFICACIÓN]=$B$2,ROW(BD[CLASIFICACIÓN])-ROW('PT2 (FILTRAR)'!$E$5)+1,NA()),ROWS($B$5:E184)),COLUMNS($B$5:E184)),"")</f>
        <v/>
      </c>
    </row>
    <row r="185" spans="2:5" x14ac:dyDescent="0.3">
      <c r="B185" s="126" t="str">
        <f t="array" ref="B185">IFERROR(INDEX(BD[],_xlfn.AGGREGATE(15,6,IF(BD[CLASIFICACIÓN]=$B$2,ROW(BD[CLASIFICACIÓN])-ROW('PT2 (FILTRAR)'!$E$5)+1,NA()),ROWS($B$5:B185)),COLUMNS($B$5:B185)),"")</f>
        <v/>
      </c>
      <c r="C185" s="127" t="str">
        <f t="array" ref="C185">IFERROR(INDEX(BD[],_xlfn.AGGREGATE(15,6,IF(BD[CLASIFICACIÓN]=$B$2,ROW(BD[CLASIFICACIÓN])-ROW('PT2 (FILTRAR)'!$E$5)+1,NA()),ROWS($B$5:C185)),COLUMNS($B$5:C185)),"")</f>
        <v/>
      </c>
      <c r="D185" s="142" t="str">
        <f t="array" ref="D185">IFERROR(INDEX(BD[],_xlfn.AGGREGATE(15,6,IF(BD[CLASIFICACIÓN]=$B$2,ROW(BD[CLASIFICACIÓN])-ROW('PT2 (FILTRAR)'!$E$5)+1,NA()),ROWS($B$5:D185)),COLUMNS($B$5:D185)),"")</f>
        <v/>
      </c>
      <c r="E185" s="126" t="str">
        <f t="array" ref="E185">IFERROR(INDEX(BD[],_xlfn.AGGREGATE(15,6,IF(BD[CLASIFICACIÓN]=$B$2,ROW(BD[CLASIFICACIÓN])-ROW('PT2 (FILTRAR)'!$E$5)+1,NA()),ROWS($B$5:E185)),COLUMNS($B$5:E185)),"")</f>
        <v/>
      </c>
    </row>
    <row r="186" spans="2:5" x14ac:dyDescent="0.3">
      <c r="B186" s="126" t="str">
        <f t="array" ref="B186">IFERROR(INDEX(BD[],_xlfn.AGGREGATE(15,6,IF(BD[CLASIFICACIÓN]=$B$2,ROW(BD[CLASIFICACIÓN])-ROW('PT2 (FILTRAR)'!$E$5)+1,NA()),ROWS($B$5:B186)),COLUMNS($B$5:B186)),"")</f>
        <v/>
      </c>
      <c r="C186" s="127" t="str">
        <f t="array" ref="C186">IFERROR(INDEX(BD[],_xlfn.AGGREGATE(15,6,IF(BD[CLASIFICACIÓN]=$B$2,ROW(BD[CLASIFICACIÓN])-ROW('PT2 (FILTRAR)'!$E$5)+1,NA()),ROWS($B$5:C186)),COLUMNS($B$5:C186)),"")</f>
        <v/>
      </c>
      <c r="D186" s="142" t="str">
        <f t="array" ref="D186">IFERROR(INDEX(BD[],_xlfn.AGGREGATE(15,6,IF(BD[CLASIFICACIÓN]=$B$2,ROW(BD[CLASIFICACIÓN])-ROW('PT2 (FILTRAR)'!$E$5)+1,NA()),ROWS($B$5:D186)),COLUMNS($B$5:D186)),"")</f>
        <v/>
      </c>
      <c r="E186" s="126" t="str">
        <f t="array" ref="E186">IFERROR(INDEX(BD[],_xlfn.AGGREGATE(15,6,IF(BD[CLASIFICACIÓN]=$B$2,ROW(BD[CLASIFICACIÓN])-ROW('PT2 (FILTRAR)'!$E$5)+1,NA()),ROWS($B$5:E186)),COLUMNS($B$5:E186)),"")</f>
        <v/>
      </c>
    </row>
    <row r="187" spans="2:5" x14ac:dyDescent="0.3">
      <c r="B187" s="126" t="str">
        <f t="array" ref="B187">IFERROR(INDEX(BD[],_xlfn.AGGREGATE(15,6,IF(BD[CLASIFICACIÓN]=$B$2,ROW(BD[CLASIFICACIÓN])-ROW('PT2 (FILTRAR)'!$E$5)+1,NA()),ROWS($B$5:B187)),COLUMNS($B$5:B187)),"")</f>
        <v/>
      </c>
      <c r="C187" s="127" t="str">
        <f t="array" ref="C187">IFERROR(INDEX(BD[],_xlfn.AGGREGATE(15,6,IF(BD[CLASIFICACIÓN]=$B$2,ROW(BD[CLASIFICACIÓN])-ROW('PT2 (FILTRAR)'!$E$5)+1,NA()),ROWS($B$5:C187)),COLUMNS($B$5:C187)),"")</f>
        <v/>
      </c>
      <c r="D187" s="142" t="str">
        <f t="array" ref="D187">IFERROR(INDEX(BD[],_xlfn.AGGREGATE(15,6,IF(BD[CLASIFICACIÓN]=$B$2,ROW(BD[CLASIFICACIÓN])-ROW('PT2 (FILTRAR)'!$E$5)+1,NA()),ROWS($B$5:D187)),COLUMNS($B$5:D187)),"")</f>
        <v/>
      </c>
      <c r="E187" s="126" t="str">
        <f t="array" ref="E187">IFERROR(INDEX(BD[],_xlfn.AGGREGATE(15,6,IF(BD[CLASIFICACIÓN]=$B$2,ROW(BD[CLASIFICACIÓN])-ROW('PT2 (FILTRAR)'!$E$5)+1,NA()),ROWS($B$5:E187)),COLUMNS($B$5:E187)),"")</f>
        <v/>
      </c>
    </row>
    <row r="188" spans="2:5" x14ac:dyDescent="0.3">
      <c r="B188" s="126" t="str">
        <f t="array" ref="B188">IFERROR(INDEX(BD[],_xlfn.AGGREGATE(15,6,IF(BD[CLASIFICACIÓN]=$B$2,ROW(BD[CLASIFICACIÓN])-ROW('PT2 (FILTRAR)'!$E$5)+1,NA()),ROWS($B$5:B188)),COLUMNS($B$5:B188)),"")</f>
        <v/>
      </c>
      <c r="C188" s="127" t="str">
        <f t="array" ref="C188">IFERROR(INDEX(BD[],_xlfn.AGGREGATE(15,6,IF(BD[CLASIFICACIÓN]=$B$2,ROW(BD[CLASIFICACIÓN])-ROW('PT2 (FILTRAR)'!$E$5)+1,NA()),ROWS($B$5:C188)),COLUMNS($B$5:C188)),"")</f>
        <v/>
      </c>
      <c r="D188" s="142" t="str">
        <f t="array" ref="D188">IFERROR(INDEX(BD[],_xlfn.AGGREGATE(15,6,IF(BD[CLASIFICACIÓN]=$B$2,ROW(BD[CLASIFICACIÓN])-ROW('PT2 (FILTRAR)'!$E$5)+1,NA()),ROWS($B$5:D188)),COLUMNS($B$5:D188)),"")</f>
        <v/>
      </c>
      <c r="E188" s="126" t="str">
        <f t="array" ref="E188">IFERROR(INDEX(BD[],_xlfn.AGGREGATE(15,6,IF(BD[CLASIFICACIÓN]=$B$2,ROW(BD[CLASIFICACIÓN])-ROW('PT2 (FILTRAR)'!$E$5)+1,NA()),ROWS($B$5:E188)),COLUMNS($B$5:E188)),"")</f>
        <v/>
      </c>
    </row>
    <row r="189" spans="2:5" x14ac:dyDescent="0.3">
      <c r="B189" s="126" t="str">
        <f t="array" ref="B189">IFERROR(INDEX(BD[],_xlfn.AGGREGATE(15,6,IF(BD[CLASIFICACIÓN]=$B$2,ROW(BD[CLASIFICACIÓN])-ROW('PT2 (FILTRAR)'!$E$5)+1,NA()),ROWS($B$5:B189)),COLUMNS($B$5:B189)),"")</f>
        <v/>
      </c>
      <c r="C189" s="127" t="str">
        <f t="array" ref="C189">IFERROR(INDEX(BD[],_xlfn.AGGREGATE(15,6,IF(BD[CLASIFICACIÓN]=$B$2,ROW(BD[CLASIFICACIÓN])-ROW('PT2 (FILTRAR)'!$E$5)+1,NA()),ROWS($B$5:C189)),COLUMNS($B$5:C189)),"")</f>
        <v/>
      </c>
      <c r="D189" s="142" t="str">
        <f t="array" ref="D189">IFERROR(INDEX(BD[],_xlfn.AGGREGATE(15,6,IF(BD[CLASIFICACIÓN]=$B$2,ROW(BD[CLASIFICACIÓN])-ROW('PT2 (FILTRAR)'!$E$5)+1,NA()),ROWS($B$5:D189)),COLUMNS($B$5:D189)),"")</f>
        <v/>
      </c>
      <c r="E189" s="126" t="str">
        <f t="array" ref="E189">IFERROR(INDEX(BD[],_xlfn.AGGREGATE(15,6,IF(BD[CLASIFICACIÓN]=$B$2,ROW(BD[CLASIFICACIÓN])-ROW('PT2 (FILTRAR)'!$E$5)+1,NA()),ROWS($B$5:E189)),COLUMNS($B$5:E189)),"")</f>
        <v/>
      </c>
    </row>
    <row r="190" spans="2:5" x14ac:dyDescent="0.3">
      <c r="B190" s="126" t="str">
        <f t="array" ref="B190">IFERROR(INDEX(BD[],_xlfn.AGGREGATE(15,6,IF(BD[CLASIFICACIÓN]=$B$2,ROW(BD[CLASIFICACIÓN])-ROW('PT2 (FILTRAR)'!$E$5)+1,NA()),ROWS($B$5:B190)),COLUMNS($B$5:B190)),"")</f>
        <v/>
      </c>
      <c r="C190" s="127" t="str">
        <f t="array" ref="C190">IFERROR(INDEX(BD[],_xlfn.AGGREGATE(15,6,IF(BD[CLASIFICACIÓN]=$B$2,ROW(BD[CLASIFICACIÓN])-ROW('PT2 (FILTRAR)'!$E$5)+1,NA()),ROWS($B$5:C190)),COLUMNS($B$5:C190)),"")</f>
        <v/>
      </c>
      <c r="D190" s="142" t="str">
        <f t="array" ref="D190">IFERROR(INDEX(BD[],_xlfn.AGGREGATE(15,6,IF(BD[CLASIFICACIÓN]=$B$2,ROW(BD[CLASIFICACIÓN])-ROW('PT2 (FILTRAR)'!$E$5)+1,NA()),ROWS($B$5:D190)),COLUMNS($B$5:D190)),"")</f>
        <v/>
      </c>
      <c r="E190" s="126" t="str">
        <f t="array" ref="E190">IFERROR(INDEX(BD[],_xlfn.AGGREGATE(15,6,IF(BD[CLASIFICACIÓN]=$B$2,ROW(BD[CLASIFICACIÓN])-ROW('PT2 (FILTRAR)'!$E$5)+1,NA()),ROWS($B$5:E190)),COLUMNS($B$5:E190)),"")</f>
        <v/>
      </c>
    </row>
    <row r="191" spans="2:5" x14ac:dyDescent="0.3">
      <c r="B191" s="126" t="str">
        <f t="array" ref="B191">IFERROR(INDEX(BD[],_xlfn.AGGREGATE(15,6,IF(BD[CLASIFICACIÓN]=$B$2,ROW(BD[CLASIFICACIÓN])-ROW('PT2 (FILTRAR)'!$E$5)+1,NA()),ROWS($B$5:B191)),COLUMNS($B$5:B191)),"")</f>
        <v/>
      </c>
      <c r="C191" s="127" t="str">
        <f t="array" ref="C191">IFERROR(INDEX(BD[],_xlfn.AGGREGATE(15,6,IF(BD[CLASIFICACIÓN]=$B$2,ROW(BD[CLASIFICACIÓN])-ROW('PT2 (FILTRAR)'!$E$5)+1,NA()),ROWS($B$5:C191)),COLUMNS($B$5:C191)),"")</f>
        <v/>
      </c>
      <c r="D191" s="142" t="str">
        <f t="array" ref="D191">IFERROR(INDEX(BD[],_xlfn.AGGREGATE(15,6,IF(BD[CLASIFICACIÓN]=$B$2,ROW(BD[CLASIFICACIÓN])-ROW('PT2 (FILTRAR)'!$E$5)+1,NA()),ROWS($B$5:D191)),COLUMNS($B$5:D191)),"")</f>
        <v/>
      </c>
      <c r="E191" s="126" t="str">
        <f t="array" ref="E191">IFERROR(INDEX(BD[],_xlfn.AGGREGATE(15,6,IF(BD[CLASIFICACIÓN]=$B$2,ROW(BD[CLASIFICACIÓN])-ROW('PT2 (FILTRAR)'!$E$5)+1,NA()),ROWS($B$5:E191)),COLUMNS($B$5:E191)),"")</f>
        <v/>
      </c>
    </row>
    <row r="192" spans="2:5" x14ac:dyDescent="0.3">
      <c r="B192" s="126" t="str">
        <f t="array" ref="B192">IFERROR(INDEX(BD[],_xlfn.AGGREGATE(15,6,IF(BD[CLASIFICACIÓN]=$B$2,ROW(BD[CLASIFICACIÓN])-ROW('PT2 (FILTRAR)'!$E$5)+1,NA()),ROWS($B$5:B192)),COLUMNS($B$5:B192)),"")</f>
        <v/>
      </c>
      <c r="C192" s="127" t="str">
        <f t="array" ref="C192">IFERROR(INDEX(BD[],_xlfn.AGGREGATE(15,6,IF(BD[CLASIFICACIÓN]=$B$2,ROW(BD[CLASIFICACIÓN])-ROW('PT2 (FILTRAR)'!$E$5)+1,NA()),ROWS($B$5:C192)),COLUMNS($B$5:C192)),"")</f>
        <v/>
      </c>
      <c r="D192" s="142" t="str">
        <f t="array" ref="D192">IFERROR(INDEX(BD[],_xlfn.AGGREGATE(15,6,IF(BD[CLASIFICACIÓN]=$B$2,ROW(BD[CLASIFICACIÓN])-ROW('PT2 (FILTRAR)'!$E$5)+1,NA()),ROWS($B$5:D192)),COLUMNS($B$5:D192)),"")</f>
        <v/>
      </c>
      <c r="E192" s="126" t="str">
        <f t="array" ref="E192">IFERROR(INDEX(BD[],_xlfn.AGGREGATE(15,6,IF(BD[CLASIFICACIÓN]=$B$2,ROW(BD[CLASIFICACIÓN])-ROW('PT2 (FILTRAR)'!$E$5)+1,NA()),ROWS($B$5:E192)),COLUMNS($B$5:E192)),"")</f>
        <v/>
      </c>
    </row>
    <row r="193" spans="2:5" x14ac:dyDescent="0.3">
      <c r="B193" s="126" t="str">
        <f t="array" ref="B193">IFERROR(INDEX(BD[],_xlfn.AGGREGATE(15,6,IF(BD[CLASIFICACIÓN]=$B$2,ROW(BD[CLASIFICACIÓN])-ROW('PT2 (FILTRAR)'!$E$5)+1,NA()),ROWS($B$5:B193)),COLUMNS($B$5:B193)),"")</f>
        <v/>
      </c>
      <c r="C193" s="127" t="str">
        <f t="array" ref="C193">IFERROR(INDEX(BD[],_xlfn.AGGREGATE(15,6,IF(BD[CLASIFICACIÓN]=$B$2,ROW(BD[CLASIFICACIÓN])-ROW('PT2 (FILTRAR)'!$E$5)+1,NA()),ROWS($B$5:C193)),COLUMNS($B$5:C193)),"")</f>
        <v/>
      </c>
      <c r="D193" s="142" t="str">
        <f t="array" ref="D193">IFERROR(INDEX(BD[],_xlfn.AGGREGATE(15,6,IF(BD[CLASIFICACIÓN]=$B$2,ROW(BD[CLASIFICACIÓN])-ROW('PT2 (FILTRAR)'!$E$5)+1,NA()),ROWS($B$5:D193)),COLUMNS($B$5:D193)),"")</f>
        <v/>
      </c>
      <c r="E193" s="126" t="str">
        <f t="array" ref="E193">IFERROR(INDEX(BD[],_xlfn.AGGREGATE(15,6,IF(BD[CLASIFICACIÓN]=$B$2,ROW(BD[CLASIFICACIÓN])-ROW('PT2 (FILTRAR)'!$E$5)+1,NA()),ROWS($B$5:E193)),COLUMNS($B$5:E193)),"")</f>
        <v/>
      </c>
    </row>
    <row r="194" spans="2:5" x14ac:dyDescent="0.3">
      <c r="B194" s="126" t="str">
        <f t="array" ref="B194">IFERROR(INDEX(BD[],_xlfn.AGGREGATE(15,6,IF(BD[CLASIFICACIÓN]=$B$2,ROW(BD[CLASIFICACIÓN])-ROW('PT2 (FILTRAR)'!$E$5)+1,NA()),ROWS($B$5:B194)),COLUMNS($B$5:B194)),"")</f>
        <v/>
      </c>
      <c r="C194" s="127" t="str">
        <f t="array" ref="C194">IFERROR(INDEX(BD[],_xlfn.AGGREGATE(15,6,IF(BD[CLASIFICACIÓN]=$B$2,ROW(BD[CLASIFICACIÓN])-ROW('PT2 (FILTRAR)'!$E$5)+1,NA()),ROWS($B$5:C194)),COLUMNS($B$5:C194)),"")</f>
        <v/>
      </c>
      <c r="D194" s="142" t="str">
        <f t="array" ref="D194">IFERROR(INDEX(BD[],_xlfn.AGGREGATE(15,6,IF(BD[CLASIFICACIÓN]=$B$2,ROW(BD[CLASIFICACIÓN])-ROW('PT2 (FILTRAR)'!$E$5)+1,NA()),ROWS($B$5:D194)),COLUMNS($B$5:D194)),"")</f>
        <v/>
      </c>
      <c r="E194" s="126" t="str">
        <f t="array" ref="E194">IFERROR(INDEX(BD[],_xlfn.AGGREGATE(15,6,IF(BD[CLASIFICACIÓN]=$B$2,ROW(BD[CLASIFICACIÓN])-ROW('PT2 (FILTRAR)'!$E$5)+1,NA()),ROWS($B$5:E194)),COLUMNS($B$5:E194)),"")</f>
        <v/>
      </c>
    </row>
    <row r="195" spans="2:5" x14ac:dyDescent="0.3">
      <c r="B195" s="126" t="str">
        <f t="array" ref="B195">IFERROR(INDEX(BD[],_xlfn.AGGREGATE(15,6,IF(BD[CLASIFICACIÓN]=$B$2,ROW(BD[CLASIFICACIÓN])-ROW('PT2 (FILTRAR)'!$E$5)+1,NA()),ROWS($B$5:B195)),COLUMNS($B$5:B195)),"")</f>
        <v/>
      </c>
      <c r="C195" s="127" t="str">
        <f t="array" ref="C195">IFERROR(INDEX(BD[],_xlfn.AGGREGATE(15,6,IF(BD[CLASIFICACIÓN]=$B$2,ROW(BD[CLASIFICACIÓN])-ROW('PT2 (FILTRAR)'!$E$5)+1,NA()),ROWS($B$5:C195)),COLUMNS($B$5:C195)),"")</f>
        <v/>
      </c>
      <c r="D195" s="142" t="str">
        <f t="array" ref="D195">IFERROR(INDEX(BD[],_xlfn.AGGREGATE(15,6,IF(BD[CLASIFICACIÓN]=$B$2,ROW(BD[CLASIFICACIÓN])-ROW('PT2 (FILTRAR)'!$E$5)+1,NA()),ROWS($B$5:D195)),COLUMNS($B$5:D195)),"")</f>
        <v/>
      </c>
      <c r="E195" s="126" t="str">
        <f t="array" ref="E195">IFERROR(INDEX(BD[],_xlfn.AGGREGATE(15,6,IF(BD[CLASIFICACIÓN]=$B$2,ROW(BD[CLASIFICACIÓN])-ROW('PT2 (FILTRAR)'!$E$5)+1,NA()),ROWS($B$5:E195)),COLUMNS($B$5:E195)),"")</f>
        <v/>
      </c>
    </row>
    <row r="196" spans="2:5" x14ac:dyDescent="0.3">
      <c r="B196" s="126" t="str">
        <f t="array" ref="B196">IFERROR(INDEX(BD[],_xlfn.AGGREGATE(15,6,IF(BD[CLASIFICACIÓN]=$B$2,ROW(BD[CLASIFICACIÓN])-ROW('PT2 (FILTRAR)'!$E$5)+1,NA()),ROWS($B$5:B196)),COLUMNS($B$5:B196)),"")</f>
        <v/>
      </c>
      <c r="C196" s="127" t="str">
        <f t="array" ref="C196">IFERROR(INDEX(BD[],_xlfn.AGGREGATE(15,6,IF(BD[CLASIFICACIÓN]=$B$2,ROW(BD[CLASIFICACIÓN])-ROW('PT2 (FILTRAR)'!$E$5)+1,NA()),ROWS($B$5:C196)),COLUMNS($B$5:C196)),"")</f>
        <v/>
      </c>
      <c r="D196" s="142" t="str">
        <f t="array" ref="D196">IFERROR(INDEX(BD[],_xlfn.AGGREGATE(15,6,IF(BD[CLASIFICACIÓN]=$B$2,ROW(BD[CLASIFICACIÓN])-ROW('PT2 (FILTRAR)'!$E$5)+1,NA()),ROWS($B$5:D196)),COLUMNS($B$5:D196)),"")</f>
        <v/>
      </c>
      <c r="E196" s="126" t="str">
        <f t="array" ref="E196">IFERROR(INDEX(BD[],_xlfn.AGGREGATE(15,6,IF(BD[CLASIFICACIÓN]=$B$2,ROW(BD[CLASIFICACIÓN])-ROW('PT2 (FILTRAR)'!$E$5)+1,NA()),ROWS($B$5:E196)),COLUMNS($B$5:E196)),"")</f>
        <v/>
      </c>
    </row>
    <row r="197" spans="2:5" x14ac:dyDescent="0.3">
      <c r="B197" s="126" t="str">
        <f t="array" ref="B197">IFERROR(INDEX(BD[],_xlfn.AGGREGATE(15,6,IF(BD[CLASIFICACIÓN]=$B$2,ROW(BD[CLASIFICACIÓN])-ROW('PT2 (FILTRAR)'!$E$5)+1,NA()),ROWS($B$5:B197)),COLUMNS($B$5:B197)),"")</f>
        <v/>
      </c>
      <c r="C197" s="127" t="str">
        <f t="array" ref="C197">IFERROR(INDEX(BD[],_xlfn.AGGREGATE(15,6,IF(BD[CLASIFICACIÓN]=$B$2,ROW(BD[CLASIFICACIÓN])-ROW('PT2 (FILTRAR)'!$E$5)+1,NA()),ROWS($B$5:C197)),COLUMNS($B$5:C197)),"")</f>
        <v/>
      </c>
      <c r="D197" s="142" t="str">
        <f t="array" ref="D197">IFERROR(INDEX(BD[],_xlfn.AGGREGATE(15,6,IF(BD[CLASIFICACIÓN]=$B$2,ROW(BD[CLASIFICACIÓN])-ROW('PT2 (FILTRAR)'!$E$5)+1,NA()),ROWS($B$5:D197)),COLUMNS($B$5:D197)),"")</f>
        <v/>
      </c>
      <c r="E197" s="126" t="str">
        <f t="array" ref="E197">IFERROR(INDEX(BD[],_xlfn.AGGREGATE(15,6,IF(BD[CLASIFICACIÓN]=$B$2,ROW(BD[CLASIFICACIÓN])-ROW('PT2 (FILTRAR)'!$E$5)+1,NA()),ROWS($B$5:E197)),COLUMNS($B$5:E197)),"")</f>
        <v/>
      </c>
    </row>
    <row r="198" spans="2:5" x14ac:dyDescent="0.3">
      <c r="B198" s="126" t="str">
        <f t="array" ref="B198">IFERROR(INDEX(BD[],_xlfn.AGGREGATE(15,6,IF(BD[CLASIFICACIÓN]=$B$2,ROW(BD[CLASIFICACIÓN])-ROW('PT2 (FILTRAR)'!$E$5)+1,NA()),ROWS($B$5:B198)),COLUMNS($B$5:B198)),"")</f>
        <v/>
      </c>
      <c r="C198" s="127" t="str">
        <f t="array" ref="C198">IFERROR(INDEX(BD[],_xlfn.AGGREGATE(15,6,IF(BD[CLASIFICACIÓN]=$B$2,ROW(BD[CLASIFICACIÓN])-ROW('PT2 (FILTRAR)'!$E$5)+1,NA()),ROWS($B$5:C198)),COLUMNS($B$5:C198)),"")</f>
        <v/>
      </c>
      <c r="D198" s="142" t="str">
        <f t="array" ref="D198">IFERROR(INDEX(BD[],_xlfn.AGGREGATE(15,6,IF(BD[CLASIFICACIÓN]=$B$2,ROW(BD[CLASIFICACIÓN])-ROW('PT2 (FILTRAR)'!$E$5)+1,NA()),ROWS($B$5:D198)),COLUMNS($B$5:D198)),"")</f>
        <v/>
      </c>
      <c r="E198" s="126" t="str">
        <f t="array" ref="E198">IFERROR(INDEX(BD[],_xlfn.AGGREGATE(15,6,IF(BD[CLASIFICACIÓN]=$B$2,ROW(BD[CLASIFICACIÓN])-ROW('PT2 (FILTRAR)'!$E$5)+1,NA()),ROWS($B$5:E198)),COLUMNS($B$5:E198)),"")</f>
        <v/>
      </c>
    </row>
    <row r="199" spans="2:5" x14ac:dyDescent="0.3">
      <c r="B199" s="126" t="str">
        <f t="array" ref="B199">IFERROR(INDEX(BD[],_xlfn.AGGREGATE(15,6,IF(BD[CLASIFICACIÓN]=$B$2,ROW(BD[CLASIFICACIÓN])-ROW('PT2 (FILTRAR)'!$E$5)+1,NA()),ROWS($B$5:B199)),COLUMNS($B$5:B199)),"")</f>
        <v/>
      </c>
      <c r="C199" s="127" t="str">
        <f t="array" ref="C199">IFERROR(INDEX(BD[],_xlfn.AGGREGATE(15,6,IF(BD[CLASIFICACIÓN]=$B$2,ROW(BD[CLASIFICACIÓN])-ROW('PT2 (FILTRAR)'!$E$5)+1,NA()),ROWS($B$5:C199)),COLUMNS($B$5:C199)),"")</f>
        <v/>
      </c>
      <c r="D199" s="142" t="str">
        <f t="array" ref="D199">IFERROR(INDEX(BD[],_xlfn.AGGREGATE(15,6,IF(BD[CLASIFICACIÓN]=$B$2,ROW(BD[CLASIFICACIÓN])-ROW('PT2 (FILTRAR)'!$E$5)+1,NA()),ROWS($B$5:D199)),COLUMNS($B$5:D199)),"")</f>
        <v/>
      </c>
      <c r="E199" s="126" t="str">
        <f t="array" ref="E199">IFERROR(INDEX(BD[],_xlfn.AGGREGATE(15,6,IF(BD[CLASIFICACIÓN]=$B$2,ROW(BD[CLASIFICACIÓN])-ROW('PT2 (FILTRAR)'!$E$5)+1,NA()),ROWS($B$5:E199)),COLUMNS($B$5:E199)),"")</f>
        <v/>
      </c>
    </row>
    <row r="200" spans="2:5" x14ac:dyDescent="0.3">
      <c r="B200" s="126" t="str">
        <f t="array" ref="B200">IFERROR(INDEX(BD[],_xlfn.AGGREGATE(15,6,IF(BD[CLASIFICACIÓN]=$B$2,ROW(BD[CLASIFICACIÓN])-ROW('PT2 (FILTRAR)'!$E$5)+1,NA()),ROWS($B$5:B200)),COLUMNS($B$5:B200)),"")</f>
        <v/>
      </c>
      <c r="C200" s="127" t="str">
        <f t="array" ref="C200">IFERROR(INDEX(BD[],_xlfn.AGGREGATE(15,6,IF(BD[CLASIFICACIÓN]=$B$2,ROW(BD[CLASIFICACIÓN])-ROW('PT2 (FILTRAR)'!$E$5)+1,NA()),ROWS($B$5:C200)),COLUMNS($B$5:C200)),"")</f>
        <v/>
      </c>
      <c r="D200" s="142" t="str">
        <f t="array" ref="D200">IFERROR(INDEX(BD[],_xlfn.AGGREGATE(15,6,IF(BD[CLASIFICACIÓN]=$B$2,ROW(BD[CLASIFICACIÓN])-ROW('PT2 (FILTRAR)'!$E$5)+1,NA()),ROWS($B$5:D200)),COLUMNS($B$5:D200)),"")</f>
        <v/>
      </c>
      <c r="E200" s="126" t="str">
        <f t="array" ref="E200">IFERROR(INDEX(BD[],_xlfn.AGGREGATE(15,6,IF(BD[CLASIFICACIÓN]=$B$2,ROW(BD[CLASIFICACIÓN])-ROW('PT2 (FILTRAR)'!$E$5)+1,NA()),ROWS($B$5:E200)),COLUMNS($B$5:E200)),"")</f>
        <v/>
      </c>
    </row>
    <row r="201" spans="2:5" x14ac:dyDescent="0.3">
      <c r="B201" s="126" t="str">
        <f t="array" ref="B201">IFERROR(INDEX(BD[],_xlfn.AGGREGATE(15,6,IF(BD[CLASIFICACIÓN]=$B$2,ROW(BD[CLASIFICACIÓN])-ROW('PT2 (FILTRAR)'!$E$5)+1,NA()),ROWS($B$5:B201)),COLUMNS($B$5:B201)),"")</f>
        <v/>
      </c>
      <c r="C201" s="127" t="str">
        <f t="array" ref="C201">IFERROR(INDEX(BD[],_xlfn.AGGREGATE(15,6,IF(BD[CLASIFICACIÓN]=$B$2,ROW(BD[CLASIFICACIÓN])-ROW('PT2 (FILTRAR)'!$E$5)+1,NA()),ROWS($B$5:C201)),COLUMNS($B$5:C201)),"")</f>
        <v/>
      </c>
      <c r="D201" s="142" t="str">
        <f t="array" ref="D201">IFERROR(INDEX(BD[],_xlfn.AGGREGATE(15,6,IF(BD[CLASIFICACIÓN]=$B$2,ROW(BD[CLASIFICACIÓN])-ROW('PT2 (FILTRAR)'!$E$5)+1,NA()),ROWS($B$5:D201)),COLUMNS($B$5:D201)),"")</f>
        <v/>
      </c>
      <c r="E201" s="126" t="str">
        <f t="array" ref="E201">IFERROR(INDEX(BD[],_xlfn.AGGREGATE(15,6,IF(BD[CLASIFICACIÓN]=$B$2,ROW(BD[CLASIFICACIÓN])-ROW('PT2 (FILTRAR)'!$E$5)+1,NA()),ROWS($B$5:E201)),COLUMNS($B$5:E201)),"")</f>
        <v/>
      </c>
    </row>
    <row r="202" spans="2:5" x14ac:dyDescent="0.3">
      <c r="B202" s="126" t="str">
        <f t="array" ref="B202">IFERROR(INDEX(BD[],_xlfn.AGGREGATE(15,6,IF(BD[CLASIFICACIÓN]=$B$2,ROW(BD[CLASIFICACIÓN])-ROW('PT2 (FILTRAR)'!$E$5)+1,NA()),ROWS($B$5:B202)),COLUMNS($B$5:B202)),"")</f>
        <v/>
      </c>
      <c r="C202" s="127" t="str">
        <f t="array" ref="C202">IFERROR(INDEX(BD[],_xlfn.AGGREGATE(15,6,IF(BD[CLASIFICACIÓN]=$B$2,ROW(BD[CLASIFICACIÓN])-ROW('PT2 (FILTRAR)'!$E$5)+1,NA()),ROWS($B$5:C202)),COLUMNS($B$5:C202)),"")</f>
        <v/>
      </c>
      <c r="D202" s="142" t="str">
        <f t="array" ref="D202">IFERROR(INDEX(BD[],_xlfn.AGGREGATE(15,6,IF(BD[CLASIFICACIÓN]=$B$2,ROW(BD[CLASIFICACIÓN])-ROW('PT2 (FILTRAR)'!$E$5)+1,NA()),ROWS($B$5:D202)),COLUMNS($B$5:D202)),"")</f>
        <v/>
      </c>
      <c r="E202" s="126" t="str">
        <f t="array" ref="E202">IFERROR(INDEX(BD[],_xlfn.AGGREGATE(15,6,IF(BD[CLASIFICACIÓN]=$B$2,ROW(BD[CLASIFICACIÓN])-ROW('PT2 (FILTRAR)'!$E$5)+1,NA()),ROWS($B$5:E202)),COLUMNS($B$5:E202)),"")</f>
        <v/>
      </c>
    </row>
    <row r="203" spans="2:5" x14ac:dyDescent="0.3">
      <c r="B203" s="126" t="str">
        <f t="array" ref="B203">IFERROR(INDEX(BD[],_xlfn.AGGREGATE(15,6,IF(BD[CLASIFICACIÓN]=$B$2,ROW(BD[CLASIFICACIÓN])-ROW('PT2 (FILTRAR)'!$E$5)+1,NA()),ROWS($B$5:B203)),COLUMNS($B$5:B203)),"")</f>
        <v/>
      </c>
      <c r="C203" s="127" t="str">
        <f t="array" ref="C203">IFERROR(INDEX(BD[],_xlfn.AGGREGATE(15,6,IF(BD[CLASIFICACIÓN]=$B$2,ROW(BD[CLASIFICACIÓN])-ROW('PT2 (FILTRAR)'!$E$5)+1,NA()),ROWS($B$5:C203)),COLUMNS($B$5:C203)),"")</f>
        <v/>
      </c>
      <c r="D203" s="142" t="str">
        <f t="array" ref="D203">IFERROR(INDEX(BD[],_xlfn.AGGREGATE(15,6,IF(BD[CLASIFICACIÓN]=$B$2,ROW(BD[CLASIFICACIÓN])-ROW('PT2 (FILTRAR)'!$E$5)+1,NA()),ROWS($B$5:D203)),COLUMNS($B$5:D203)),"")</f>
        <v/>
      </c>
      <c r="E203" s="126" t="str">
        <f t="array" ref="E203">IFERROR(INDEX(BD[],_xlfn.AGGREGATE(15,6,IF(BD[CLASIFICACIÓN]=$B$2,ROW(BD[CLASIFICACIÓN])-ROW('PT2 (FILTRAR)'!$E$5)+1,NA()),ROWS($B$5:E203)),COLUMNS($B$5:E203)),"")</f>
        <v/>
      </c>
    </row>
    <row r="204" spans="2:5" x14ac:dyDescent="0.3">
      <c r="B204" s="126" t="str">
        <f t="array" ref="B204">IFERROR(INDEX(BD[],_xlfn.AGGREGATE(15,6,IF(BD[CLASIFICACIÓN]=$B$2,ROW(BD[CLASIFICACIÓN])-ROW('PT2 (FILTRAR)'!$E$5)+1,NA()),ROWS($B$5:B204)),COLUMNS($B$5:B204)),"")</f>
        <v/>
      </c>
      <c r="C204" s="127" t="str">
        <f t="array" ref="C204">IFERROR(INDEX(BD[],_xlfn.AGGREGATE(15,6,IF(BD[CLASIFICACIÓN]=$B$2,ROW(BD[CLASIFICACIÓN])-ROW('PT2 (FILTRAR)'!$E$5)+1,NA()),ROWS($B$5:C204)),COLUMNS($B$5:C204)),"")</f>
        <v/>
      </c>
      <c r="D204" s="142" t="str">
        <f t="array" ref="D204">IFERROR(INDEX(BD[],_xlfn.AGGREGATE(15,6,IF(BD[CLASIFICACIÓN]=$B$2,ROW(BD[CLASIFICACIÓN])-ROW('PT2 (FILTRAR)'!$E$5)+1,NA()),ROWS($B$5:D204)),COLUMNS($B$5:D204)),"")</f>
        <v/>
      </c>
      <c r="E204" s="126" t="str">
        <f t="array" ref="E204">IFERROR(INDEX(BD[],_xlfn.AGGREGATE(15,6,IF(BD[CLASIFICACIÓN]=$B$2,ROW(BD[CLASIFICACIÓN])-ROW('PT2 (FILTRAR)'!$E$5)+1,NA()),ROWS($B$5:E204)),COLUMNS($B$5:E204)),"")</f>
        <v/>
      </c>
    </row>
    <row r="205" spans="2:5" x14ac:dyDescent="0.3">
      <c r="B205" s="126" t="str">
        <f t="array" ref="B205">IFERROR(INDEX(BD[],_xlfn.AGGREGATE(15,6,IF(BD[CLASIFICACIÓN]=$B$2,ROW(BD[CLASIFICACIÓN])-ROW('PT2 (FILTRAR)'!$E$5)+1,NA()),ROWS($B$5:B205)),COLUMNS($B$5:B205)),"")</f>
        <v/>
      </c>
      <c r="C205" s="127" t="str">
        <f t="array" ref="C205">IFERROR(INDEX(BD[],_xlfn.AGGREGATE(15,6,IF(BD[CLASIFICACIÓN]=$B$2,ROW(BD[CLASIFICACIÓN])-ROW('PT2 (FILTRAR)'!$E$5)+1,NA()),ROWS($B$5:C205)),COLUMNS($B$5:C205)),"")</f>
        <v/>
      </c>
      <c r="D205" s="142" t="str">
        <f t="array" ref="D205">IFERROR(INDEX(BD[],_xlfn.AGGREGATE(15,6,IF(BD[CLASIFICACIÓN]=$B$2,ROW(BD[CLASIFICACIÓN])-ROW('PT2 (FILTRAR)'!$E$5)+1,NA()),ROWS($B$5:D205)),COLUMNS($B$5:D205)),"")</f>
        <v/>
      </c>
      <c r="E205" s="126" t="str">
        <f t="array" ref="E205">IFERROR(INDEX(BD[],_xlfn.AGGREGATE(15,6,IF(BD[CLASIFICACIÓN]=$B$2,ROW(BD[CLASIFICACIÓN])-ROW('PT2 (FILTRAR)'!$E$5)+1,NA()),ROWS($B$5:E205)),COLUMNS($B$5:E205)),"")</f>
        <v/>
      </c>
    </row>
    <row r="206" spans="2:5" x14ac:dyDescent="0.3">
      <c r="B206" s="126" t="str">
        <f t="array" ref="B206">IFERROR(INDEX(BD[],_xlfn.AGGREGATE(15,6,IF(BD[CLASIFICACIÓN]=$B$2,ROW(BD[CLASIFICACIÓN])-ROW('PT2 (FILTRAR)'!$E$5)+1,NA()),ROWS($B$5:B206)),COLUMNS($B$5:B206)),"")</f>
        <v/>
      </c>
      <c r="C206" s="127" t="str">
        <f t="array" ref="C206">IFERROR(INDEX(BD[],_xlfn.AGGREGATE(15,6,IF(BD[CLASIFICACIÓN]=$B$2,ROW(BD[CLASIFICACIÓN])-ROW('PT2 (FILTRAR)'!$E$5)+1,NA()),ROWS($B$5:C206)),COLUMNS($B$5:C206)),"")</f>
        <v/>
      </c>
      <c r="D206" s="142" t="str">
        <f t="array" ref="D206">IFERROR(INDEX(BD[],_xlfn.AGGREGATE(15,6,IF(BD[CLASIFICACIÓN]=$B$2,ROW(BD[CLASIFICACIÓN])-ROW('PT2 (FILTRAR)'!$E$5)+1,NA()),ROWS($B$5:D206)),COLUMNS($B$5:D206)),"")</f>
        <v/>
      </c>
      <c r="E206" s="126" t="str">
        <f t="array" ref="E206">IFERROR(INDEX(BD[],_xlfn.AGGREGATE(15,6,IF(BD[CLASIFICACIÓN]=$B$2,ROW(BD[CLASIFICACIÓN])-ROW('PT2 (FILTRAR)'!$E$5)+1,NA()),ROWS($B$5:E206)),COLUMNS($B$5:E206)),"")</f>
        <v/>
      </c>
    </row>
    <row r="207" spans="2:5" x14ac:dyDescent="0.3">
      <c r="B207" s="126" t="str">
        <f t="array" ref="B207">IFERROR(INDEX(BD[],_xlfn.AGGREGATE(15,6,IF(BD[CLASIFICACIÓN]=$B$2,ROW(BD[CLASIFICACIÓN])-ROW('PT2 (FILTRAR)'!$E$5)+1,NA()),ROWS($B$5:B207)),COLUMNS($B$5:B207)),"")</f>
        <v/>
      </c>
      <c r="C207" s="127" t="str">
        <f t="array" ref="C207">IFERROR(INDEX(BD[],_xlfn.AGGREGATE(15,6,IF(BD[CLASIFICACIÓN]=$B$2,ROW(BD[CLASIFICACIÓN])-ROW('PT2 (FILTRAR)'!$E$5)+1,NA()),ROWS($B$5:C207)),COLUMNS($B$5:C207)),"")</f>
        <v/>
      </c>
      <c r="D207" s="142" t="str">
        <f t="array" ref="D207">IFERROR(INDEX(BD[],_xlfn.AGGREGATE(15,6,IF(BD[CLASIFICACIÓN]=$B$2,ROW(BD[CLASIFICACIÓN])-ROW('PT2 (FILTRAR)'!$E$5)+1,NA()),ROWS($B$5:D207)),COLUMNS($B$5:D207)),"")</f>
        <v/>
      </c>
      <c r="E207" s="126" t="str">
        <f t="array" ref="E207">IFERROR(INDEX(BD[],_xlfn.AGGREGATE(15,6,IF(BD[CLASIFICACIÓN]=$B$2,ROW(BD[CLASIFICACIÓN])-ROW('PT2 (FILTRAR)'!$E$5)+1,NA()),ROWS($B$5:E207)),COLUMNS($B$5:E207)),"")</f>
        <v/>
      </c>
    </row>
    <row r="208" spans="2:5" x14ac:dyDescent="0.3">
      <c r="B208" s="126" t="str">
        <f t="array" ref="B208">IFERROR(INDEX(BD[],_xlfn.AGGREGATE(15,6,IF(BD[CLASIFICACIÓN]=$B$2,ROW(BD[CLASIFICACIÓN])-ROW('PT2 (FILTRAR)'!$E$5)+1,NA()),ROWS($B$5:B208)),COLUMNS($B$5:B208)),"")</f>
        <v/>
      </c>
      <c r="C208" s="127" t="str">
        <f t="array" ref="C208">IFERROR(INDEX(BD[],_xlfn.AGGREGATE(15,6,IF(BD[CLASIFICACIÓN]=$B$2,ROW(BD[CLASIFICACIÓN])-ROW('PT2 (FILTRAR)'!$E$5)+1,NA()),ROWS($B$5:C208)),COLUMNS($B$5:C208)),"")</f>
        <v/>
      </c>
      <c r="D208" s="142" t="str">
        <f t="array" ref="D208">IFERROR(INDEX(BD[],_xlfn.AGGREGATE(15,6,IF(BD[CLASIFICACIÓN]=$B$2,ROW(BD[CLASIFICACIÓN])-ROW('PT2 (FILTRAR)'!$E$5)+1,NA()),ROWS($B$5:D208)),COLUMNS($B$5:D208)),"")</f>
        <v/>
      </c>
      <c r="E208" s="126" t="str">
        <f t="array" ref="E208">IFERROR(INDEX(BD[],_xlfn.AGGREGATE(15,6,IF(BD[CLASIFICACIÓN]=$B$2,ROW(BD[CLASIFICACIÓN])-ROW('PT2 (FILTRAR)'!$E$5)+1,NA()),ROWS($B$5:E208)),COLUMNS($B$5:E208)),"")</f>
        <v/>
      </c>
    </row>
    <row r="209" spans="2:5" x14ac:dyDescent="0.3">
      <c r="B209" s="126" t="str">
        <f t="array" ref="B209">IFERROR(INDEX(BD[],_xlfn.AGGREGATE(15,6,IF(BD[CLASIFICACIÓN]=$B$2,ROW(BD[CLASIFICACIÓN])-ROW('PT2 (FILTRAR)'!$E$5)+1,NA()),ROWS($B$5:B209)),COLUMNS($B$5:B209)),"")</f>
        <v/>
      </c>
      <c r="C209" s="127" t="str">
        <f t="array" ref="C209">IFERROR(INDEX(BD[],_xlfn.AGGREGATE(15,6,IF(BD[CLASIFICACIÓN]=$B$2,ROW(BD[CLASIFICACIÓN])-ROW('PT2 (FILTRAR)'!$E$5)+1,NA()),ROWS($B$5:C209)),COLUMNS($B$5:C209)),"")</f>
        <v/>
      </c>
      <c r="D209" s="142" t="str">
        <f t="array" ref="D209">IFERROR(INDEX(BD[],_xlfn.AGGREGATE(15,6,IF(BD[CLASIFICACIÓN]=$B$2,ROW(BD[CLASIFICACIÓN])-ROW('PT2 (FILTRAR)'!$E$5)+1,NA()),ROWS($B$5:D209)),COLUMNS($B$5:D209)),"")</f>
        <v/>
      </c>
      <c r="E209" s="126" t="str">
        <f t="array" ref="E209">IFERROR(INDEX(BD[],_xlfn.AGGREGATE(15,6,IF(BD[CLASIFICACIÓN]=$B$2,ROW(BD[CLASIFICACIÓN])-ROW('PT2 (FILTRAR)'!$E$5)+1,NA()),ROWS($B$5:E209)),COLUMNS($B$5:E209)),"")</f>
        <v/>
      </c>
    </row>
    <row r="210" spans="2:5" x14ac:dyDescent="0.3">
      <c r="B210" s="126" t="str">
        <f t="array" ref="B210">IFERROR(INDEX(BD[],_xlfn.AGGREGATE(15,6,IF(BD[CLASIFICACIÓN]=$B$2,ROW(BD[CLASIFICACIÓN])-ROW('PT2 (FILTRAR)'!$E$5)+1,NA()),ROWS($B$5:B210)),COLUMNS($B$5:B210)),"")</f>
        <v/>
      </c>
      <c r="C210" s="127" t="str">
        <f t="array" ref="C210">IFERROR(INDEX(BD[],_xlfn.AGGREGATE(15,6,IF(BD[CLASIFICACIÓN]=$B$2,ROW(BD[CLASIFICACIÓN])-ROW('PT2 (FILTRAR)'!$E$5)+1,NA()),ROWS($B$5:C210)),COLUMNS($B$5:C210)),"")</f>
        <v/>
      </c>
      <c r="D210" s="142" t="str">
        <f t="array" ref="D210">IFERROR(INDEX(BD[],_xlfn.AGGREGATE(15,6,IF(BD[CLASIFICACIÓN]=$B$2,ROW(BD[CLASIFICACIÓN])-ROW('PT2 (FILTRAR)'!$E$5)+1,NA()),ROWS($B$5:D210)),COLUMNS($B$5:D210)),"")</f>
        <v/>
      </c>
      <c r="E210" s="126" t="str">
        <f t="array" ref="E210">IFERROR(INDEX(BD[],_xlfn.AGGREGATE(15,6,IF(BD[CLASIFICACIÓN]=$B$2,ROW(BD[CLASIFICACIÓN])-ROW('PT2 (FILTRAR)'!$E$5)+1,NA()),ROWS($B$5:E210)),COLUMNS($B$5:E210)),"")</f>
        <v/>
      </c>
    </row>
    <row r="211" spans="2:5" x14ac:dyDescent="0.3">
      <c r="B211" s="126" t="str">
        <f t="array" ref="B211">IFERROR(INDEX(BD[],_xlfn.AGGREGATE(15,6,IF(BD[CLASIFICACIÓN]=$B$2,ROW(BD[CLASIFICACIÓN])-ROW('PT2 (FILTRAR)'!$E$5)+1,NA()),ROWS($B$5:B211)),COLUMNS($B$5:B211)),"")</f>
        <v/>
      </c>
      <c r="C211" s="127" t="str">
        <f t="array" ref="C211">IFERROR(INDEX(BD[],_xlfn.AGGREGATE(15,6,IF(BD[CLASIFICACIÓN]=$B$2,ROW(BD[CLASIFICACIÓN])-ROW('PT2 (FILTRAR)'!$E$5)+1,NA()),ROWS($B$5:C211)),COLUMNS($B$5:C211)),"")</f>
        <v/>
      </c>
      <c r="D211" s="142" t="str">
        <f t="array" ref="D211">IFERROR(INDEX(BD[],_xlfn.AGGREGATE(15,6,IF(BD[CLASIFICACIÓN]=$B$2,ROW(BD[CLASIFICACIÓN])-ROW('PT2 (FILTRAR)'!$E$5)+1,NA()),ROWS($B$5:D211)),COLUMNS($B$5:D211)),"")</f>
        <v/>
      </c>
      <c r="E211" s="126" t="str">
        <f t="array" ref="E211">IFERROR(INDEX(BD[],_xlfn.AGGREGATE(15,6,IF(BD[CLASIFICACIÓN]=$B$2,ROW(BD[CLASIFICACIÓN])-ROW('PT2 (FILTRAR)'!$E$5)+1,NA()),ROWS($B$5:E211)),COLUMNS($B$5:E211)),"")</f>
        <v/>
      </c>
    </row>
    <row r="212" spans="2:5" x14ac:dyDescent="0.3">
      <c r="B212" s="126" t="str">
        <f t="array" ref="B212">IFERROR(INDEX(BD[],_xlfn.AGGREGATE(15,6,IF(BD[CLASIFICACIÓN]=$B$2,ROW(BD[CLASIFICACIÓN])-ROW('PT2 (FILTRAR)'!$E$5)+1,NA()),ROWS($B$5:B212)),COLUMNS($B$5:B212)),"")</f>
        <v/>
      </c>
      <c r="C212" s="127" t="str">
        <f t="array" ref="C212">IFERROR(INDEX(BD[],_xlfn.AGGREGATE(15,6,IF(BD[CLASIFICACIÓN]=$B$2,ROW(BD[CLASIFICACIÓN])-ROW('PT2 (FILTRAR)'!$E$5)+1,NA()),ROWS($B$5:C212)),COLUMNS($B$5:C212)),"")</f>
        <v/>
      </c>
      <c r="D212" s="142" t="str">
        <f t="array" ref="D212">IFERROR(INDEX(BD[],_xlfn.AGGREGATE(15,6,IF(BD[CLASIFICACIÓN]=$B$2,ROW(BD[CLASIFICACIÓN])-ROW('PT2 (FILTRAR)'!$E$5)+1,NA()),ROWS($B$5:D212)),COLUMNS($B$5:D212)),"")</f>
        <v/>
      </c>
      <c r="E212" s="126" t="str">
        <f t="array" ref="E212">IFERROR(INDEX(BD[],_xlfn.AGGREGATE(15,6,IF(BD[CLASIFICACIÓN]=$B$2,ROW(BD[CLASIFICACIÓN])-ROW('PT2 (FILTRAR)'!$E$5)+1,NA()),ROWS($B$5:E212)),COLUMNS($B$5:E212)),"")</f>
        <v/>
      </c>
    </row>
    <row r="213" spans="2:5" x14ac:dyDescent="0.3">
      <c r="B213" s="126" t="str">
        <f t="array" ref="B213">IFERROR(INDEX(BD[],_xlfn.AGGREGATE(15,6,IF(BD[CLASIFICACIÓN]=$B$2,ROW(BD[CLASIFICACIÓN])-ROW('PT2 (FILTRAR)'!$E$5)+1,NA()),ROWS($B$5:B213)),COLUMNS($B$5:B213)),"")</f>
        <v/>
      </c>
      <c r="C213" s="127" t="str">
        <f t="array" ref="C213">IFERROR(INDEX(BD[],_xlfn.AGGREGATE(15,6,IF(BD[CLASIFICACIÓN]=$B$2,ROW(BD[CLASIFICACIÓN])-ROW('PT2 (FILTRAR)'!$E$5)+1,NA()),ROWS($B$5:C213)),COLUMNS($B$5:C213)),"")</f>
        <v/>
      </c>
      <c r="D213" s="142" t="str">
        <f t="array" ref="D213">IFERROR(INDEX(BD[],_xlfn.AGGREGATE(15,6,IF(BD[CLASIFICACIÓN]=$B$2,ROW(BD[CLASIFICACIÓN])-ROW('PT2 (FILTRAR)'!$E$5)+1,NA()),ROWS($B$5:D213)),COLUMNS($B$5:D213)),"")</f>
        <v/>
      </c>
      <c r="E213" s="126" t="str">
        <f t="array" ref="E213">IFERROR(INDEX(BD[],_xlfn.AGGREGATE(15,6,IF(BD[CLASIFICACIÓN]=$B$2,ROW(BD[CLASIFICACIÓN])-ROW('PT2 (FILTRAR)'!$E$5)+1,NA()),ROWS($B$5:E213)),COLUMNS($B$5:E213)),"")</f>
        <v/>
      </c>
    </row>
    <row r="214" spans="2:5" x14ac:dyDescent="0.3">
      <c r="B214" s="126" t="str">
        <f t="array" ref="B214">IFERROR(INDEX(BD[],_xlfn.AGGREGATE(15,6,IF(BD[CLASIFICACIÓN]=$B$2,ROW(BD[CLASIFICACIÓN])-ROW('PT2 (FILTRAR)'!$E$5)+1,NA()),ROWS($B$5:B214)),COLUMNS($B$5:B214)),"")</f>
        <v/>
      </c>
      <c r="C214" s="127" t="str">
        <f t="array" ref="C214">IFERROR(INDEX(BD[],_xlfn.AGGREGATE(15,6,IF(BD[CLASIFICACIÓN]=$B$2,ROW(BD[CLASIFICACIÓN])-ROW('PT2 (FILTRAR)'!$E$5)+1,NA()),ROWS($B$5:C214)),COLUMNS($B$5:C214)),"")</f>
        <v/>
      </c>
      <c r="D214" s="142" t="str">
        <f t="array" ref="D214">IFERROR(INDEX(BD[],_xlfn.AGGREGATE(15,6,IF(BD[CLASIFICACIÓN]=$B$2,ROW(BD[CLASIFICACIÓN])-ROW('PT2 (FILTRAR)'!$E$5)+1,NA()),ROWS($B$5:D214)),COLUMNS($B$5:D214)),"")</f>
        <v/>
      </c>
      <c r="E214" s="126" t="str">
        <f t="array" ref="E214">IFERROR(INDEX(BD[],_xlfn.AGGREGATE(15,6,IF(BD[CLASIFICACIÓN]=$B$2,ROW(BD[CLASIFICACIÓN])-ROW('PT2 (FILTRAR)'!$E$5)+1,NA()),ROWS($B$5:E214)),COLUMNS($B$5:E214)),"")</f>
        <v/>
      </c>
    </row>
    <row r="215" spans="2:5" x14ac:dyDescent="0.3">
      <c r="B215" s="126" t="str">
        <f t="array" ref="B215">IFERROR(INDEX(BD[],_xlfn.AGGREGATE(15,6,IF(BD[CLASIFICACIÓN]=$B$2,ROW(BD[CLASIFICACIÓN])-ROW('PT2 (FILTRAR)'!$E$5)+1,NA()),ROWS($B$5:B215)),COLUMNS($B$5:B215)),"")</f>
        <v/>
      </c>
      <c r="C215" s="127" t="str">
        <f t="array" ref="C215">IFERROR(INDEX(BD[],_xlfn.AGGREGATE(15,6,IF(BD[CLASIFICACIÓN]=$B$2,ROW(BD[CLASIFICACIÓN])-ROW('PT2 (FILTRAR)'!$E$5)+1,NA()),ROWS($B$5:C215)),COLUMNS($B$5:C215)),"")</f>
        <v/>
      </c>
      <c r="D215" s="142" t="str">
        <f t="array" ref="D215">IFERROR(INDEX(BD[],_xlfn.AGGREGATE(15,6,IF(BD[CLASIFICACIÓN]=$B$2,ROW(BD[CLASIFICACIÓN])-ROW('PT2 (FILTRAR)'!$E$5)+1,NA()),ROWS($B$5:D215)),COLUMNS($B$5:D215)),"")</f>
        <v/>
      </c>
      <c r="E215" s="126" t="str">
        <f t="array" ref="E215">IFERROR(INDEX(BD[],_xlfn.AGGREGATE(15,6,IF(BD[CLASIFICACIÓN]=$B$2,ROW(BD[CLASIFICACIÓN])-ROW('PT2 (FILTRAR)'!$E$5)+1,NA()),ROWS($B$5:E215)),COLUMNS($B$5:E215)),"")</f>
        <v/>
      </c>
    </row>
    <row r="216" spans="2:5" x14ac:dyDescent="0.3">
      <c r="B216" s="126" t="str">
        <f t="array" ref="B216">IFERROR(INDEX(BD[],_xlfn.AGGREGATE(15,6,IF(BD[CLASIFICACIÓN]=$B$2,ROW(BD[CLASIFICACIÓN])-ROW('PT2 (FILTRAR)'!$E$5)+1,NA()),ROWS($B$5:B216)),COLUMNS($B$5:B216)),"")</f>
        <v/>
      </c>
      <c r="C216" s="127" t="str">
        <f t="array" ref="C216">IFERROR(INDEX(BD[],_xlfn.AGGREGATE(15,6,IF(BD[CLASIFICACIÓN]=$B$2,ROW(BD[CLASIFICACIÓN])-ROW('PT2 (FILTRAR)'!$E$5)+1,NA()),ROWS($B$5:C216)),COLUMNS($B$5:C216)),"")</f>
        <v/>
      </c>
      <c r="D216" s="142" t="str">
        <f t="array" ref="D216">IFERROR(INDEX(BD[],_xlfn.AGGREGATE(15,6,IF(BD[CLASIFICACIÓN]=$B$2,ROW(BD[CLASIFICACIÓN])-ROW('PT2 (FILTRAR)'!$E$5)+1,NA()),ROWS($B$5:D216)),COLUMNS($B$5:D216)),"")</f>
        <v/>
      </c>
      <c r="E216" s="126" t="str">
        <f t="array" ref="E216">IFERROR(INDEX(BD[],_xlfn.AGGREGATE(15,6,IF(BD[CLASIFICACIÓN]=$B$2,ROW(BD[CLASIFICACIÓN])-ROW('PT2 (FILTRAR)'!$E$5)+1,NA()),ROWS($B$5:E216)),COLUMNS($B$5:E216)),"")</f>
        <v/>
      </c>
    </row>
    <row r="217" spans="2:5" x14ac:dyDescent="0.3">
      <c r="B217" s="126" t="str">
        <f t="array" ref="B217">IFERROR(INDEX(BD[],_xlfn.AGGREGATE(15,6,IF(BD[CLASIFICACIÓN]=$B$2,ROW(BD[CLASIFICACIÓN])-ROW('PT2 (FILTRAR)'!$E$5)+1,NA()),ROWS($B$5:B217)),COLUMNS($B$5:B217)),"")</f>
        <v/>
      </c>
      <c r="C217" s="127" t="str">
        <f t="array" ref="C217">IFERROR(INDEX(BD[],_xlfn.AGGREGATE(15,6,IF(BD[CLASIFICACIÓN]=$B$2,ROW(BD[CLASIFICACIÓN])-ROW('PT2 (FILTRAR)'!$E$5)+1,NA()),ROWS($B$5:C217)),COLUMNS($B$5:C217)),"")</f>
        <v/>
      </c>
      <c r="D217" s="142" t="str">
        <f t="array" ref="D217">IFERROR(INDEX(BD[],_xlfn.AGGREGATE(15,6,IF(BD[CLASIFICACIÓN]=$B$2,ROW(BD[CLASIFICACIÓN])-ROW('PT2 (FILTRAR)'!$E$5)+1,NA()),ROWS($B$5:D217)),COLUMNS($B$5:D217)),"")</f>
        <v/>
      </c>
      <c r="E217" s="126" t="str">
        <f t="array" ref="E217">IFERROR(INDEX(BD[],_xlfn.AGGREGATE(15,6,IF(BD[CLASIFICACIÓN]=$B$2,ROW(BD[CLASIFICACIÓN])-ROW('PT2 (FILTRAR)'!$E$5)+1,NA()),ROWS($B$5:E217)),COLUMNS($B$5:E217)),"")</f>
        <v/>
      </c>
    </row>
    <row r="218" spans="2:5" x14ac:dyDescent="0.3">
      <c r="B218" s="126" t="str">
        <f t="array" ref="B218">IFERROR(INDEX(BD[],_xlfn.AGGREGATE(15,6,IF(BD[CLASIFICACIÓN]=$B$2,ROW(BD[CLASIFICACIÓN])-ROW('PT2 (FILTRAR)'!$E$5)+1,NA()),ROWS($B$5:B218)),COLUMNS($B$5:B218)),"")</f>
        <v/>
      </c>
      <c r="C218" s="127" t="str">
        <f t="array" ref="C218">IFERROR(INDEX(BD[],_xlfn.AGGREGATE(15,6,IF(BD[CLASIFICACIÓN]=$B$2,ROW(BD[CLASIFICACIÓN])-ROW('PT2 (FILTRAR)'!$E$5)+1,NA()),ROWS($B$5:C218)),COLUMNS($B$5:C218)),"")</f>
        <v/>
      </c>
      <c r="D218" s="142" t="str">
        <f t="array" ref="D218">IFERROR(INDEX(BD[],_xlfn.AGGREGATE(15,6,IF(BD[CLASIFICACIÓN]=$B$2,ROW(BD[CLASIFICACIÓN])-ROW('PT2 (FILTRAR)'!$E$5)+1,NA()),ROWS($B$5:D218)),COLUMNS($B$5:D218)),"")</f>
        <v/>
      </c>
      <c r="E218" s="126" t="str">
        <f t="array" ref="E218">IFERROR(INDEX(BD[],_xlfn.AGGREGATE(15,6,IF(BD[CLASIFICACIÓN]=$B$2,ROW(BD[CLASIFICACIÓN])-ROW('PT2 (FILTRAR)'!$E$5)+1,NA()),ROWS($B$5:E218)),COLUMNS($B$5:E218)),"")</f>
        <v/>
      </c>
    </row>
    <row r="219" spans="2:5" x14ac:dyDescent="0.3">
      <c r="B219" s="126" t="str">
        <f t="array" ref="B219">IFERROR(INDEX(BD[],_xlfn.AGGREGATE(15,6,IF(BD[CLASIFICACIÓN]=$B$2,ROW(BD[CLASIFICACIÓN])-ROW('PT2 (FILTRAR)'!$E$5)+1,NA()),ROWS($B$5:B219)),COLUMNS($B$5:B219)),"")</f>
        <v/>
      </c>
      <c r="C219" s="127" t="str">
        <f t="array" ref="C219">IFERROR(INDEX(BD[],_xlfn.AGGREGATE(15,6,IF(BD[CLASIFICACIÓN]=$B$2,ROW(BD[CLASIFICACIÓN])-ROW('PT2 (FILTRAR)'!$E$5)+1,NA()),ROWS($B$5:C219)),COLUMNS($B$5:C219)),"")</f>
        <v/>
      </c>
      <c r="D219" s="142" t="str">
        <f t="array" ref="D219">IFERROR(INDEX(BD[],_xlfn.AGGREGATE(15,6,IF(BD[CLASIFICACIÓN]=$B$2,ROW(BD[CLASIFICACIÓN])-ROW('PT2 (FILTRAR)'!$E$5)+1,NA()),ROWS($B$5:D219)),COLUMNS($B$5:D219)),"")</f>
        <v/>
      </c>
      <c r="E219" s="126" t="str">
        <f t="array" ref="E219">IFERROR(INDEX(BD[],_xlfn.AGGREGATE(15,6,IF(BD[CLASIFICACIÓN]=$B$2,ROW(BD[CLASIFICACIÓN])-ROW('PT2 (FILTRAR)'!$E$5)+1,NA()),ROWS($B$5:E219)),COLUMNS($B$5:E219)),"")</f>
        <v/>
      </c>
    </row>
    <row r="220" spans="2:5" x14ac:dyDescent="0.3">
      <c r="B220" s="126" t="str">
        <f t="array" ref="B220">IFERROR(INDEX(BD[],_xlfn.AGGREGATE(15,6,IF(BD[CLASIFICACIÓN]=$B$2,ROW(BD[CLASIFICACIÓN])-ROW('PT2 (FILTRAR)'!$E$5)+1,NA()),ROWS($B$5:B220)),COLUMNS($B$5:B220)),"")</f>
        <v/>
      </c>
      <c r="C220" s="127" t="str">
        <f t="array" ref="C220">IFERROR(INDEX(BD[],_xlfn.AGGREGATE(15,6,IF(BD[CLASIFICACIÓN]=$B$2,ROW(BD[CLASIFICACIÓN])-ROW('PT2 (FILTRAR)'!$E$5)+1,NA()),ROWS($B$5:C220)),COLUMNS($B$5:C220)),"")</f>
        <v/>
      </c>
      <c r="D220" s="142" t="str">
        <f t="array" ref="D220">IFERROR(INDEX(BD[],_xlfn.AGGREGATE(15,6,IF(BD[CLASIFICACIÓN]=$B$2,ROW(BD[CLASIFICACIÓN])-ROW('PT2 (FILTRAR)'!$E$5)+1,NA()),ROWS($B$5:D220)),COLUMNS($B$5:D220)),"")</f>
        <v/>
      </c>
      <c r="E220" s="126" t="str">
        <f t="array" ref="E220">IFERROR(INDEX(BD[],_xlfn.AGGREGATE(15,6,IF(BD[CLASIFICACIÓN]=$B$2,ROW(BD[CLASIFICACIÓN])-ROW('PT2 (FILTRAR)'!$E$5)+1,NA()),ROWS($B$5:E220)),COLUMNS($B$5:E220)),"")</f>
        <v/>
      </c>
    </row>
    <row r="221" spans="2:5" x14ac:dyDescent="0.3">
      <c r="B221" s="126" t="str">
        <f t="array" ref="B221">IFERROR(INDEX(BD[],_xlfn.AGGREGATE(15,6,IF(BD[CLASIFICACIÓN]=$B$2,ROW(BD[CLASIFICACIÓN])-ROW('PT2 (FILTRAR)'!$E$5)+1,NA()),ROWS($B$5:B221)),COLUMNS($B$5:B221)),"")</f>
        <v/>
      </c>
      <c r="C221" s="127" t="str">
        <f t="array" ref="C221">IFERROR(INDEX(BD[],_xlfn.AGGREGATE(15,6,IF(BD[CLASIFICACIÓN]=$B$2,ROW(BD[CLASIFICACIÓN])-ROW('PT2 (FILTRAR)'!$E$5)+1,NA()),ROWS($B$5:C221)),COLUMNS($B$5:C221)),"")</f>
        <v/>
      </c>
      <c r="D221" s="142" t="str">
        <f t="array" ref="D221">IFERROR(INDEX(BD[],_xlfn.AGGREGATE(15,6,IF(BD[CLASIFICACIÓN]=$B$2,ROW(BD[CLASIFICACIÓN])-ROW('PT2 (FILTRAR)'!$E$5)+1,NA()),ROWS($B$5:D221)),COLUMNS($B$5:D221)),"")</f>
        <v/>
      </c>
      <c r="E221" s="126" t="str">
        <f t="array" ref="E221">IFERROR(INDEX(BD[],_xlfn.AGGREGATE(15,6,IF(BD[CLASIFICACIÓN]=$B$2,ROW(BD[CLASIFICACIÓN])-ROW('PT2 (FILTRAR)'!$E$5)+1,NA()),ROWS($B$5:E221)),COLUMNS($B$5:E221)),"")</f>
        <v/>
      </c>
    </row>
    <row r="222" spans="2:5" x14ac:dyDescent="0.3">
      <c r="B222" s="126" t="str">
        <f t="array" ref="B222">IFERROR(INDEX(BD[],_xlfn.AGGREGATE(15,6,IF(BD[CLASIFICACIÓN]=$B$2,ROW(BD[CLASIFICACIÓN])-ROW('PT2 (FILTRAR)'!$E$5)+1,NA()),ROWS($B$5:B222)),COLUMNS($B$5:B222)),"")</f>
        <v/>
      </c>
      <c r="C222" s="127" t="str">
        <f t="array" ref="C222">IFERROR(INDEX(BD[],_xlfn.AGGREGATE(15,6,IF(BD[CLASIFICACIÓN]=$B$2,ROW(BD[CLASIFICACIÓN])-ROW('PT2 (FILTRAR)'!$E$5)+1,NA()),ROWS($B$5:C222)),COLUMNS($B$5:C222)),"")</f>
        <v/>
      </c>
      <c r="D222" s="142" t="str">
        <f t="array" ref="D222">IFERROR(INDEX(BD[],_xlfn.AGGREGATE(15,6,IF(BD[CLASIFICACIÓN]=$B$2,ROW(BD[CLASIFICACIÓN])-ROW('PT2 (FILTRAR)'!$E$5)+1,NA()),ROWS($B$5:D222)),COLUMNS($B$5:D222)),"")</f>
        <v/>
      </c>
      <c r="E222" s="126" t="str">
        <f t="array" ref="E222">IFERROR(INDEX(BD[],_xlfn.AGGREGATE(15,6,IF(BD[CLASIFICACIÓN]=$B$2,ROW(BD[CLASIFICACIÓN])-ROW('PT2 (FILTRAR)'!$E$5)+1,NA()),ROWS($B$5:E222)),COLUMNS($B$5:E222)),"")</f>
        <v/>
      </c>
    </row>
    <row r="223" spans="2:5" x14ac:dyDescent="0.3">
      <c r="B223" s="126" t="str">
        <f t="array" ref="B223">IFERROR(INDEX(BD[],_xlfn.AGGREGATE(15,6,IF(BD[CLASIFICACIÓN]=$B$2,ROW(BD[CLASIFICACIÓN])-ROW('PT2 (FILTRAR)'!$E$5)+1,NA()),ROWS($B$5:B223)),COLUMNS($B$5:B223)),"")</f>
        <v/>
      </c>
      <c r="C223" s="127" t="str">
        <f t="array" ref="C223">IFERROR(INDEX(BD[],_xlfn.AGGREGATE(15,6,IF(BD[CLASIFICACIÓN]=$B$2,ROW(BD[CLASIFICACIÓN])-ROW('PT2 (FILTRAR)'!$E$5)+1,NA()),ROWS($B$5:C223)),COLUMNS($B$5:C223)),"")</f>
        <v/>
      </c>
      <c r="D223" s="142" t="str">
        <f t="array" ref="D223">IFERROR(INDEX(BD[],_xlfn.AGGREGATE(15,6,IF(BD[CLASIFICACIÓN]=$B$2,ROW(BD[CLASIFICACIÓN])-ROW('PT2 (FILTRAR)'!$E$5)+1,NA()),ROWS($B$5:D223)),COLUMNS($B$5:D223)),"")</f>
        <v/>
      </c>
      <c r="E223" s="126" t="str">
        <f t="array" ref="E223">IFERROR(INDEX(BD[],_xlfn.AGGREGATE(15,6,IF(BD[CLASIFICACIÓN]=$B$2,ROW(BD[CLASIFICACIÓN])-ROW('PT2 (FILTRAR)'!$E$5)+1,NA()),ROWS($B$5:E223)),COLUMNS($B$5:E223)),"")</f>
        <v/>
      </c>
    </row>
    <row r="224" spans="2:5" x14ac:dyDescent="0.3">
      <c r="B224" s="126" t="str">
        <f t="array" ref="B224">IFERROR(INDEX(BD[],_xlfn.AGGREGATE(15,6,IF(BD[CLASIFICACIÓN]=$B$2,ROW(BD[CLASIFICACIÓN])-ROW('PT2 (FILTRAR)'!$E$5)+1,NA()),ROWS($B$5:B224)),COLUMNS($B$5:B224)),"")</f>
        <v/>
      </c>
      <c r="C224" s="127" t="str">
        <f t="array" ref="C224">IFERROR(INDEX(BD[],_xlfn.AGGREGATE(15,6,IF(BD[CLASIFICACIÓN]=$B$2,ROW(BD[CLASIFICACIÓN])-ROW('PT2 (FILTRAR)'!$E$5)+1,NA()),ROWS($B$5:C224)),COLUMNS($B$5:C224)),"")</f>
        <v/>
      </c>
      <c r="D224" s="142" t="str">
        <f t="array" ref="D224">IFERROR(INDEX(BD[],_xlfn.AGGREGATE(15,6,IF(BD[CLASIFICACIÓN]=$B$2,ROW(BD[CLASIFICACIÓN])-ROW('PT2 (FILTRAR)'!$E$5)+1,NA()),ROWS($B$5:D224)),COLUMNS($B$5:D224)),"")</f>
        <v/>
      </c>
      <c r="E224" s="126" t="str">
        <f t="array" ref="E224">IFERROR(INDEX(BD[],_xlfn.AGGREGATE(15,6,IF(BD[CLASIFICACIÓN]=$B$2,ROW(BD[CLASIFICACIÓN])-ROW('PT2 (FILTRAR)'!$E$5)+1,NA()),ROWS($B$5:E224)),COLUMNS($B$5:E224)),"")</f>
        <v/>
      </c>
    </row>
    <row r="225" spans="2:5" x14ac:dyDescent="0.3">
      <c r="B225" s="126" t="str">
        <f t="array" ref="B225">IFERROR(INDEX(BD[],_xlfn.AGGREGATE(15,6,IF(BD[CLASIFICACIÓN]=$B$2,ROW(BD[CLASIFICACIÓN])-ROW('PT2 (FILTRAR)'!$E$5)+1,NA()),ROWS($B$5:B225)),COLUMNS($B$5:B225)),"")</f>
        <v/>
      </c>
      <c r="C225" s="127" t="str">
        <f t="array" ref="C225">IFERROR(INDEX(BD[],_xlfn.AGGREGATE(15,6,IF(BD[CLASIFICACIÓN]=$B$2,ROW(BD[CLASIFICACIÓN])-ROW('PT2 (FILTRAR)'!$E$5)+1,NA()),ROWS($B$5:C225)),COLUMNS($B$5:C225)),"")</f>
        <v/>
      </c>
      <c r="D225" s="142" t="str">
        <f t="array" ref="D225">IFERROR(INDEX(BD[],_xlfn.AGGREGATE(15,6,IF(BD[CLASIFICACIÓN]=$B$2,ROW(BD[CLASIFICACIÓN])-ROW('PT2 (FILTRAR)'!$E$5)+1,NA()),ROWS($B$5:D225)),COLUMNS($B$5:D225)),"")</f>
        <v/>
      </c>
      <c r="E225" s="126" t="str">
        <f t="array" ref="E225">IFERROR(INDEX(BD[],_xlfn.AGGREGATE(15,6,IF(BD[CLASIFICACIÓN]=$B$2,ROW(BD[CLASIFICACIÓN])-ROW('PT2 (FILTRAR)'!$E$5)+1,NA()),ROWS($B$5:E225)),COLUMNS($B$5:E225)),"")</f>
        <v/>
      </c>
    </row>
    <row r="226" spans="2:5" x14ac:dyDescent="0.3">
      <c r="B226" s="126" t="str">
        <f t="array" ref="B226">IFERROR(INDEX(BD[],_xlfn.AGGREGATE(15,6,IF(BD[CLASIFICACIÓN]=$B$2,ROW(BD[CLASIFICACIÓN])-ROW('PT2 (FILTRAR)'!$E$5)+1,NA()),ROWS($B$5:B226)),COLUMNS($B$5:B226)),"")</f>
        <v/>
      </c>
      <c r="C226" s="127" t="str">
        <f t="array" ref="C226">IFERROR(INDEX(BD[],_xlfn.AGGREGATE(15,6,IF(BD[CLASIFICACIÓN]=$B$2,ROW(BD[CLASIFICACIÓN])-ROW('PT2 (FILTRAR)'!$E$5)+1,NA()),ROWS($B$5:C226)),COLUMNS($B$5:C226)),"")</f>
        <v/>
      </c>
      <c r="D226" s="142" t="str">
        <f t="array" ref="D226">IFERROR(INDEX(BD[],_xlfn.AGGREGATE(15,6,IF(BD[CLASIFICACIÓN]=$B$2,ROW(BD[CLASIFICACIÓN])-ROW('PT2 (FILTRAR)'!$E$5)+1,NA()),ROWS($B$5:D226)),COLUMNS($B$5:D226)),"")</f>
        <v/>
      </c>
      <c r="E226" s="126" t="str">
        <f t="array" ref="E226">IFERROR(INDEX(BD[],_xlfn.AGGREGATE(15,6,IF(BD[CLASIFICACIÓN]=$B$2,ROW(BD[CLASIFICACIÓN])-ROW('PT2 (FILTRAR)'!$E$5)+1,NA()),ROWS($B$5:E226)),COLUMNS($B$5:E226)),"")</f>
        <v/>
      </c>
    </row>
    <row r="227" spans="2:5" x14ac:dyDescent="0.3">
      <c r="B227" s="126" t="str">
        <f t="array" ref="B227">IFERROR(INDEX(BD[],_xlfn.AGGREGATE(15,6,IF(BD[CLASIFICACIÓN]=$B$2,ROW(BD[CLASIFICACIÓN])-ROW('PT2 (FILTRAR)'!$E$5)+1,NA()),ROWS($B$5:B227)),COLUMNS($B$5:B227)),"")</f>
        <v/>
      </c>
      <c r="C227" s="127" t="str">
        <f t="array" ref="C227">IFERROR(INDEX(BD[],_xlfn.AGGREGATE(15,6,IF(BD[CLASIFICACIÓN]=$B$2,ROW(BD[CLASIFICACIÓN])-ROW('PT2 (FILTRAR)'!$E$5)+1,NA()),ROWS($B$5:C227)),COLUMNS($B$5:C227)),"")</f>
        <v/>
      </c>
      <c r="D227" s="142" t="str">
        <f t="array" ref="D227">IFERROR(INDEX(BD[],_xlfn.AGGREGATE(15,6,IF(BD[CLASIFICACIÓN]=$B$2,ROW(BD[CLASIFICACIÓN])-ROW('PT2 (FILTRAR)'!$E$5)+1,NA()),ROWS($B$5:D227)),COLUMNS($B$5:D227)),"")</f>
        <v/>
      </c>
      <c r="E227" s="126" t="str">
        <f t="array" ref="E227">IFERROR(INDEX(BD[],_xlfn.AGGREGATE(15,6,IF(BD[CLASIFICACIÓN]=$B$2,ROW(BD[CLASIFICACIÓN])-ROW('PT2 (FILTRAR)'!$E$5)+1,NA()),ROWS($B$5:E227)),COLUMNS($B$5:E227)),"")</f>
        <v/>
      </c>
    </row>
    <row r="228" spans="2:5" x14ac:dyDescent="0.3">
      <c r="B228" s="126" t="str">
        <f t="array" ref="B228">IFERROR(INDEX(BD[],_xlfn.AGGREGATE(15,6,IF(BD[CLASIFICACIÓN]=$B$2,ROW(BD[CLASIFICACIÓN])-ROW('PT2 (FILTRAR)'!$E$5)+1,NA()),ROWS($B$5:B228)),COLUMNS($B$5:B228)),"")</f>
        <v/>
      </c>
      <c r="C228" s="127" t="str">
        <f t="array" ref="C228">IFERROR(INDEX(BD[],_xlfn.AGGREGATE(15,6,IF(BD[CLASIFICACIÓN]=$B$2,ROW(BD[CLASIFICACIÓN])-ROW('PT2 (FILTRAR)'!$E$5)+1,NA()),ROWS($B$5:C228)),COLUMNS($B$5:C228)),"")</f>
        <v/>
      </c>
      <c r="D228" s="142" t="str">
        <f t="array" ref="D228">IFERROR(INDEX(BD[],_xlfn.AGGREGATE(15,6,IF(BD[CLASIFICACIÓN]=$B$2,ROW(BD[CLASIFICACIÓN])-ROW('PT2 (FILTRAR)'!$E$5)+1,NA()),ROWS($B$5:D228)),COLUMNS($B$5:D228)),"")</f>
        <v/>
      </c>
      <c r="E228" s="126" t="str">
        <f t="array" ref="E228">IFERROR(INDEX(BD[],_xlfn.AGGREGATE(15,6,IF(BD[CLASIFICACIÓN]=$B$2,ROW(BD[CLASIFICACIÓN])-ROW('PT2 (FILTRAR)'!$E$5)+1,NA()),ROWS($B$5:E228)),COLUMNS($B$5:E228)),"")</f>
        <v/>
      </c>
    </row>
    <row r="229" spans="2:5" x14ac:dyDescent="0.3">
      <c r="B229" s="126" t="str">
        <f t="array" ref="B229">IFERROR(INDEX(BD[],_xlfn.AGGREGATE(15,6,IF(BD[CLASIFICACIÓN]=$B$2,ROW(BD[CLASIFICACIÓN])-ROW('PT2 (FILTRAR)'!$E$5)+1,NA()),ROWS($B$5:B229)),COLUMNS($B$5:B229)),"")</f>
        <v/>
      </c>
      <c r="C229" s="127" t="str">
        <f t="array" ref="C229">IFERROR(INDEX(BD[],_xlfn.AGGREGATE(15,6,IF(BD[CLASIFICACIÓN]=$B$2,ROW(BD[CLASIFICACIÓN])-ROW('PT2 (FILTRAR)'!$E$5)+1,NA()),ROWS($B$5:C229)),COLUMNS($B$5:C229)),"")</f>
        <v/>
      </c>
      <c r="D229" s="142" t="str">
        <f t="array" ref="D229">IFERROR(INDEX(BD[],_xlfn.AGGREGATE(15,6,IF(BD[CLASIFICACIÓN]=$B$2,ROW(BD[CLASIFICACIÓN])-ROW('PT2 (FILTRAR)'!$E$5)+1,NA()),ROWS($B$5:D229)),COLUMNS($B$5:D229)),"")</f>
        <v/>
      </c>
      <c r="E229" s="126" t="str">
        <f t="array" ref="E229">IFERROR(INDEX(BD[],_xlfn.AGGREGATE(15,6,IF(BD[CLASIFICACIÓN]=$B$2,ROW(BD[CLASIFICACIÓN])-ROW('PT2 (FILTRAR)'!$E$5)+1,NA()),ROWS($B$5:E229)),COLUMNS($B$5:E229)),"")</f>
        <v/>
      </c>
    </row>
    <row r="230" spans="2:5" x14ac:dyDescent="0.3">
      <c r="B230" s="126" t="str">
        <f t="array" ref="B230">IFERROR(INDEX(BD[],_xlfn.AGGREGATE(15,6,IF(BD[CLASIFICACIÓN]=$B$2,ROW(BD[CLASIFICACIÓN])-ROW('PT2 (FILTRAR)'!$E$5)+1,NA()),ROWS($B$5:B230)),COLUMNS($B$5:B230)),"")</f>
        <v/>
      </c>
      <c r="C230" s="127" t="str">
        <f t="array" ref="C230">IFERROR(INDEX(BD[],_xlfn.AGGREGATE(15,6,IF(BD[CLASIFICACIÓN]=$B$2,ROW(BD[CLASIFICACIÓN])-ROW('PT2 (FILTRAR)'!$E$5)+1,NA()),ROWS($B$5:C230)),COLUMNS($B$5:C230)),"")</f>
        <v/>
      </c>
      <c r="D230" s="142" t="str">
        <f t="array" ref="D230">IFERROR(INDEX(BD[],_xlfn.AGGREGATE(15,6,IF(BD[CLASIFICACIÓN]=$B$2,ROW(BD[CLASIFICACIÓN])-ROW('PT2 (FILTRAR)'!$E$5)+1,NA()),ROWS($B$5:D230)),COLUMNS($B$5:D230)),"")</f>
        <v/>
      </c>
      <c r="E230" s="126" t="str">
        <f t="array" ref="E230">IFERROR(INDEX(BD[],_xlfn.AGGREGATE(15,6,IF(BD[CLASIFICACIÓN]=$B$2,ROW(BD[CLASIFICACIÓN])-ROW('PT2 (FILTRAR)'!$E$5)+1,NA()),ROWS($B$5:E230)),COLUMNS($B$5:E230)),"")</f>
        <v/>
      </c>
    </row>
    <row r="231" spans="2:5" x14ac:dyDescent="0.3">
      <c r="B231" s="126" t="str">
        <f t="array" ref="B231">IFERROR(INDEX(BD[],_xlfn.AGGREGATE(15,6,IF(BD[CLASIFICACIÓN]=$B$2,ROW(BD[CLASIFICACIÓN])-ROW('PT2 (FILTRAR)'!$E$5)+1,NA()),ROWS($B$5:B231)),COLUMNS($B$5:B231)),"")</f>
        <v/>
      </c>
      <c r="C231" s="127" t="str">
        <f t="array" ref="C231">IFERROR(INDEX(BD[],_xlfn.AGGREGATE(15,6,IF(BD[CLASIFICACIÓN]=$B$2,ROW(BD[CLASIFICACIÓN])-ROW('PT2 (FILTRAR)'!$E$5)+1,NA()),ROWS($B$5:C231)),COLUMNS($B$5:C231)),"")</f>
        <v/>
      </c>
      <c r="D231" s="142" t="str">
        <f t="array" ref="D231">IFERROR(INDEX(BD[],_xlfn.AGGREGATE(15,6,IF(BD[CLASIFICACIÓN]=$B$2,ROW(BD[CLASIFICACIÓN])-ROW('PT2 (FILTRAR)'!$E$5)+1,NA()),ROWS($B$5:D231)),COLUMNS($B$5:D231)),"")</f>
        <v/>
      </c>
      <c r="E231" s="126" t="str">
        <f t="array" ref="E231">IFERROR(INDEX(BD[],_xlfn.AGGREGATE(15,6,IF(BD[CLASIFICACIÓN]=$B$2,ROW(BD[CLASIFICACIÓN])-ROW('PT2 (FILTRAR)'!$E$5)+1,NA()),ROWS($B$5:E231)),COLUMNS($B$5:E231)),"")</f>
        <v/>
      </c>
    </row>
    <row r="232" spans="2:5" x14ac:dyDescent="0.3">
      <c r="B232" s="126" t="str">
        <f t="array" ref="B232">IFERROR(INDEX(BD[],_xlfn.AGGREGATE(15,6,IF(BD[CLASIFICACIÓN]=$B$2,ROW(BD[CLASIFICACIÓN])-ROW('PT2 (FILTRAR)'!$E$5)+1,NA()),ROWS($B$5:B232)),COLUMNS($B$5:B232)),"")</f>
        <v/>
      </c>
      <c r="C232" s="127" t="str">
        <f t="array" ref="C232">IFERROR(INDEX(BD[],_xlfn.AGGREGATE(15,6,IF(BD[CLASIFICACIÓN]=$B$2,ROW(BD[CLASIFICACIÓN])-ROW('PT2 (FILTRAR)'!$E$5)+1,NA()),ROWS($B$5:C232)),COLUMNS($B$5:C232)),"")</f>
        <v/>
      </c>
      <c r="D232" s="142" t="str">
        <f t="array" ref="D232">IFERROR(INDEX(BD[],_xlfn.AGGREGATE(15,6,IF(BD[CLASIFICACIÓN]=$B$2,ROW(BD[CLASIFICACIÓN])-ROW('PT2 (FILTRAR)'!$E$5)+1,NA()),ROWS($B$5:D232)),COLUMNS($B$5:D232)),"")</f>
        <v/>
      </c>
      <c r="E232" s="126" t="str">
        <f t="array" ref="E232">IFERROR(INDEX(BD[],_xlfn.AGGREGATE(15,6,IF(BD[CLASIFICACIÓN]=$B$2,ROW(BD[CLASIFICACIÓN])-ROW('PT2 (FILTRAR)'!$E$5)+1,NA()),ROWS($B$5:E232)),COLUMNS($B$5:E232)),"")</f>
        <v/>
      </c>
    </row>
    <row r="233" spans="2:5" x14ac:dyDescent="0.3">
      <c r="B233" s="126" t="str">
        <f t="array" ref="B233">IFERROR(INDEX(BD[],_xlfn.AGGREGATE(15,6,IF(BD[CLASIFICACIÓN]=$B$2,ROW(BD[CLASIFICACIÓN])-ROW('PT2 (FILTRAR)'!$E$5)+1,NA()),ROWS($B$5:B233)),COLUMNS($B$5:B233)),"")</f>
        <v/>
      </c>
      <c r="C233" s="127" t="str">
        <f t="array" ref="C233">IFERROR(INDEX(BD[],_xlfn.AGGREGATE(15,6,IF(BD[CLASIFICACIÓN]=$B$2,ROW(BD[CLASIFICACIÓN])-ROW('PT2 (FILTRAR)'!$E$5)+1,NA()),ROWS($B$5:C233)),COLUMNS($B$5:C233)),"")</f>
        <v/>
      </c>
      <c r="D233" s="142" t="str">
        <f t="array" ref="D233">IFERROR(INDEX(BD[],_xlfn.AGGREGATE(15,6,IF(BD[CLASIFICACIÓN]=$B$2,ROW(BD[CLASIFICACIÓN])-ROW('PT2 (FILTRAR)'!$E$5)+1,NA()),ROWS($B$5:D233)),COLUMNS($B$5:D233)),"")</f>
        <v/>
      </c>
      <c r="E233" s="126" t="str">
        <f t="array" ref="E233">IFERROR(INDEX(BD[],_xlfn.AGGREGATE(15,6,IF(BD[CLASIFICACIÓN]=$B$2,ROW(BD[CLASIFICACIÓN])-ROW('PT2 (FILTRAR)'!$E$5)+1,NA()),ROWS($B$5:E233)),COLUMNS($B$5:E233)),"")</f>
        <v/>
      </c>
    </row>
    <row r="234" spans="2:5" x14ac:dyDescent="0.3">
      <c r="B234" s="126" t="str">
        <f t="array" ref="B234">IFERROR(INDEX(BD[],_xlfn.AGGREGATE(15,6,IF(BD[CLASIFICACIÓN]=$B$2,ROW(BD[CLASIFICACIÓN])-ROW('PT2 (FILTRAR)'!$E$5)+1,NA()),ROWS($B$5:B234)),COLUMNS($B$5:B234)),"")</f>
        <v/>
      </c>
      <c r="C234" s="127" t="str">
        <f t="array" ref="C234">IFERROR(INDEX(BD[],_xlfn.AGGREGATE(15,6,IF(BD[CLASIFICACIÓN]=$B$2,ROW(BD[CLASIFICACIÓN])-ROW('PT2 (FILTRAR)'!$E$5)+1,NA()),ROWS($B$5:C234)),COLUMNS($B$5:C234)),"")</f>
        <v/>
      </c>
      <c r="D234" s="142" t="str">
        <f t="array" ref="D234">IFERROR(INDEX(BD[],_xlfn.AGGREGATE(15,6,IF(BD[CLASIFICACIÓN]=$B$2,ROW(BD[CLASIFICACIÓN])-ROW('PT2 (FILTRAR)'!$E$5)+1,NA()),ROWS($B$5:D234)),COLUMNS($B$5:D234)),"")</f>
        <v/>
      </c>
      <c r="E234" s="126" t="str">
        <f t="array" ref="E234">IFERROR(INDEX(BD[],_xlfn.AGGREGATE(15,6,IF(BD[CLASIFICACIÓN]=$B$2,ROW(BD[CLASIFICACIÓN])-ROW('PT2 (FILTRAR)'!$E$5)+1,NA()),ROWS($B$5:E234)),COLUMNS($B$5:E234)),"")</f>
        <v/>
      </c>
    </row>
    <row r="235" spans="2:5" x14ac:dyDescent="0.3">
      <c r="B235" s="126" t="str">
        <f t="array" ref="B235">IFERROR(INDEX(BD[],_xlfn.AGGREGATE(15,6,IF(BD[CLASIFICACIÓN]=$B$2,ROW(BD[CLASIFICACIÓN])-ROW('PT2 (FILTRAR)'!$E$5)+1,NA()),ROWS($B$5:B235)),COLUMNS($B$5:B235)),"")</f>
        <v/>
      </c>
      <c r="C235" s="127" t="str">
        <f t="array" ref="C235">IFERROR(INDEX(BD[],_xlfn.AGGREGATE(15,6,IF(BD[CLASIFICACIÓN]=$B$2,ROW(BD[CLASIFICACIÓN])-ROW('PT2 (FILTRAR)'!$E$5)+1,NA()),ROWS($B$5:C235)),COLUMNS($B$5:C235)),"")</f>
        <v/>
      </c>
      <c r="D235" s="142" t="str">
        <f t="array" ref="D235">IFERROR(INDEX(BD[],_xlfn.AGGREGATE(15,6,IF(BD[CLASIFICACIÓN]=$B$2,ROW(BD[CLASIFICACIÓN])-ROW('PT2 (FILTRAR)'!$E$5)+1,NA()),ROWS($B$5:D235)),COLUMNS($B$5:D235)),"")</f>
        <v/>
      </c>
      <c r="E235" s="126" t="str">
        <f t="array" ref="E235">IFERROR(INDEX(BD[],_xlfn.AGGREGATE(15,6,IF(BD[CLASIFICACIÓN]=$B$2,ROW(BD[CLASIFICACIÓN])-ROW('PT2 (FILTRAR)'!$E$5)+1,NA()),ROWS($B$5:E235)),COLUMNS($B$5:E235)),"")</f>
        <v/>
      </c>
    </row>
    <row r="236" spans="2:5" x14ac:dyDescent="0.3">
      <c r="B236" s="126" t="str">
        <f t="array" ref="B236">IFERROR(INDEX(BD[],_xlfn.AGGREGATE(15,6,IF(BD[CLASIFICACIÓN]=$B$2,ROW(BD[CLASIFICACIÓN])-ROW('PT2 (FILTRAR)'!$E$5)+1,NA()),ROWS($B$5:B236)),COLUMNS($B$5:B236)),"")</f>
        <v/>
      </c>
      <c r="C236" s="127" t="str">
        <f t="array" ref="C236">IFERROR(INDEX(BD[],_xlfn.AGGREGATE(15,6,IF(BD[CLASIFICACIÓN]=$B$2,ROW(BD[CLASIFICACIÓN])-ROW('PT2 (FILTRAR)'!$E$5)+1,NA()),ROWS($B$5:C236)),COLUMNS($B$5:C236)),"")</f>
        <v/>
      </c>
      <c r="D236" s="142" t="str">
        <f t="array" ref="D236">IFERROR(INDEX(BD[],_xlfn.AGGREGATE(15,6,IF(BD[CLASIFICACIÓN]=$B$2,ROW(BD[CLASIFICACIÓN])-ROW('PT2 (FILTRAR)'!$E$5)+1,NA()),ROWS($B$5:D236)),COLUMNS($B$5:D236)),"")</f>
        <v/>
      </c>
      <c r="E236" s="126" t="str">
        <f t="array" ref="E236">IFERROR(INDEX(BD[],_xlfn.AGGREGATE(15,6,IF(BD[CLASIFICACIÓN]=$B$2,ROW(BD[CLASIFICACIÓN])-ROW('PT2 (FILTRAR)'!$E$5)+1,NA()),ROWS($B$5:E236)),COLUMNS($B$5:E236)),"")</f>
        <v/>
      </c>
    </row>
    <row r="237" spans="2:5" x14ac:dyDescent="0.3">
      <c r="B237" s="126" t="str">
        <f t="array" ref="B237">IFERROR(INDEX(BD[],_xlfn.AGGREGATE(15,6,IF(BD[CLASIFICACIÓN]=$B$2,ROW(BD[CLASIFICACIÓN])-ROW('PT2 (FILTRAR)'!$E$5)+1,NA()),ROWS($B$5:B237)),COLUMNS($B$5:B237)),"")</f>
        <v/>
      </c>
      <c r="C237" s="127" t="str">
        <f t="array" ref="C237">IFERROR(INDEX(BD[],_xlfn.AGGREGATE(15,6,IF(BD[CLASIFICACIÓN]=$B$2,ROW(BD[CLASIFICACIÓN])-ROW('PT2 (FILTRAR)'!$E$5)+1,NA()),ROWS($B$5:C237)),COLUMNS($B$5:C237)),"")</f>
        <v/>
      </c>
      <c r="D237" s="142" t="str">
        <f t="array" ref="D237">IFERROR(INDEX(BD[],_xlfn.AGGREGATE(15,6,IF(BD[CLASIFICACIÓN]=$B$2,ROW(BD[CLASIFICACIÓN])-ROW('PT2 (FILTRAR)'!$E$5)+1,NA()),ROWS($B$5:D237)),COLUMNS($B$5:D237)),"")</f>
        <v/>
      </c>
      <c r="E237" s="126" t="str">
        <f t="array" ref="E237">IFERROR(INDEX(BD[],_xlfn.AGGREGATE(15,6,IF(BD[CLASIFICACIÓN]=$B$2,ROW(BD[CLASIFICACIÓN])-ROW('PT2 (FILTRAR)'!$E$5)+1,NA()),ROWS($B$5:E237)),COLUMNS($B$5:E237)),"")</f>
        <v/>
      </c>
    </row>
    <row r="238" spans="2:5" x14ac:dyDescent="0.3">
      <c r="B238" s="126" t="str">
        <f t="array" ref="B238">IFERROR(INDEX(BD[],_xlfn.AGGREGATE(15,6,IF(BD[CLASIFICACIÓN]=$B$2,ROW(BD[CLASIFICACIÓN])-ROW('PT2 (FILTRAR)'!$E$5)+1,NA()),ROWS($B$5:B238)),COLUMNS($B$5:B238)),"")</f>
        <v/>
      </c>
      <c r="C238" s="127" t="str">
        <f t="array" ref="C238">IFERROR(INDEX(BD[],_xlfn.AGGREGATE(15,6,IF(BD[CLASIFICACIÓN]=$B$2,ROW(BD[CLASIFICACIÓN])-ROW('PT2 (FILTRAR)'!$E$5)+1,NA()),ROWS($B$5:C238)),COLUMNS($B$5:C238)),"")</f>
        <v/>
      </c>
      <c r="D238" s="142" t="str">
        <f t="array" ref="D238">IFERROR(INDEX(BD[],_xlfn.AGGREGATE(15,6,IF(BD[CLASIFICACIÓN]=$B$2,ROW(BD[CLASIFICACIÓN])-ROW('PT2 (FILTRAR)'!$E$5)+1,NA()),ROWS($B$5:D238)),COLUMNS($B$5:D238)),"")</f>
        <v/>
      </c>
      <c r="E238" s="126" t="str">
        <f t="array" ref="E238">IFERROR(INDEX(BD[],_xlfn.AGGREGATE(15,6,IF(BD[CLASIFICACIÓN]=$B$2,ROW(BD[CLASIFICACIÓN])-ROW('PT2 (FILTRAR)'!$E$5)+1,NA()),ROWS($B$5:E238)),COLUMNS($B$5:E238)),"")</f>
        <v/>
      </c>
    </row>
    <row r="239" spans="2:5" x14ac:dyDescent="0.3">
      <c r="B239" s="126" t="str">
        <f t="array" ref="B239">IFERROR(INDEX(BD[],_xlfn.AGGREGATE(15,6,IF(BD[CLASIFICACIÓN]=$B$2,ROW(BD[CLASIFICACIÓN])-ROW('PT2 (FILTRAR)'!$E$5)+1,NA()),ROWS($B$5:B239)),COLUMNS($B$5:B239)),"")</f>
        <v/>
      </c>
      <c r="C239" s="127" t="str">
        <f t="array" ref="C239">IFERROR(INDEX(BD[],_xlfn.AGGREGATE(15,6,IF(BD[CLASIFICACIÓN]=$B$2,ROW(BD[CLASIFICACIÓN])-ROW('PT2 (FILTRAR)'!$E$5)+1,NA()),ROWS($B$5:C239)),COLUMNS($B$5:C239)),"")</f>
        <v/>
      </c>
      <c r="D239" s="142" t="str">
        <f t="array" ref="D239">IFERROR(INDEX(BD[],_xlfn.AGGREGATE(15,6,IF(BD[CLASIFICACIÓN]=$B$2,ROW(BD[CLASIFICACIÓN])-ROW('PT2 (FILTRAR)'!$E$5)+1,NA()),ROWS($B$5:D239)),COLUMNS($B$5:D239)),"")</f>
        <v/>
      </c>
      <c r="E239" s="126" t="str">
        <f t="array" ref="E239">IFERROR(INDEX(BD[],_xlfn.AGGREGATE(15,6,IF(BD[CLASIFICACIÓN]=$B$2,ROW(BD[CLASIFICACIÓN])-ROW('PT2 (FILTRAR)'!$E$5)+1,NA()),ROWS($B$5:E239)),COLUMNS($B$5:E239)),"")</f>
        <v/>
      </c>
    </row>
    <row r="240" spans="2:5" x14ac:dyDescent="0.3">
      <c r="B240" s="126" t="str">
        <f t="array" ref="B240">IFERROR(INDEX(BD[],_xlfn.AGGREGATE(15,6,IF(BD[CLASIFICACIÓN]=$B$2,ROW(BD[CLASIFICACIÓN])-ROW('PT2 (FILTRAR)'!$E$5)+1,NA()),ROWS($B$5:B240)),COLUMNS($B$5:B240)),"")</f>
        <v/>
      </c>
      <c r="C240" s="127" t="str">
        <f t="array" ref="C240">IFERROR(INDEX(BD[],_xlfn.AGGREGATE(15,6,IF(BD[CLASIFICACIÓN]=$B$2,ROW(BD[CLASIFICACIÓN])-ROW('PT2 (FILTRAR)'!$E$5)+1,NA()),ROWS($B$5:C240)),COLUMNS($B$5:C240)),"")</f>
        <v/>
      </c>
      <c r="D240" s="142" t="str">
        <f t="array" ref="D240">IFERROR(INDEX(BD[],_xlfn.AGGREGATE(15,6,IF(BD[CLASIFICACIÓN]=$B$2,ROW(BD[CLASIFICACIÓN])-ROW('PT2 (FILTRAR)'!$E$5)+1,NA()),ROWS($B$5:D240)),COLUMNS($B$5:D240)),"")</f>
        <v/>
      </c>
      <c r="E240" s="126" t="str">
        <f t="array" ref="E240">IFERROR(INDEX(BD[],_xlfn.AGGREGATE(15,6,IF(BD[CLASIFICACIÓN]=$B$2,ROW(BD[CLASIFICACIÓN])-ROW('PT2 (FILTRAR)'!$E$5)+1,NA()),ROWS($B$5:E240)),COLUMNS($B$5:E240)),"")</f>
        <v/>
      </c>
    </row>
    <row r="241" spans="2:5" x14ac:dyDescent="0.3">
      <c r="B241" s="126" t="str">
        <f t="array" ref="B241">IFERROR(INDEX(BD[],_xlfn.AGGREGATE(15,6,IF(BD[CLASIFICACIÓN]=$B$2,ROW(BD[CLASIFICACIÓN])-ROW('PT2 (FILTRAR)'!$E$5)+1,NA()),ROWS($B$5:B241)),COLUMNS($B$5:B241)),"")</f>
        <v/>
      </c>
      <c r="C241" s="127" t="str">
        <f t="array" ref="C241">IFERROR(INDEX(BD[],_xlfn.AGGREGATE(15,6,IF(BD[CLASIFICACIÓN]=$B$2,ROW(BD[CLASIFICACIÓN])-ROW('PT2 (FILTRAR)'!$E$5)+1,NA()),ROWS($B$5:C241)),COLUMNS($B$5:C241)),"")</f>
        <v/>
      </c>
      <c r="D241" s="142" t="str">
        <f t="array" ref="D241">IFERROR(INDEX(BD[],_xlfn.AGGREGATE(15,6,IF(BD[CLASIFICACIÓN]=$B$2,ROW(BD[CLASIFICACIÓN])-ROW('PT2 (FILTRAR)'!$E$5)+1,NA()),ROWS($B$5:D241)),COLUMNS($B$5:D241)),"")</f>
        <v/>
      </c>
      <c r="E241" s="126" t="str">
        <f t="array" ref="E241">IFERROR(INDEX(BD[],_xlfn.AGGREGATE(15,6,IF(BD[CLASIFICACIÓN]=$B$2,ROW(BD[CLASIFICACIÓN])-ROW('PT2 (FILTRAR)'!$E$5)+1,NA()),ROWS($B$5:E241)),COLUMNS($B$5:E241)),"")</f>
        <v/>
      </c>
    </row>
    <row r="242" spans="2:5" x14ac:dyDescent="0.3">
      <c r="B242" s="126" t="str">
        <f t="array" ref="B242">IFERROR(INDEX(BD[],_xlfn.AGGREGATE(15,6,IF(BD[CLASIFICACIÓN]=$B$2,ROW(BD[CLASIFICACIÓN])-ROW('PT2 (FILTRAR)'!$E$5)+1,NA()),ROWS($B$5:B242)),COLUMNS($B$5:B242)),"")</f>
        <v/>
      </c>
      <c r="C242" s="127" t="str">
        <f t="array" ref="C242">IFERROR(INDEX(BD[],_xlfn.AGGREGATE(15,6,IF(BD[CLASIFICACIÓN]=$B$2,ROW(BD[CLASIFICACIÓN])-ROW('PT2 (FILTRAR)'!$E$5)+1,NA()),ROWS($B$5:C242)),COLUMNS($B$5:C242)),"")</f>
        <v/>
      </c>
      <c r="D242" s="142" t="str">
        <f t="array" ref="D242">IFERROR(INDEX(BD[],_xlfn.AGGREGATE(15,6,IF(BD[CLASIFICACIÓN]=$B$2,ROW(BD[CLASIFICACIÓN])-ROW('PT2 (FILTRAR)'!$E$5)+1,NA()),ROWS($B$5:D242)),COLUMNS($B$5:D242)),"")</f>
        <v/>
      </c>
      <c r="E242" s="126" t="str">
        <f t="array" ref="E242">IFERROR(INDEX(BD[],_xlfn.AGGREGATE(15,6,IF(BD[CLASIFICACIÓN]=$B$2,ROW(BD[CLASIFICACIÓN])-ROW('PT2 (FILTRAR)'!$E$5)+1,NA()),ROWS($B$5:E242)),COLUMNS($B$5:E242)),"")</f>
        <v/>
      </c>
    </row>
    <row r="243" spans="2:5" x14ac:dyDescent="0.3">
      <c r="B243" s="126" t="str">
        <f t="array" ref="B243">IFERROR(INDEX(BD[],_xlfn.AGGREGATE(15,6,IF(BD[CLASIFICACIÓN]=$B$2,ROW(BD[CLASIFICACIÓN])-ROW('PT2 (FILTRAR)'!$E$5)+1,NA()),ROWS($B$5:B243)),COLUMNS($B$5:B243)),"")</f>
        <v/>
      </c>
      <c r="C243" s="127" t="str">
        <f t="array" ref="C243">IFERROR(INDEX(BD[],_xlfn.AGGREGATE(15,6,IF(BD[CLASIFICACIÓN]=$B$2,ROW(BD[CLASIFICACIÓN])-ROW('PT2 (FILTRAR)'!$E$5)+1,NA()),ROWS($B$5:C243)),COLUMNS($B$5:C243)),"")</f>
        <v/>
      </c>
      <c r="D243" s="142" t="str">
        <f t="array" ref="D243">IFERROR(INDEX(BD[],_xlfn.AGGREGATE(15,6,IF(BD[CLASIFICACIÓN]=$B$2,ROW(BD[CLASIFICACIÓN])-ROW('PT2 (FILTRAR)'!$E$5)+1,NA()),ROWS($B$5:D243)),COLUMNS($B$5:D243)),"")</f>
        <v/>
      </c>
      <c r="E243" s="126" t="str">
        <f t="array" ref="E243">IFERROR(INDEX(BD[],_xlfn.AGGREGATE(15,6,IF(BD[CLASIFICACIÓN]=$B$2,ROW(BD[CLASIFICACIÓN])-ROW('PT2 (FILTRAR)'!$E$5)+1,NA()),ROWS($B$5:E243)),COLUMNS($B$5:E243)),"")</f>
        <v/>
      </c>
    </row>
    <row r="244" spans="2:5" x14ac:dyDescent="0.3">
      <c r="B244" s="126" t="str">
        <f t="array" ref="B244">IFERROR(INDEX(BD[],_xlfn.AGGREGATE(15,6,IF(BD[CLASIFICACIÓN]=$B$2,ROW(BD[CLASIFICACIÓN])-ROW('PT2 (FILTRAR)'!$E$5)+1,NA()),ROWS($B$5:B244)),COLUMNS($B$5:B244)),"")</f>
        <v/>
      </c>
      <c r="C244" s="127" t="str">
        <f t="array" ref="C244">IFERROR(INDEX(BD[],_xlfn.AGGREGATE(15,6,IF(BD[CLASIFICACIÓN]=$B$2,ROW(BD[CLASIFICACIÓN])-ROW('PT2 (FILTRAR)'!$E$5)+1,NA()),ROWS($B$5:C244)),COLUMNS($B$5:C244)),"")</f>
        <v/>
      </c>
      <c r="D244" s="142" t="str">
        <f t="array" ref="D244">IFERROR(INDEX(BD[],_xlfn.AGGREGATE(15,6,IF(BD[CLASIFICACIÓN]=$B$2,ROW(BD[CLASIFICACIÓN])-ROW('PT2 (FILTRAR)'!$E$5)+1,NA()),ROWS($B$5:D244)),COLUMNS($B$5:D244)),"")</f>
        <v/>
      </c>
      <c r="E244" s="126" t="str">
        <f t="array" ref="E244">IFERROR(INDEX(BD[],_xlfn.AGGREGATE(15,6,IF(BD[CLASIFICACIÓN]=$B$2,ROW(BD[CLASIFICACIÓN])-ROW('PT2 (FILTRAR)'!$E$5)+1,NA()),ROWS($B$5:E244)),COLUMNS($B$5:E244)),"")</f>
        <v/>
      </c>
    </row>
    <row r="245" spans="2:5" x14ac:dyDescent="0.3">
      <c r="B245" s="126" t="str">
        <f t="array" ref="B245">IFERROR(INDEX(BD[],_xlfn.AGGREGATE(15,6,IF(BD[CLASIFICACIÓN]=$B$2,ROW(BD[CLASIFICACIÓN])-ROW('PT2 (FILTRAR)'!$E$5)+1,NA()),ROWS($B$5:B245)),COLUMNS($B$5:B245)),"")</f>
        <v/>
      </c>
      <c r="C245" s="127" t="str">
        <f t="array" ref="C245">IFERROR(INDEX(BD[],_xlfn.AGGREGATE(15,6,IF(BD[CLASIFICACIÓN]=$B$2,ROW(BD[CLASIFICACIÓN])-ROW('PT2 (FILTRAR)'!$E$5)+1,NA()),ROWS($B$5:C245)),COLUMNS($B$5:C245)),"")</f>
        <v/>
      </c>
      <c r="D245" s="142" t="str">
        <f t="array" ref="D245">IFERROR(INDEX(BD[],_xlfn.AGGREGATE(15,6,IF(BD[CLASIFICACIÓN]=$B$2,ROW(BD[CLASIFICACIÓN])-ROW('PT2 (FILTRAR)'!$E$5)+1,NA()),ROWS($B$5:D245)),COLUMNS($B$5:D245)),"")</f>
        <v/>
      </c>
      <c r="E245" s="126" t="str">
        <f t="array" ref="E245">IFERROR(INDEX(BD[],_xlfn.AGGREGATE(15,6,IF(BD[CLASIFICACIÓN]=$B$2,ROW(BD[CLASIFICACIÓN])-ROW('PT2 (FILTRAR)'!$E$5)+1,NA()),ROWS($B$5:E245)),COLUMNS($B$5:E245)),"")</f>
        <v/>
      </c>
    </row>
    <row r="246" spans="2:5" x14ac:dyDescent="0.3">
      <c r="B246" s="126" t="str">
        <f t="array" ref="B246">IFERROR(INDEX(BD[],_xlfn.AGGREGATE(15,6,IF(BD[CLASIFICACIÓN]=$B$2,ROW(BD[CLASIFICACIÓN])-ROW('PT2 (FILTRAR)'!$E$5)+1,NA()),ROWS($B$5:B246)),COLUMNS($B$5:B246)),"")</f>
        <v/>
      </c>
      <c r="C246" s="127" t="str">
        <f t="array" ref="C246">IFERROR(INDEX(BD[],_xlfn.AGGREGATE(15,6,IF(BD[CLASIFICACIÓN]=$B$2,ROW(BD[CLASIFICACIÓN])-ROW('PT2 (FILTRAR)'!$E$5)+1,NA()),ROWS($B$5:C246)),COLUMNS($B$5:C246)),"")</f>
        <v/>
      </c>
      <c r="D246" s="142" t="str">
        <f t="array" ref="D246">IFERROR(INDEX(BD[],_xlfn.AGGREGATE(15,6,IF(BD[CLASIFICACIÓN]=$B$2,ROW(BD[CLASIFICACIÓN])-ROW('PT2 (FILTRAR)'!$E$5)+1,NA()),ROWS($B$5:D246)),COLUMNS($B$5:D246)),"")</f>
        <v/>
      </c>
      <c r="E246" s="126" t="str">
        <f t="array" ref="E246">IFERROR(INDEX(BD[],_xlfn.AGGREGATE(15,6,IF(BD[CLASIFICACIÓN]=$B$2,ROW(BD[CLASIFICACIÓN])-ROW('PT2 (FILTRAR)'!$E$5)+1,NA()),ROWS($B$5:E246)),COLUMNS($B$5:E246)),"")</f>
        <v/>
      </c>
    </row>
    <row r="247" spans="2:5" x14ac:dyDescent="0.3">
      <c r="B247" s="126" t="str">
        <f t="array" ref="B247">IFERROR(INDEX(BD[],_xlfn.AGGREGATE(15,6,IF(BD[CLASIFICACIÓN]=$B$2,ROW(BD[CLASIFICACIÓN])-ROW('PT2 (FILTRAR)'!$E$5)+1,NA()),ROWS($B$5:B247)),COLUMNS($B$5:B247)),"")</f>
        <v/>
      </c>
      <c r="C247" s="127" t="str">
        <f t="array" ref="C247">IFERROR(INDEX(BD[],_xlfn.AGGREGATE(15,6,IF(BD[CLASIFICACIÓN]=$B$2,ROW(BD[CLASIFICACIÓN])-ROW('PT2 (FILTRAR)'!$E$5)+1,NA()),ROWS($B$5:C247)),COLUMNS($B$5:C247)),"")</f>
        <v/>
      </c>
      <c r="D247" s="142" t="str">
        <f t="array" ref="D247">IFERROR(INDEX(BD[],_xlfn.AGGREGATE(15,6,IF(BD[CLASIFICACIÓN]=$B$2,ROW(BD[CLASIFICACIÓN])-ROW('PT2 (FILTRAR)'!$E$5)+1,NA()),ROWS($B$5:D247)),COLUMNS($B$5:D247)),"")</f>
        <v/>
      </c>
      <c r="E247" s="126" t="str">
        <f t="array" ref="E247">IFERROR(INDEX(BD[],_xlfn.AGGREGATE(15,6,IF(BD[CLASIFICACIÓN]=$B$2,ROW(BD[CLASIFICACIÓN])-ROW('PT2 (FILTRAR)'!$E$5)+1,NA()),ROWS($B$5:E247)),COLUMNS($B$5:E247)),"")</f>
        <v/>
      </c>
    </row>
    <row r="248" spans="2:5" x14ac:dyDescent="0.3">
      <c r="B248" s="126" t="str">
        <f t="array" ref="B248">IFERROR(INDEX(BD[],_xlfn.AGGREGATE(15,6,IF(BD[CLASIFICACIÓN]=$B$2,ROW(BD[CLASIFICACIÓN])-ROW('PT2 (FILTRAR)'!$E$5)+1,NA()),ROWS($B$5:B248)),COLUMNS($B$5:B248)),"")</f>
        <v/>
      </c>
      <c r="C248" s="127" t="str">
        <f t="array" ref="C248">IFERROR(INDEX(BD[],_xlfn.AGGREGATE(15,6,IF(BD[CLASIFICACIÓN]=$B$2,ROW(BD[CLASIFICACIÓN])-ROW('PT2 (FILTRAR)'!$E$5)+1,NA()),ROWS($B$5:C248)),COLUMNS($B$5:C248)),"")</f>
        <v/>
      </c>
      <c r="D248" s="142" t="str">
        <f t="array" ref="D248">IFERROR(INDEX(BD[],_xlfn.AGGREGATE(15,6,IF(BD[CLASIFICACIÓN]=$B$2,ROW(BD[CLASIFICACIÓN])-ROW('PT2 (FILTRAR)'!$E$5)+1,NA()),ROWS($B$5:D248)),COLUMNS($B$5:D248)),"")</f>
        <v/>
      </c>
      <c r="E248" s="126" t="str">
        <f t="array" ref="E248">IFERROR(INDEX(BD[],_xlfn.AGGREGATE(15,6,IF(BD[CLASIFICACIÓN]=$B$2,ROW(BD[CLASIFICACIÓN])-ROW('PT2 (FILTRAR)'!$E$5)+1,NA()),ROWS($B$5:E248)),COLUMNS($B$5:E248)),"")</f>
        <v/>
      </c>
    </row>
    <row r="249" spans="2:5" x14ac:dyDescent="0.3">
      <c r="B249" s="126" t="str">
        <f t="array" ref="B249">IFERROR(INDEX(BD[],_xlfn.AGGREGATE(15,6,IF(BD[CLASIFICACIÓN]=$B$2,ROW(BD[CLASIFICACIÓN])-ROW('PT2 (FILTRAR)'!$E$5)+1,NA()),ROWS($B$5:B249)),COLUMNS($B$5:B249)),"")</f>
        <v/>
      </c>
      <c r="C249" s="127" t="str">
        <f t="array" ref="C249">IFERROR(INDEX(BD[],_xlfn.AGGREGATE(15,6,IF(BD[CLASIFICACIÓN]=$B$2,ROW(BD[CLASIFICACIÓN])-ROW('PT2 (FILTRAR)'!$E$5)+1,NA()),ROWS($B$5:C249)),COLUMNS($B$5:C249)),"")</f>
        <v/>
      </c>
      <c r="D249" s="142" t="str">
        <f t="array" ref="D249">IFERROR(INDEX(BD[],_xlfn.AGGREGATE(15,6,IF(BD[CLASIFICACIÓN]=$B$2,ROW(BD[CLASIFICACIÓN])-ROW('PT2 (FILTRAR)'!$E$5)+1,NA()),ROWS($B$5:D249)),COLUMNS($B$5:D249)),"")</f>
        <v/>
      </c>
      <c r="E249" s="126" t="str">
        <f t="array" ref="E249">IFERROR(INDEX(BD[],_xlfn.AGGREGATE(15,6,IF(BD[CLASIFICACIÓN]=$B$2,ROW(BD[CLASIFICACIÓN])-ROW('PT2 (FILTRAR)'!$E$5)+1,NA()),ROWS($B$5:E249)),COLUMNS($B$5:E249)),"")</f>
        <v/>
      </c>
    </row>
    <row r="250" spans="2:5" x14ac:dyDescent="0.3">
      <c r="B250" s="126" t="str">
        <f t="array" ref="B250">IFERROR(INDEX(BD[],_xlfn.AGGREGATE(15,6,IF(BD[CLASIFICACIÓN]=$B$2,ROW(BD[CLASIFICACIÓN])-ROW('PT2 (FILTRAR)'!$E$5)+1,NA()),ROWS($B$5:B250)),COLUMNS($B$5:B250)),"")</f>
        <v/>
      </c>
      <c r="C250" s="127" t="str">
        <f t="array" ref="C250">IFERROR(INDEX(BD[],_xlfn.AGGREGATE(15,6,IF(BD[CLASIFICACIÓN]=$B$2,ROW(BD[CLASIFICACIÓN])-ROW('PT2 (FILTRAR)'!$E$5)+1,NA()),ROWS($B$5:C250)),COLUMNS($B$5:C250)),"")</f>
        <v/>
      </c>
      <c r="D250" s="142" t="str">
        <f t="array" ref="D250">IFERROR(INDEX(BD[],_xlfn.AGGREGATE(15,6,IF(BD[CLASIFICACIÓN]=$B$2,ROW(BD[CLASIFICACIÓN])-ROW('PT2 (FILTRAR)'!$E$5)+1,NA()),ROWS($B$5:D250)),COLUMNS($B$5:D250)),"")</f>
        <v/>
      </c>
      <c r="E250" s="126" t="str">
        <f t="array" ref="E250">IFERROR(INDEX(BD[],_xlfn.AGGREGATE(15,6,IF(BD[CLASIFICACIÓN]=$B$2,ROW(BD[CLASIFICACIÓN])-ROW('PT2 (FILTRAR)'!$E$5)+1,NA()),ROWS($B$5:E250)),COLUMNS($B$5:E250)),"")</f>
        <v/>
      </c>
    </row>
    <row r="251" spans="2:5" x14ac:dyDescent="0.3">
      <c r="B251" s="126" t="str">
        <f t="array" ref="B251">IFERROR(INDEX(BD[],_xlfn.AGGREGATE(15,6,IF(BD[CLASIFICACIÓN]=$B$2,ROW(BD[CLASIFICACIÓN])-ROW('PT2 (FILTRAR)'!$E$5)+1,NA()),ROWS($B$5:B251)),COLUMNS($B$5:B251)),"")</f>
        <v/>
      </c>
      <c r="C251" s="127" t="str">
        <f t="array" ref="C251">IFERROR(INDEX(BD[],_xlfn.AGGREGATE(15,6,IF(BD[CLASIFICACIÓN]=$B$2,ROW(BD[CLASIFICACIÓN])-ROW('PT2 (FILTRAR)'!$E$5)+1,NA()),ROWS($B$5:C251)),COLUMNS($B$5:C251)),"")</f>
        <v/>
      </c>
      <c r="D251" s="142" t="str">
        <f t="array" ref="D251">IFERROR(INDEX(BD[],_xlfn.AGGREGATE(15,6,IF(BD[CLASIFICACIÓN]=$B$2,ROW(BD[CLASIFICACIÓN])-ROW('PT2 (FILTRAR)'!$E$5)+1,NA()),ROWS($B$5:D251)),COLUMNS($B$5:D251)),"")</f>
        <v/>
      </c>
      <c r="E251" s="126" t="str">
        <f t="array" ref="E251">IFERROR(INDEX(BD[],_xlfn.AGGREGATE(15,6,IF(BD[CLASIFICACIÓN]=$B$2,ROW(BD[CLASIFICACIÓN])-ROW('PT2 (FILTRAR)'!$E$5)+1,NA()),ROWS($B$5:E251)),COLUMNS($B$5:E251)),"")</f>
        <v/>
      </c>
    </row>
    <row r="252" spans="2:5" x14ac:dyDescent="0.3">
      <c r="B252" s="126" t="str">
        <f t="array" ref="B252">IFERROR(INDEX(BD[],_xlfn.AGGREGATE(15,6,IF(BD[CLASIFICACIÓN]=$B$2,ROW(BD[CLASIFICACIÓN])-ROW('PT2 (FILTRAR)'!$E$5)+1,NA()),ROWS($B$5:B252)),COLUMNS($B$5:B252)),"")</f>
        <v/>
      </c>
      <c r="C252" s="127" t="str">
        <f t="array" ref="C252">IFERROR(INDEX(BD[],_xlfn.AGGREGATE(15,6,IF(BD[CLASIFICACIÓN]=$B$2,ROW(BD[CLASIFICACIÓN])-ROW('PT2 (FILTRAR)'!$E$5)+1,NA()),ROWS($B$5:C252)),COLUMNS($B$5:C252)),"")</f>
        <v/>
      </c>
      <c r="D252" s="142" t="str">
        <f t="array" ref="D252">IFERROR(INDEX(BD[],_xlfn.AGGREGATE(15,6,IF(BD[CLASIFICACIÓN]=$B$2,ROW(BD[CLASIFICACIÓN])-ROW('PT2 (FILTRAR)'!$E$5)+1,NA()),ROWS($B$5:D252)),COLUMNS($B$5:D252)),"")</f>
        <v/>
      </c>
      <c r="E252" s="126" t="str">
        <f t="array" ref="E252">IFERROR(INDEX(BD[],_xlfn.AGGREGATE(15,6,IF(BD[CLASIFICACIÓN]=$B$2,ROW(BD[CLASIFICACIÓN])-ROW('PT2 (FILTRAR)'!$E$5)+1,NA()),ROWS($B$5:E252)),COLUMNS($B$5:E252)),"")</f>
        <v/>
      </c>
    </row>
    <row r="253" spans="2:5" x14ac:dyDescent="0.3">
      <c r="B253" s="126" t="str">
        <f t="array" ref="B253">IFERROR(INDEX(BD[],_xlfn.AGGREGATE(15,6,IF(BD[CLASIFICACIÓN]=$B$2,ROW(BD[CLASIFICACIÓN])-ROW('PT2 (FILTRAR)'!$E$5)+1,NA()),ROWS($B$5:B253)),COLUMNS($B$5:B253)),"")</f>
        <v/>
      </c>
      <c r="C253" s="127" t="str">
        <f t="array" ref="C253">IFERROR(INDEX(BD[],_xlfn.AGGREGATE(15,6,IF(BD[CLASIFICACIÓN]=$B$2,ROW(BD[CLASIFICACIÓN])-ROW('PT2 (FILTRAR)'!$E$5)+1,NA()),ROWS($B$5:C253)),COLUMNS($B$5:C253)),"")</f>
        <v/>
      </c>
      <c r="D253" s="142" t="str">
        <f t="array" ref="D253">IFERROR(INDEX(BD[],_xlfn.AGGREGATE(15,6,IF(BD[CLASIFICACIÓN]=$B$2,ROW(BD[CLASIFICACIÓN])-ROW('PT2 (FILTRAR)'!$E$5)+1,NA()),ROWS($B$5:D253)),COLUMNS($B$5:D253)),"")</f>
        <v/>
      </c>
      <c r="E253" s="126" t="str">
        <f t="array" ref="E253">IFERROR(INDEX(BD[],_xlfn.AGGREGATE(15,6,IF(BD[CLASIFICACIÓN]=$B$2,ROW(BD[CLASIFICACIÓN])-ROW('PT2 (FILTRAR)'!$E$5)+1,NA()),ROWS($B$5:E253)),COLUMNS($B$5:E253)),"")</f>
        <v/>
      </c>
    </row>
    <row r="254" spans="2:5" x14ac:dyDescent="0.3">
      <c r="B254" s="126" t="str">
        <f t="array" ref="B254">IFERROR(INDEX(BD[],_xlfn.AGGREGATE(15,6,IF(BD[CLASIFICACIÓN]=$B$2,ROW(BD[CLASIFICACIÓN])-ROW('PT2 (FILTRAR)'!$E$5)+1,NA()),ROWS($B$5:B254)),COLUMNS($B$5:B254)),"")</f>
        <v/>
      </c>
      <c r="C254" s="127" t="str">
        <f t="array" ref="C254">IFERROR(INDEX(BD[],_xlfn.AGGREGATE(15,6,IF(BD[CLASIFICACIÓN]=$B$2,ROW(BD[CLASIFICACIÓN])-ROW('PT2 (FILTRAR)'!$E$5)+1,NA()),ROWS($B$5:C254)),COLUMNS($B$5:C254)),"")</f>
        <v/>
      </c>
      <c r="D254" s="142" t="str">
        <f t="array" ref="D254">IFERROR(INDEX(BD[],_xlfn.AGGREGATE(15,6,IF(BD[CLASIFICACIÓN]=$B$2,ROW(BD[CLASIFICACIÓN])-ROW('PT2 (FILTRAR)'!$E$5)+1,NA()),ROWS($B$5:D254)),COLUMNS($B$5:D254)),"")</f>
        <v/>
      </c>
      <c r="E254" s="126" t="str">
        <f t="array" ref="E254">IFERROR(INDEX(BD[],_xlfn.AGGREGATE(15,6,IF(BD[CLASIFICACIÓN]=$B$2,ROW(BD[CLASIFICACIÓN])-ROW('PT2 (FILTRAR)'!$E$5)+1,NA()),ROWS($B$5:E254)),COLUMNS($B$5:E254)),"")</f>
        <v/>
      </c>
    </row>
    <row r="255" spans="2:5" x14ac:dyDescent="0.3">
      <c r="B255" s="126" t="str">
        <f t="array" ref="B255">IFERROR(INDEX(BD[],_xlfn.AGGREGATE(15,6,IF(BD[CLASIFICACIÓN]=$B$2,ROW(BD[CLASIFICACIÓN])-ROW('PT2 (FILTRAR)'!$E$5)+1,NA()),ROWS($B$5:B255)),COLUMNS($B$5:B255)),"")</f>
        <v/>
      </c>
      <c r="C255" s="127" t="str">
        <f t="array" ref="C255">IFERROR(INDEX(BD[],_xlfn.AGGREGATE(15,6,IF(BD[CLASIFICACIÓN]=$B$2,ROW(BD[CLASIFICACIÓN])-ROW('PT2 (FILTRAR)'!$E$5)+1,NA()),ROWS($B$5:C255)),COLUMNS($B$5:C255)),"")</f>
        <v/>
      </c>
      <c r="D255" s="142" t="str">
        <f t="array" ref="D255">IFERROR(INDEX(BD[],_xlfn.AGGREGATE(15,6,IF(BD[CLASIFICACIÓN]=$B$2,ROW(BD[CLASIFICACIÓN])-ROW('PT2 (FILTRAR)'!$E$5)+1,NA()),ROWS($B$5:D255)),COLUMNS($B$5:D255)),"")</f>
        <v/>
      </c>
      <c r="E255" s="126" t="str">
        <f t="array" ref="E255">IFERROR(INDEX(BD[],_xlfn.AGGREGATE(15,6,IF(BD[CLASIFICACIÓN]=$B$2,ROW(BD[CLASIFICACIÓN])-ROW('PT2 (FILTRAR)'!$E$5)+1,NA()),ROWS($B$5:E255)),COLUMNS($B$5:E255)),"")</f>
        <v/>
      </c>
    </row>
    <row r="256" spans="2:5" x14ac:dyDescent="0.3">
      <c r="B256" s="126" t="str">
        <f t="array" ref="B256">IFERROR(INDEX(BD[],_xlfn.AGGREGATE(15,6,IF(BD[CLASIFICACIÓN]=$B$2,ROW(BD[CLASIFICACIÓN])-ROW('PT2 (FILTRAR)'!$E$5)+1,NA()),ROWS($B$5:B256)),COLUMNS($B$5:B256)),"")</f>
        <v/>
      </c>
      <c r="C256" s="127" t="str">
        <f t="array" ref="C256">IFERROR(INDEX(BD[],_xlfn.AGGREGATE(15,6,IF(BD[CLASIFICACIÓN]=$B$2,ROW(BD[CLASIFICACIÓN])-ROW('PT2 (FILTRAR)'!$E$5)+1,NA()),ROWS($B$5:C256)),COLUMNS($B$5:C256)),"")</f>
        <v/>
      </c>
      <c r="D256" s="142" t="str">
        <f t="array" ref="D256">IFERROR(INDEX(BD[],_xlfn.AGGREGATE(15,6,IF(BD[CLASIFICACIÓN]=$B$2,ROW(BD[CLASIFICACIÓN])-ROW('PT2 (FILTRAR)'!$E$5)+1,NA()),ROWS($B$5:D256)),COLUMNS($B$5:D256)),"")</f>
        <v/>
      </c>
      <c r="E256" s="126" t="str">
        <f t="array" ref="E256">IFERROR(INDEX(BD[],_xlfn.AGGREGATE(15,6,IF(BD[CLASIFICACIÓN]=$B$2,ROW(BD[CLASIFICACIÓN])-ROW('PT2 (FILTRAR)'!$E$5)+1,NA()),ROWS($B$5:E256)),COLUMNS($B$5:E256)),"")</f>
        <v/>
      </c>
    </row>
    <row r="257" spans="2:5" x14ac:dyDescent="0.3">
      <c r="B257" s="126" t="str">
        <f t="array" ref="B257">IFERROR(INDEX(BD[],_xlfn.AGGREGATE(15,6,IF(BD[CLASIFICACIÓN]=$B$2,ROW(BD[CLASIFICACIÓN])-ROW('PT2 (FILTRAR)'!$E$5)+1,NA()),ROWS($B$5:B257)),COLUMNS($B$5:B257)),"")</f>
        <v/>
      </c>
      <c r="C257" s="127" t="str">
        <f t="array" ref="C257">IFERROR(INDEX(BD[],_xlfn.AGGREGATE(15,6,IF(BD[CLASIFICACIÓN]=$B$2,ROW(BD[CLASIFICACIÓN])-ROW('PT2 (FILTRAR)'!$E$5)+1,NA()),ROWS($B$5:C257)),COLUMNS($B$5:C257)),"")</f>
        <v/>
      </c>
      <c r="D257" s="142" t="str">
        <f t="array" ref="D257">IFERROR(INDEX(BD[],_xlfn.AGGREGATE(15,6,IF(BD[CLASIFICACIÓN]=$B$2,ROW(BD[CLASIFICACIÓN])-ROW('PT2 (FILTRAR)'!$E$5)+1,NA()),ROWS($B$5:D257)),COLUMNS($B$5:D257)),"")</f>
        <v/>
      </c>
      <c r="E257" s="126" t="str">
        <f t="array" ref="E257">IFERROR(INDEX(BD[],_xlfn.AGGREGATE(15,6,IF(BD[CLASIFICACIÓN]=$B$2,ROW(BD[CLASIFICACIÓN])-ROW('PT2 (FILTRAR)'!$E$5)+1,NA()),ROWS($B$5:E257)),COLUMNS($B$5:E257)),"")</f>
        <v/>
      </c>
    </row>
    <row r="258" spans="2:5" x14ac:dyDescent="0.3">
      <c r="B258" s="126" t="str">
        <f t="array" ref="B258">IFERROR(INDEX(BD[],_xlfn.AGGREGATE(15,6,IF(BD[CLASIFICACIÓN]=$B$2,ROW(BD[CLASIFICACIÓN])-ROW('PT2 (FILTRAR)'!$E$5)+1,NA()),ROWS($B$5:B258)),COLUMNS($B$5:B258)),"")</f>
        <v/>
      </c>
      <c r="C258" s="127" t="str">
        <f t="array" ref="C258">IFERROR(INDEX(BD[],_xlfn.AGGREGATE(15,6,IF(BD[CLASIFICACIÓN]=$B$2,ROW(BD[CLASIFICACIÓN])-ROW('PT2 (FILTRAR)'!$E$5)+1,NA()),ROWS($B$5:C258)),COLUMNS($B$5:C258)),"")</f>
        <v/>
      </c>
      <c r="D258" s="142" t="str">
        <f t="array" ref="D258">IFERROR(INDEX(BD[],_xlfn.AGGREGATE(15,6,IF(BD[CLASIFICACIÓN]=$B$2,ROW(BD[CLASIFICACIÓN])-ROW('PT2 (FILTRAR)'!$E$5)+1,NA()),ROWS($B$5:D258)),COLUMNS($B$5:D258)),"")</f>
        <v/>
      </c>
      <c r="E258" s="126" t="str">
        <f t="array" ref="E258">IFERROR(INDEX(BD[],_xlfn.AGGREGATE(15,6,IF(BD[CLASIFICACIÓN]=$B$2,ROW(BD[CLASIFICACIÓN])-ROW('PT2 (FILTRAR)'!$E$5)+1,NA()),ROWS($B$5:E258)),COLUMNS($B$5:E258)),"")</f>
        <v/>
      </c>
    </row>
    <row r="259" spans="2:5" x14ac:dyDescent="0.3">
      <c r="B259" s="126" t="str">
        <f t="array" ref="B259">IFERROR(INDEX(BD[],_xlfn.AGGREGATE(15,6,IF(BD[CLASIFICACIÓN]=$B$2,ROW(BD[CLASIFICACIÓN])-ROW('PT2 (FILTRAR)'!$E$5)+1,NA()),ROWS($B$5:B259)),COLUMNS($B$5:B259)),"")</f>
        <v/>
      </c>
      <c r="C259" s="127" t="str">
        <f t="array" ref="C259">IFERROR(INDEX(BD[],_xlfn.AGGREGATE(15,6,IF(BD[CLASIFICACIÓN]=$B$2,ROW(BD[CLASIFICACIÓN])-ROW('PT2 (FILTRAR)'!$E$5)+1,NA()),ROWS($B$5:C259)),COLUMNS($B$5:C259)),"")</f>
        <v/>
      </c>
      <c r="D259" s="142" t="str">
        <f t="array" ref="D259">IFERROR(INDEX(BD[],_xlfn.AGGREGATE(15,6,IF(BD[CLASIFICACIÓN]=$B$2,ROW(BD[CLASIFICACIÓN])-ROW('PT2 (FILTRAR)'!$E$5)+1,NA()),ROWS($B$5:D259)),COLUMNS($B$5:D259)),"")</f>
        <v/>
      </c>
      <c r="E259" s="126" t="str">
        <f t="array" ref="E259">IFERROR(INDEX(BD[],_xlfn.AGGREGATE(15,6,IF(BD[CLASIFICACIÓN]=$B$2,ROW(BD[CLASIFICACIÓN])-ROW('PT2 (FILTRAR)'!$E$5)+1,NA()),ROWS($B$5:E259)),COLUMNS($B$5:E259)),"")</f>
        <v/>
      </c>
    </row>
    <row r="260" spans="2:5" x14ac:dyDescent="0.3">
      <c r="B260" s="126" t="str">
        <f t="array" ref="B260">IFERROR(INDEX(BD[],_xlfn.AGGREGATE(15,6,IF(BD[CLASIFICACIÓN]=$B$2,ROW(BD[CLASIFICACIÓN])-ROW('PT2 (FILTRAR)'!$E$5)+1,NA()),ROWS($B$5:B260)),COLUMNS($B$5:B260)),"")</f>
        <v/>
      </c>
      <c r="C260" s="127" t="str">
        <f t="array" ref="C260">IFERROR(INDEX(BD[],_xlfn.AGGREGATE(15,6,IF(BD[CLASIFICACIÓN]=$B$2,ROW(BD[CLASIFICACIÓN])-ROW('PT2 (FILTRAR)'!$E$5)+1,NA()),ROWS($B$5:C260)),COLUMNS($B$5:C260)),"")</f>
        <v/>
      </c>
      <c r="D260" s="142" t="str">
        <f t="array" ref="D260">IFERROR(INDEX(BD[],_xlfn.AGGREGATE(15,6,IF(BD[CLASIFICACIÓN]=$B$2,ROW(BD[CLASIFICACIÓN])-ROW('PT2 (FILTRAR)'!$E$5)+1,NA()),ROWS($B$5:D260)),COLUMNS($B$5:D260)),"")</f>
        <v/>
      </c>
      <c r="E260" s="126" t="str">
        <f t="array" ref="E260">IFERROR(INDEX(BD[],_xlfn.AGGREGATE(15,6,IF(BD[CLASIFICACIÓN]=$B$2,ROW(BD[CLASIFICACIÓN])-ROW('PT2 (FILTRAR)'!$E$5)+1,NA()),ROWS($B$5:E260)),COLUMNS($B$5:E260)),"")</f>
        <v/>
      </c>
    </row>
    <row r="261" spans="2:5" x14ac:dyDescent="0.3">
      <c r="B261" s="126" t="str">
        <f t="array" ref="B261">IFERROR(INDEX(BD[],_xlfn.AGGREGATE(15,6,IF(BD[CLASIFICACIÓN]=$B$2,ROW(BD[CLASIFICACIÓN])-ROW('PT2 (FILTRAR)'!$E$5)+1,NA()),ROWS($B$5:B261)),COLUMNS($B$5:B261)),"")</f>
        <v/>
      </c>
      <c r="C261" s="127" t="str">
        <f t="array" ref="C261">IFERROR(INDEX(BD[],_xlfn.AGGREGATE(15,6,IF(BD[CLASIFICACIÓN]=$B$2,ROW(BD[CLASIFICACIÓN])-ROW('PT2 (FILTRAR)'!$E$5)+1,NA()),ROWS($B$5:C261)),COLUMNS($B$5:C261)),"")</f>
        <v/>
      </c>
      <c r="D261" s="142" t="str">
        <f t="array" ref="D261">IFERROR(INDEX(BD[],_xlfn.AGGREGATE(15,6,IF(BD[CLASIFICACIÓN]=$B$2,ROW(BD[CLASIFICACIÓN])-ROW('PT2 (FILTRAR)'!$E$5)+1,NA()),ROWS($B$5:D261)),COLUMNS($B$5:D261)),"")</f>
        <v/>
      </c>
      <c r="E261" s="126" t="str">
        <f t="array" ref="E261">IFERROR(INDEX(BD[],_xlfn.AGGREGATE(15,6,IF(BD[CLASIFICACIÓN]=$B$2,ROW(BD[CLASIFICACIÓN])-ROW('PT2 (FILTRAR)'!$E$5)+1,NA()),ROWS($B$5:E261)),COLUMNS($B$5:E261)),"")</f>
        <v/>
      </c>
    </row>
    <row r="262" spans="2:5" x14ac:dyDescent="0.3">
      <c r="B262" s="126" t="str">
        <f t="array" ref="B262">IFERROR(INDEX(BD[],_xlfn.AGGREGATE(15,6,IF(BD[CLASIFICACIÓN]=$B$2,ROW(BD[CLASIFICACIÓN])-ROW('PT2 (FILTRAR)'!$E$5)+1,NA()),ROWS($B$5:B262)),COLUMNS($B$5:B262)),"")</f>
        <v/>
      </c>
      <c r="C262" s="127" t="str">
        <f t="array" ref="C262">IFERROR(INDEX(BD[],_xlfn.AGGREGATE(15,6,IF(BD[CLASIFICACIÓN]=$B$2,ROW(BD[CLASIFICACIÓN])-ROW('PT2 (FILTRAR)'!$E$5)+1,NA()),ROWS($B$5:C262)),COLUMNS($B$5:C262)),"")</f>
        <v/>
      </c>
      <c r="D262" s="142" t="str">
        <f t="array" ref="D262">IFERROR(INDEX(BD[],_xlfn.AGGREGATE(15,6,IF(BD[CLASIFICACIÓN]=$B$2,ROW(BD[CLASIFICACIÓN])-ROW('PT2 (FILTRAR)'!$E$5)+1,NA()),ROWS($B$5:D262)),COLUMNS($B$5:D262)),"")</f>
        <v/>
      </c>
      <c r="E262" s="126" t="str">
        <f t="array" ref="E262">IFERROR(INDEX(BD[],_xlfn.AGGREGATE(15,6,IF(BD[CLASIFICACIÓN]=$B$2,ROW(BD[CLASIFICACIÓN])-ROW('PT2 (FILTRAR)'!$E$5)+1,NA()),ROWS($B$5:E262)),COLUMNS($B$5:E262)),"")</f>
        <v/>
      </c>
    </row>
    <row r="263" spans="2:5" x14ac:dyDescent="0.3">
      <c r="B263" s="126" t="str">
        <f t="array" ref="B263">IFERROR(INDEX(BD[],_xlfn.AGGREGATE(15,6,IF(BD[CLASIFICACIÓN]=$B$2,ROW(BD[CLASIFICACIÓN])-ROW('PT2 (FILTRAR)'!$E$5)+1,NA()),ROWS($B$5:B263)),COLUMNS($B$5:B263)),"")</f>
        <v/>
      </c>
      <c r="C263" s="127" t="str">
        <f t="array" ref="C263">IFERROR(INDEX(BD[],_xlfn.AGGREGATE(15,6,IF(BD[CLASIFICACIÓN]=$B$2,ROW(BD[CLASIFICACIÓN])-ROW('PT2 (FILTRAR)'!$E$5)+1,NA()),ROWS($B$5:C263)),COLUMNS($B$5:C263)),"")</f>
        <v/>
      </c>
      <c r="D263" s="142" t="str">
        <f t="array" ref="D263">IFERROR(INDEX(BD[],_xlfn.AGGREGATE(15,6,IF(BD[CLASIFICACIÓN]=$B$2,ROW(BD[CLASIFICACIÓN])-ROW('PT2 (FILTRAR)'!$E$5)+1,NA()),ROWS($B$5:D263)),COLUMNS($B$5:D263)),"")</f>
        <v/>
      </c>
      <c r="E263" s="126" t="str">
        <f t="array" ref="E263">IFERROR(INDEX(BD[],_xlfn.AGGREGATE(15,6,IF(BD[CLASIFICACIÓN]=$B$2,ROW(BD[CLASIFICACIÓN])-ROW('PT2 (FILTRAR)'!$E$5)+1,NA()),ROWS($B$5:E263)),COLUMNS($B$5:E263)),"")</f>
        <v/>
      </c>
    </row>
    <row r="264" spans="2:5" x14ac:dyDescent="0.3">
      <c r="B264" s="126" t="str">
        <f t="array" ref="B264">IFERROR(INDEX(BD[],_xlfn.AGGREGATE(15,6,IF(BD[CLASIFICACIÓN]=$B$2,ROW(BD[CLASIFICACIÓN])-ROW('PT2 (FILTRAR)'!$E$5)+1,NA()),ROWS($B$5:B264)),COLUMNS($B$5:B264)),"")</f>
        <v/>
      </c>
      <c r="C264" s="127" t="str">
        <f t="array" ref="C264">IFERROR(INDEX(BD[],_xlfn.AGGREGATE(15,6,IF(BD[CLASIFICACIÓN]=$B$2,ROW(BD[CLASIFICACIÓN])-ROW('PT2 (FILTRAR)'!$E$5)+1,NA()),ROWS($B$5:C264)),COLUMNS($B$5:C264)),"")</f>
        <v/>
      </c>
      <c r="D264" s="142" t="str">
        <f t="array" ref="D264">IFERROR(INDEX(BD[],_xlfn.AGGREGATE(15,6,IF(BD[CLASIFICACIÓN]=$B$2,ROW(BD[CLASIFICACIÓN])-ROW('PT2 (FILTRAR)'!$E$5)+1,NA()),ROWS($B$5:D264)),COLUMNS($B$5:D264)),"")</f>
        <v/>
      </c>
      <c r="E264" s="126" t="str">
        <f t="array" ref="E264">IFERROR(INDEX(BD[],_xlfn.AGGREGATE(15,6,IF(BD[CLASIFICACIÓN]=$B$2,ROW(BD[CLASIFICACIÓN])-ROW('PT2 (FILTRAR)'!$E$5)+1,NA()),ROWS($B$5:E264)),COLUMNS($B$5:E264)),"")</f>
        <v/>
      </c>
    </row>
    <row r="265" spans="2:5" x14ac:dyDescent="0.3">
      <c r="B265" s="126" t="str">
        <f t="array" ref="B265">IFERROR(INDEX(BD[],_xlfn.AGGREGATE(15,6,IF(BD[CLASIFICACIÓN]=$B$2,ROW(BD[CLASIFICACIÓN])-ROW('PT2 (FILTRAR)'!$E$5)+1,NA()),ROWS($B$5:B265)),COLUMNS($B$5:B265)),"")</f>
        <v/>
      </c>
      <c r="C265" s="127" t="str">
        <f t="array" ref="C265">IFERROR(INDEX(BD[],_xlfn.AGGREGATE(15,6,IF(BD[CLASIFICACIÓN]=$B$2,ROW(BD[CLASIFICACIÓN])-ROW('PT2 (FILTRAR)'!$E$5)+1,NA()),ROWS($B$5:C265)),COLUMNS($B$5:C265)),"")</f>
        <v/>
      </c>
      <c r="D265" s="142" t="str">
        <f t="array" ref="D265">IFERROR(INDEX(BD[],_xlfn.AGGREGATE(15,6,IF(BD[CLASIFICACIÓN]=$B$2,ROW(BD[CLASIFICACIÓN])-ROW('PT2 (FILTRAR)'!$E$5)+1,NA()),ROWS($B$5:D265)),COLUMNS($B$5:D265)),"")</f>
        <v/>
      </c>
      <c r="E265" s="126" t="str">
        <f t="array" ref="E265">IFERROR(INDEX(BD[],_xlfn.AGGREGATE(15,6,IF(BD[CLASIFICACIÓN]=$B$2,ROW(BD[CLASIFICACIÓN])-ROW('PT2 (FILTRAR)'!$E$5)+1,NA()),ROWS($B$5:E265)),COLUMNS($B$5:E265)),"")</f>
        <v/>
      </c>
    </row>
    <row r="266" spans="2:5" x14ac:dyDescent="0.3">
      <c r="B266" s="126" t="str">
        <f t="array" ref="B266">IFERROR(INDEX(BD[],_xlfn.AGGREGATE(15,6,IF(BD[CLASIFICACIÓN]=$B$2,ROW(BD[CLASIFICACIÓN])-ROW('PT2 (FILTRAR)'!$E$5)+1,NA()),ROWS($B$5:B266)),COLUMNS($B$5:B266)),"")</f>
        <v/>
      </c>
      <c r="C266" s="127" t="str">
        <f t="array" ref="C266">IFERROR(INDEX(BD[],_xlfn.AGGREGATE(15,6,IF(BD[CLASIFICACIÓN]=$B$2,ROW(BD[CLASIFICACIÓN])-ROW('PT2 (FILTRAR)'!$E$5)+1,NA()),ROWS($B$5:C266)),COLUMNS($B$5:C266)),"")</f>
        <v/>
      </c>
      <c r="D266" s="142" t="str">
        <f t="array" ref="D266">IFERROR(INDEX(BD[],_xlfn.AGGREGATE(15,6,IF(BD[CLASIFICACIÓN]=$B$2,ROW(BD[CLASIFICACIÓN])-ROW('PT2 (FILTRAR)'!$E$5)+1,NA()),ROWS($B$5:D266)),COLUMNS($B$5:D266)),"")</f>
        <v/>
      </c>
      <c r="E266" s="126" t="str">
        <f t="array" ref="E266">IFERROR(INDEX(BD[],_xlfn.AGGREGATE(15,6,IF(BD[CLASIFICACIÓN]=$B$2,ROW(BD[CLASIFICACIÓN])-ROW('PT2 (FILTRAR)'!$E$5)+1,NA()),ROWS($B$5:E266)),COLUMNS($B$5:E266)),"")</f>
        <v/>
      </c>
    </row>
    <row r="267" spans="2:5" x14ac:dyDescent="0.3">
      <c r="B267" s="126" t="str">
        <f t="array" ref="B267">IFERROR(INDEX(BD[],_xlfn.AGGREGATE(15,6,IF(BD[CLASIFICACIÓN]=$B$2,ROW(BD[CLASIFICACIÓN])-ROW('PT2 (FILTRAR)'!$E$5)+1,NA()),ROWS($B$5:B267)),COLUMNS($B$5:B267)),"")</f>
        <v/>
      </c>
      <c r="C267" s="127" t="str">
        <f t="array" ref="C267">IFERROR(INDEX(BD[],_xlfn.AGGREGATE(15,6,IF(BD[CLASIFICACIÓN]=$B$2,ROW(BD[CLASIFICACIÓN])-ROW('PT2 (FILTRAR)'!$E$5)+1,NA()),ROWS($B$5:C267)),COLUMNS($B$5:C267)),"")</f>
        <v/>
      </c>
      <c r="D267" s="142" t="str">
        <f t="array" ref="D267">IFERROR(INDEX(BD[],_xlfn.AGGREGATE(15,6,IF(BD[CLASIFICACIÓN]=$B$2,ROW(BD[CLASIFICACIÓN])-ROW('PT2 (FILTRAR)'!$E$5)+1,NA()),ROWS($B$5:D267)),COLUMNS($B$5:D267)),"")</f>
        <v/>
      </c>
      <c r="E267" s="126" t="str">
        <f t="array" ref="E267">IFERROR(INDEX(BD[],_xlfn.AGGREGATE(15,6,IF(BD[CLASIFICACIÓN]=$B$2,ROW(BD[CLASIFICACIÓN])-ROW('PT2 (FILTRAR)'!$E$5)+1,NA()),ROWS($B$5:E267)),COLUMNS($B$5:E267)),"")</f>
        <v/>
      </c>
    </row>
    <row r="268" spans="2:5" x14ac:dyDescent="0.3">
      <c r="B268" s="126" t="str">
        <f t="array" ref="B268">IFERROR(INDEX(BD[],_xlfn.AGGREGATE(15,6,IF(BD[CLASIFICACIÓN]=$B$2,ROW(BD[CLASIFICACIÓN])-ROW('PT2 (FILTRAR)'!$E$5)+1,NA()),ROWS($B$5:B268)),COLUMNS($B$5:B268)),"")</f>
        <v/>
      </c>
      <c r="C268" s="127" t="str">
        <f t="array" ref="C268">IFERROR(INDEX(BD[],_xlfn.AGGREGATE(15,6,IF(BD[CLASIFICACIÓN]=$B$2,ROW(BD[CLASIFICACIÓN])-ROW('PT2 (FILTRAR)'!$E$5)+1,NA()),ROWS($B$5:C268)),COLUMNS($B$5:C268)),"")</f>
        <v/>
      </c>
      <c r="D268" s="142" t="str">
        <f t="array" ref="D268">IFERROR(INDEX(BD[],_xlfn.AGGREGATE(15,6,IF(BD[CLASIFICACIÓN]=$B$2,ROW(BD[CLASIFICACIÓN])-ROW('PT2 (FILTRAR)'!$E$5)+1,NA()),ROWS($B$5:D268)),COLUMNS($B$5:D268)),"")</f>
        <v/>
      </c>
      <c r="E268" s="126" t="str">
        <f t="array" ref="E268">IFERROR(INDEX(BD[],_xlfn.AGGREGATE(15,6,IF(BD[CLASIFICACIÓN]=$B$2,ROW(BD[CLASIFICACIÓN])-ROW('PT2 (FILTRAR)'!$E$5)+1,NA()),ROWS($B$5:E268)),COLUMNS($B$5:E268)),"")</f>
        <v/>
      </c>
    </row>
    <row r="269" spans="2:5" x14ac:dyDescent="0.3">
      <c r="B269" s="126" t="str">
        <f t="array" ref="B269">IFERROR(INDEX(BD[],_xlfn.AGGREGATE(15,6,IF(BD[CLASIFICACIÓN]=$B$2,ROW(BD[CLASIFICACIÓN])-ROW('PT2 (FILTRAR)'!$E$5)+1,NA()),ROWS($B$5:B269)),COLUMNS($B$5:B269)),"")</f>
        <v/>
      </c>
      <c r="C269" s="127" t="str">
        <f t="array" ref="C269">IFERROR(INDEX(BD[],_xlfn.AGGREGATE(15,6,IF(BD[CLASIFICACIÓN]=$B$2,ROW(BD[CLASIFICACIÓN])-ROW('PT2 (FILTRAR)'!$E$5)+1,NA()),ROWS($B$5:C269)),COLUMNS($B$5:C269)),"")</f>
        <v/>
      </c>
      <c r="D269" s="142" t="str">
        <f t="array" ref="D269">IFERROR(INDEX(BD[],_xlfn.AGGREGATE(15,6,IF(BD[CLASIFICACIÓN]=$B$2,ROW(BD[CLASIFICACIÓN])-ROW('PT2 (FILTRAR)'!$E$5)+1,NA()),ROWS($B$5:D269)),COLUMNS($B$5:D269)),"")</f>
        <v/>
      </c>
      <c r="E269" s="126" t="str">
        <f t="array" ref="E269">IFERROR(INDEX(BD[],_xlfn.AGGREGATE(15,6,IF(BD[CLASIFICACIÓN]=$B$2,ROW(BD[CLASIFICACIÓN])-ROW('PT2 (FILTRAR)'!$E$5)+1,NA()),ROWS($B$5:E269)),COLUMNS($B$5:E269)),"")</f>
        <v/>
      </c>
    </row>
    <row r="270" spans="2:5" x14ac:dyDescent="0.3">
      <c r="B270" s="126" t="str">
        <f t="array" ref="B270">IFERROR(INDEX(BD[],_xlfn.AGGREGATE(15,6,IF(BD[CLASIFICACIÓN]=$B$2,ROW(BD[CLASIFICACIÓN])-ROW('PT2 (FILTRAR)'!$E$5)+1,NA()),ROWS($B$5:B270)),COLUMNS($B$5:B270)),"")</f>
        <v/>
      </c>
      <c r="C270" s="127" t="str">
        <f t="array" ref="C270">IFERROR(INDEX(BD[],_xlfn.AGGREGATE(15,6,IF(BD[CLASIFICACIÓN]=$B$2,ROW(BD[CLASIFICACIÓN])-ROW('PT2 (FILTRAR)'!$E$5)+1,NA()),ROWS($B$5:C270)),COLUMNS($B$5:C270)),"")</f>
        <v/>
      </c>
      <c r="D270" s="142" t="str">
        <f t="array" ref="D270">IFERROR(INDEX(BD[],_xlfn.AGGREGATE(15,6,IF(BD[CLASIFICACIÓN]=$B$2,ROW(BD[CLASIFICACIÓN])-ROW('PT2 (FILTRAR)'!$E$5)+1,NA()),ROWS($B$5:D270)),COLUMNS($B$5:D270)),"")</f>
        <v/>
      </c>
      <c r="E270" s="126" t="str">
        <f t="array" ref="E270">IFERROR(INDEX(BD[],_xlfn.AGGREGATE(15,6,IF(BD[CLASIFICACIÓN]=$B$2,ROW(BD[CLASIFICACIÓN])-ROW('PT2 (FILTRAR)'!$E$5)+1,NA()),ROWS($B$5:E270)),COLUMNS($B$5:E270)),"")</f>
        <v/>
      </c>
    </row>
    <row r="271" spans="2:5" x14ac:dyDescent="0.3">
      <c r="B271" s="126" t="str">
        <f t="array" ref="B271">IFERROR(INDEX(BD[],_xlfn.AGGREGATE(15,6,IF(BD[CLASIFICACIÓN]=$B$2,ROW(BD[CLASIFICACIÓN])-ROW('PT2 (FILTRAR)'!$E$5)+1,NA()),ROWS($B$5:B271)),COLUMNS($B$5:B271)),"")</f>
        <v/>
      </c>
      <c r="C271" s="127" t="str">
        <f t="array" ref="C271">IFERROR(INDEX(BD[],_xlfn.AGGREGATE(15,6,IF(BD[CLASIFICACIÓN]=$B$2,ROW(BD[CLASIFICACIÓN])-ROW('PT2 (FILTRAR)'!$E$5)+1,NA()),ROWS($B$5:C271)),COLUMNS($B$5:C271)),"")</f>
        <v/>
      </c>
      <c r="D271" s="142" t="str">
        <f t="array" ref="D271">IFERROR(INDEX(BD[],_xlfn.AGGREGATE(15,6,IF(BD[CLASIFICACIÓN]=$B$2,ROW(BD[CLASIFICACIÓN])-ROW('PT2 (FILTRAR)'!$E$5)+1,NA()),ROWS($B$5:D271)),COLUMNS($B$5:D271)),"")</f>
        <v/>
      </c>
      <c r="E271" s="126" t="str">
        <f t="array" ref="E271">IFERROR(INDEX(BD[],_xlfn.AGGREGATE(15,6,IF(BD[CLASIFICACIÓN]=$B$2,ROW(BD[CLASIFICACIÓN])-ROW('PT2 (FILTRAR)'!$E$5)+1,NA()),ROWS($B$5:E271)),COLUMNS($B$5:E271)),"")</f>
        <v/>
      </c>
    </row>
    <row r="272" spans="2:5" ht="18" x14ac:dyDescent="0.35">
      <c r="B272" s="144" t="s">
        <v>14</v>
      </c>
      <c r="C272" s="144" t="str">
        <f>+B2</f>
        <v>ANTICIPOS</v>
      </c>
      <c r="D272" s="125">
        <f>SUM(D5:D271)</f>
        <v>-2442352</v>
      </c>
    </row>
  </sheetData>
  <mergeCells count="1">
    <mergeCell ref="B2:E2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B995-62A2-4E84-875C-F8863C9A783B}">
  <sheetPr codeName="Hoja11">
    <pageSetUpPr fitToPage="1"/>
  </sheetPr>
  <dimension ref="B3:T49"/>
  <sheetViews>
    <sheetView zoomScale="85" zoomScaleNormal="85" workbookViewId="0">
      <selection activeCell="G27" sqref="G27"/>
    </sheetView>
  </sheetViews>
  <sheetFormatPr baseColWidth="10" defaultColWidth="11.5546875" defaultRowHeight="13.8" x14ac:dyDescent="0.25"/>
  <cols>
    <col min="1" max="1" width="3.33203125" style="1" customWidth="1"/>
    <col min="2" max="2" width="11.5546875" style="2"/>
    <col min="3" max="3" width="26.33203125" style="1" bestFit="1" customWidth="1"/>
    <col min="4" max="4" width="20.5546875" style="26" customWidth="1"/>
    <col min="5" max="5" width="20.5546875" style="2" customWidth="1"/>
    <col min="6" max="6" width="3.88671875" style="1" customWidth="1"/>
    <col min="7" max="7" width="11.5546875" style="1"/>
    <col min="8" max="8" width="26.33203125" style="1" bestFit="1" customWidth="1"/>
    <col min="9" max="9" width="14" style="1" bestFit="1" customWidth="1"/>
    <col min="10" max="10" width="11.5546875" style="1"/>
    <col min="11" max="11" width="28.33203125" style="1" bestFit="1" customWidth="1"/>
    <col min="12" max="12" width="11.5546875" style="1"/>
    <col min="13" max="13" width="12" style="1" bestFit="1" customWidth="1"/>
    <col min="14" max="16384" width="11.5546875" style="1"/>
  </cols>
  <sheetData>
    <row r="3" spans="2:20" x14ac:dyDescent="0.25">
      <c r="J3" s="28"/>
      <c r="K3" s="29"/>
      <c r="L3" s="30"/>
      <c r="M3" s="31"/>
      <c r="N3" s="32"/>
      <c r="O3" s="33"/>
    </row>
    <row r="4" spans="2:20" ht="15.6" x14ac:dyDescent="0.3">
      <c r="J4" s="34"/>
      <c r="K4" s="35" t="s">
        <v>44</v>
      </c>
      <c r="L4" s="27"/>
      <c r="M4" s="27"/>
      <c r="N4" s="2"/>
      <c r="O4" s="36"/>
    </row>
    <row r="5" spans="2:20" ht="14.4" x14ac:dyDescent="0.3">
      <c r="J5" s="34"/>
      <c r="K5" s="5" t="s">
        <v>22</v>
      </c>
      <c r="L5" s="27"/>
      <c r="M5" s="37">
        <f>+'PT7'!D272</f>
        <v>-2442352</v>
      </c>
      <c r="N5" s="2"/>
      <c r="O5" s="36"/>
    </row>
    <row r="6" spans="2:20" s="6" customFormat="1" ht="28.2" customHeight="1" x14ac:dyDescent="0.3">
      <c r="B6" s="158" t="s">
        <v>50</v>
      </c>
      <c r="C6" s="159"/>
      <c r="D6" s="159"/>
      <c r="E6" s="7" t="str">
        <f>[1]!'@PERIODO[A]'</f>
        <v>Abril/2026</v>
      </c>
      <c r="J6" s="34"/>
      <c r="K6" s="5" t="s">
        <v>31</v>
      </c>
      <c r="L6" s="27"/>
      <c r="M6" s="38">
        <f>+D12+M5</f>
        <v>-1759205</v>
      </c>
      <c r="N6" s="2"/>
      <c r="O6" s="36"/>
      <c r="P6" s="1"/>
      <c r="Q6" s="1"/>
    </row>
    <row r="7" spans="2:20" s="6" customFormat="1" ht="5.4" customHeight="1" x14ac:dyDescent="0.3">
      <c r="C7" s="13"/>
      <c r="D7" s="21"/>
      <c r="E7" s="14"/>
      <c r="J7" s="34"/>
      <c r="K7" s="39"/>
      <c r="L7" s="5"/>
      <c r="M7" s="40"/>
      <c r="N7" s="41"/>
      <c r="O7" s="36"/>
      <c r="P7" s="1"/>
      <c r="Q7" s="1"/>
    </row>
    <row r="8" spans="2:20" s="5" customFormat="1" ht="17.399999999999999" customHeight="1" x14ac:dyDescent="0.25">
      <c r="B8" s="15" t="s">
        <v>20</v>
      </c>
      <c r="C8" s="15" t="s">
        <v>11</v>
      </c>
      <c r="D8" s="16" t="s">
        <v>18</v>
      </c>
      <c r="E8" s="17" t="s">
        <v>19</v>
      </c>
      <c r="J8" s="34"/>
      <c r="K8" s="2"/>
      <c r="L8" s="1"/>
      <c r="M8" s="42"/>
      <c r="N8" s="2"/>
      <c r="O8" s="36"/>
      <c r="P8" s="1"/>
      <c r="Q8" s="1"/>
    </row>
    <row r="9" spans="2:20" s="5" customFormat="1" ht="15" x14ac:dyDescent="0.3">
      <c r="B9" s="19">
        <v>1</v>
      </c>
      <c r="C9" s="5" t="str">
        <f>+'PT3'!B2</f>
        <v>COBRANZA JUDICIAL</v>
      </c>
      <c r="D9" s="23">
        <f>+'PT3'!D272</f>
        <v>386066</v>
      </c>
      <c r="E9" s="9">
        <f>+D9/$D$12</f>
        <v>0.56512873510386485</v>
      </c>
      <c r="J9" s="1"/>
      <c r="K9" s="2"/>
      <c r="L9" s="1"/>
      <c r="M9" s="26"/>
      <c r="N9" s="2"/>
      <c r="O9" s="1"/>
      <c r="P9" s="1"/>
      <c r="Q9" s="1"/>
      <c r="R9" s="1"/>
      <c r="S9" s="1"/>
      <c r="T9" s="1"/>
    </row>
    <row r="10" spans="2:20" s="5" customFormat="1" ht="15" x14ac:dyDescent="0.3">
      <c r="B10" s="19">
        <v>2</v>
      </c>
      <c r="C10" s="5" t="str">
        <f>+'PT4'!B2</f>
        <v>MOROSOS</v>
      </c>
      <c r="D10" s="23">
        <f>+'PT4'!D272</f>
        <v>203314</v>
      </c>
      <c r="E10" s="9">
        <f t="shared" ref="E10:E11" si="0">+D10/$D$12</f>
        <v>0.29761383713900524</v>
      </c>
      <c r="P10" s="20"/>
    </row>
    <row r="11" spans="2:20" s="5" customFormat="1" ht="15" x14ac:dyDescent="0.3">
      <c r="B11" s="19">
        <v>3</v>
      </c>
      <c r="C11" s="5" t="str">
        <f>+'PT5'!B2</f>
        <v>DEUDA CORRIENTE</v>
      </c>
      <c r="D11" s="23">
        <f>+'PT5'!D272</f>
        <v>93767.000000000029</v>
      </c>
      <c r="E11" s="9">
        <f t="shared" si="0"/>
        <v>0.1372574277571299</v>
      </c>
      <c r="M11" s="160" t="s">
        <v>45</v>
      </c>
      <c r="N11" s="160"/>
      <c r="O11" s="160"/>
    </row>
    <row r="12" spans="2:20" s="10" customFormat="1" ht="27.6" customHeight="1" thickBot="1" x14ac:dyDescent="0.35">
      <c r="B12" s="18"/>
      <c r="C12" s="52" t="s">
        <v>14</v>
      </c>
      <c r="D12" s="53">
        <f>SUM(D9:D11)</f>
        <v>683147</v>
      </c>
      <c r="E12" s="54">
        <f>SUM(E9:E11)</f>
        <v>1</v>
      </c>
      <c r="M12" s="160"/>
      <c r="N12" s="160"/>
      <c r="O12" s="160"/>
    </row>
    <row r="13" spans="2:20" ht="14.4" thickTop="1" x14ac:dyDescent="0.25">
      <c r="C13" s="3"/>
      <c r="D13" s="25"/>
      <c r="E13" s="4"/>
      <c r="M13" s="160"/>
      <c r="N13" s="160"/>
      <c r="O13" s="160"/>
    </row>
    <row r="14" spans="2:20" x14ac:dyDescent="0.25">
      <c r="M14" s="160"/>
      <c r="N14" s="160"/>
      <c r="O14" s="160"/>
    </row>
    <row r="15" spans="2:20" ht="22.2" x14ac:dyDescent="0.25">
      <c r="B15" s="165" t="s">
        <v>52</v>
      </c>
      <c r="C15" s="166"/>
      <c r="D15" s="166"/>
      <c r="E15" s="55"/>
      <c r="M15" s="48"/>
      <c r="N15" s="48"/>
      <c r="O15" s="48"/>
    </row>
    <row r="16" spans="2:20" s="5" customFormat="1" ht="15" x14ac:dyDescent="0.3">
      <c r="B16" s="19"/>
      <c r="C16" s="5" t="s">
        <v>48</v>
      </c>
      <c r="D16" s="56">
        <v>1449000</v>
      </c>
      <c r="E16" s="57">
        <v>1</v>
      </c>
      <c r="J16" s="1"/>
      <c r="K16" s="2"/>
      <c r="L16" s="1"/>
      <c r="M16" s="26"/>
      <c r="N16" s="2"/>
      <c r="O16" s="1"/>
      <c r="P16" s="1"/>
      <c r="Q16" s="1"/>
      <c r="R16" s="1"/>
      <c r="S16" s="1"/>
      <c r="T16" s="1"/>
    </row>
    <row r="17" spans="2:20" s="5" customFormat="1" ht="15" x14ac:dyDescent="0.3">
      <c r="B17" s="19"/>
      <c r="C17" s="5" t="s">
        <v>32</v>
      </c>
      <c r="D17" s="23">
        <v>36650.839999999997</v>
      </c>
      <c r="E17" s="9">
        <f>+D17/$D$16</f>
        <v>2.5293885438233261E-2</v>
      </c>
      <c r="J17" s="1"/>
      <c r="K17" s="2"/>
      <c r="L17" s="1"/>
      <c r="M17" s="26"/>
      <c r="N17" s="2"/>
      <c r="O17" s="1"/>
      <c r="P17" s="1"/>
      <c r="Q17" s="1"/>
      <c r="R17" s="1"/>
      <c r="S17" s="1"/>
      <c r="T17" s="1"/>
    </row>
    <row r="18" spans="2:20" s="5" customFormat="1" ht="15" x14ac:dyDescent="0.3">
      <c r="B18" s="19"/>
      <c r="C18" s="5" t="s">
        <v>12</v>
      </c>
      <c r="D18" s="23">
        <v>145108.64000000001</v>
      </c>
      <c r="E18" s="9">
        <f>+D18/$D$16</f>
        <v>0.10014398895790201</v>
      </c>
      <c r="P18" s="20"/>
    </row>
    <row r="19" spans="2:20" s="5" customFormat="1" ht="15" x14ac:dyDescent="0.3">
      <c r="B19" s="19"/>
      <c r="C19" s="5" t="s">
        <v>51</v>
      </c>
      <c r="D19" s="23">
        <f>+D16-D17-D18</f>
        <v>1267240.52</v>
      </c>
      <c r="E19" s="9">
        <f>+D19/D16</f>
        <v>0.8745621256038647</v>
      </c>
      <c r="P19" s="20"/>
    </row>
    <row r="20" spans="2:20" ht="22.2" x14ac:dyDescent="0.25">
      <c r="D20" s="1"/>
      <c r="E20" s="55"/>
      <c r="M20" s="58"/>
      <c r="N20" s="58"/>
      <c r="O20" s="58"/>
    </row>
    <row r="21" spans="2:20" ht="15" x14ac:dyDescent="0.25">
      <c r="C21" s="51"/>
    </row>
    <row r="22" spans="2:20" x14ac:dyDescent="0.25">
      <c r="D22" s="1"/>
    </row>
    <row r="23" spans="2:20" x14ac:dyDescent="0.25">
      <c r="C23" s="49"/>
      <c r="D23" s="50"/>
    </row>
    <row r="24" spans="2:20" x14ac:dyDescent="0.25">
      <c r="C24" s="49"/>
      <c r="D24" s="50"/>
    </row>
    <row r="25" spans="2:20" x14ac:dyDescent="0.25">
      <c r="C25" s="49"/>
      <c r="D25" s="50"/>
    </row>
    <row r="26" spans="2:20" x14ac:dyDescent="0.25">
      <c r="C26" s="49"/>
      <c r="D26" s="50"/>
    </row>
    <row r="27" spans="2:20" x14ac:dyDescent="0.25">
      <c r="C27" s="49"/>
      <c r="D27" s="50"/>
      <c r="J27" s="55"/>
    </row>
    <row r="28" spans="2:20" x14ac:dyDescent="0.25">
      <c r="C28" s="49"/>
      <c r="D28" s="50"/>
      <c r="J28" s="55"/>
    </row>
    <row r="29" spans="2:20" x14ac:dyDescent="0.25">
      <c r="C29" s="49"/>
      <c r="D29" s="50"/>
    </row>
    <row r="30" spans="2:20" x14ac:dyDescent="0.25">
      <c r="C30" s="49"/>
      <c r="D30" s="50"/>
    </row>
    <row r="31" spans="2:20" x14ac:dyDescent="0.25">
      <c r="C31" s="49"/>
      <c r="D31" s="50"/>
    </row>
    <row r="32" spans="2:20" x14ac:dyDescent="0.25">
      <c r="C32" s="49"/>
      <c r="D32" s="50"/>
    </row>
    <row r="33" spans="2:5" x14ac:dyDescent="0.25">
      <c r="C33" s="49"/>
      <c r="D33" s="50"/>
    </row>
    <row r="34" spans="2:5" x14ac:dyDescent="0.25">
      <c r="C34" s="49"/>
      <c r="D34" s="50"/>
    </row>
    <row r="35" spans="2:5" x14ac:dyDescent="0.25">
      <c r="C35" s="49"/>
      <c r="D35" s="50"/>
    </row>
    <row r="36" spans="2:5" x14ac:dyDescent="0.25">
      <c r="C36" s="49"/>
      <c r="D36" s="50"/>
    </row>
    <row r="37" spans="2:5" x14ac:dyDescent="0.25">
      <c r="C37" s="49"/>
      <c r="D37" s="50"/>
    </row>
    <row r="38" spans="2:5" x14ac:dyDescent="0.25">
      <c r="C38" s="49"/>
      <c r="D38" s="50"/>
    </row>
    <row r="39" spans="2:5" x14ac:dyDescent="0.25">
      <c r="C39" s="49"/>
      <c r="D39" s="50"/>
    </row>
    <row r="41" spans="2:5" x14ac:dyDescent="0.25">
      <c r="B41" s="1"/>
      <c r="D41" s="1"/>
      <c r="E41" s="1"/>
    </row>
    <row r="42" spans="2:5" x14ac:dyDescent="0.25">
      <c r="B42" s="1"/>
      <c r="D42" s="1"/>
      <c r="E42" s="1"/>
    </row>
    <row r="43" spans="2:5" x14ac:dyDescent="0.25">
      <c r="B43" s="1"/>
      <c r="D43" s="1"/>
      <c r="E43" s="1"/>
    </row>
    <row r="44" spans="2:5" x14ac:dyDescent="0.25">
      <c r="B44" s="1"/>
      <c r="D44" s="1"/>
      <c r="E44" s="1"/>
    </row>
    <row r="45" spans="2:5" x14ac:dyDescent="0.25">
      <c r="B45" s="1"/>
      <c r="D45" s="1"/>
      <c r="E45" s="1"/>
    </row>
    <row r="46" spans="2:5" x14ac:dyDescent="0.25">
      <c r="B46" s="1"/>
      <c r="D46" s="1"/>
      <c r="E46" s="1"/>
    </row>
    <row r="47" spans="2:5" x14ac:dyDescent="0.25">
      <c r="B47" s="1"/>
      <c r="D47" s="1"/>
      <c r="E47" s="1"/>
    </row>
    <row r="48" spans="2:5" x14ac:dyDescent="0.25">
      <c r="B48" s="1"/>
      <c r="D48" s="1"/>
      <c r="E48" s="1"/>
    </row>
    <row r="49" s="1" customFormat="1" x14ac:dyDescent="0.25"/>
  </sheetData>
  <mergeCells count="3">
    <mergeCell ref="B6:D6"/>
    <mergeCell ref="M11:O14"/>
    <mergeCell ref="B15:D15"/>
  </mergeCells>
  <hyperlinks>
    <hyperlink ref="B10" location="'2.MOROSO'!A1" display="'2.MOROSO'!A1" xr:uid="{0391CB4F-53E7-48C1-A6E1-C0606ADCC640}"/>
    <hyperlink ref="B11" location="'3. DEUDA CORR'!A1" display="'3. DEUDA CORR'!A1" xr:uid="{33D987D6-C299-4DEF-AFFA-1379235A7445}"/>
    <hyperlink ref="B11" location="'1.COB JUDICIAL'!A1" display="'1.COB JUDICIAL'!A1" xr:uid="{106DAD2C-47E3-4017-8934-E16473E70DF9}"/>
  </hyperlinks>
  <pageMargins left="0.70866141732283461" right="0.70866141732283461" top="2.2200000000000002" bottom="0.74803149606299213" header="0.31496062992125984" footer="0.31496062992125984"/>
  <pageSetup scale="68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52B7-9DDF-418A-8513-E18AD4CB7CB4}">
  <sheetPr codeName="Hoja12"/>
  <dimension ref="B4:P21"/>
  <sheetViews>
    <sheetView workbookViewId="0">
      <selection activeCell="H27" sqref="H27"/>
    </sheetView>
  </sheetViews>
  <sheetFormatPr baseColWidth="10" defaultColWidth="11.5546875" defaultRowHeight="13.8" x14ac:dyDescent="0.25"/>
  <cols>
    <col min="1" max="1" width="11.5546875" style="1"/>
    <col min="2" max="2" width="11.5546875" style="2"/>
    <col min="3" max="3" width="23.109375" style="1" bestFit="1" customWidth="1"/>
    <col min="4" max="4" width="20.5546875" style="26" customWidth="1"/>
    <col min="5" max="5" width="20.5546875" style="2" customWidth="1"/>
    <col min="6" max="6" width="18.109375" style="1" customWidth="1"/>
    <col min="7" max="16384" width="11.5546875" style="1"/>
  </cols>
  <sheetData>
    <row r="4" spans="2:16" s="6" customFormat="1" ht="28.2" customHeight="1" x14ac:dyDescent="0.3">
      <c r="B4" s="158" t="s">
        <v>17</v>
      </c>
      <c r="C4" s="159"/>
      <c r="D4" s="159"/>
      <c r="E4" s="7" t="str">
        <f>[1]!'@PERIODO[A]'</f>
        <v>Abril/2026</v>
      </c>
    </row>
    <row r="5" spans="2:16" s="6" customFormat="1" ht="5.4" customHeight="1" x14ac:dyDescent="0.3">
      <c r="C5" s="13"/>
      <c r="D5" s="21"/>
      <c r="E5" s="14"/>
    </row>
    <row r="6" spans="2:16" s="5" customFormat="1" ht="17.399999999999999" customHeight="1" x14ac:dyDescent="0.25">
      <c r="B6" s="15" t="s">
        <v>20</v>
      </c>
      <c r="C6" s="15" t="s">
        <v>11</v>
      </c>
      <c r="D6" s="16" t="s">
        <v>18</v>
      </c>
      <c r="E6" s="17" t="s">
        <v>19</v>
      </c>
    </row>
    <row r="7" spans="2:16" s="5" customFormat="1" ht="7.2" customHeight="1" x14ac:dyDescent="0.25">
      <c r="B7" s="8"/>
      <c r="D7" s="22"/>
      <c r="E7" s="8"/>
      <c r="P7" s="20"/>
    </row>
    <row r="8" spans="2:16" s="5" customFormat="1" ht="15" x14ac:dyDescent="0.3">
      <c r="B8" s="19">
        <v>1</v>
      </c>
      <c r="C8" s="5" t="str">
        <f>+'PT3'!B2</f>
        <v>COBRANZA JUDICIAL</v>
      </c>
      <c r="D8" s="23">
        <f>+'PT3'!D272</f>
        <v>386066</v>
      </c>
      <c r="E8" s="9">
        <f>+D8/$D$14</f>
        <v>-0.21945481055363075</v>
      </c>
      <c r="P8" s="20"/>
    </row>
    <row r="9" spans="2:16" s="5" customFormat="1" ht="15" x14ac:dyDescent="0.3">
      <c r="B9" s="19">
        <v>2</v>
      </c>
      <c r="C9" s="5" t="str">
        <f>+'PT4'!B2</f>
        <v>MOROSOS</v>
      </c>
      <c r="D9" s="23">
        <f>+'PT4'!D272</f>
        <v>203314</v>
      </c>
      <c r="E9" s="9">
        <f t="shared" ref="E9:E12" si="0">+D9/$D$14</f>
        <v>-0.115571522363795</v>
      </c>
      <c r="P9" s="20"/>
    </row>
    <row r="10" spans="2:16" s="5" customFormat="1" ht="15" x14ac:dyDescent="0.3">
      <c r="B10" s="19">
        <v>3</v>
      </c>
      <c r="C10" s="5" t="str">
        <f>+'PT5'!B2</f>
        <v>DEUDA CORRIENTE</v>
      </c>
      <c r="D10" s="23">
        <f>+'PT5'!D272</f>
        <v>93767.000000000029</v>
      </c>
      <c r="E10" s="9">
        <f t="shared" si="0"/>
        <v>-5.3300780750395793E-2</v>
      </c>
      <c r="P10" s="20"/>
    </row>
    <row r="11" spans="2:16" s="5" customFormat="1" ht="15" x14ac:dyDescent="0.3">
      <c r="B11" s="19">
        <v>4</v>
      </c>
      <c r="C11" s="5" t="str">
        <f>+'PT6'!B2</f>
        <v>SIN ADEUDO</v>
      </c>
      <c r="D11" s="23">
        <f>+'PT6'!D272</f>
        <v>0</v>
      </c>
      <c r="E11" s="9">
        <f t="shared" si="0"/>
        <v>0</v>
      </c>
      <c r="P11" s="20"/>
    </row>
    <row r="12" spans="2:16" s="5" customFormat="1" ht="15" x14ac:dyDescent="0.3">
      <c r="B12" s="19">
        <v>5</v>
      </c>
      <c r="C12" s="5" t="str">
        <f>+'PT7'!B2</f>
        <v>ANTICIPOS</v>
      </c>
      <c r="D12" s="23">
        <f>+'PT7'!D272</f>
        <v>-2442352</v>
      </c>
      <c r="E12" s="9">
        <f t="shared" si="0"/>
        <v>1.3883271136678215</v>
      </c>
      <c r="P12" s="20"/>
    </row>
    <row r="13" spans="2:16" s="5" customFormat="1" x14ac:dyDescent="0.25">
      <c r="B13" s="8"/>
      <c r="D13" s="23"/>
      <c r="E13" s="9"/>
      <c r="P13" s="20"/>
    </row>
    <row r="14" spans="2:16" s="10" customFormat="1" ht="27.6" customHeight="1" thickBot="1" x14ac:dyDescent="0.35">
      <c r="B14" s="18"/>
      <c r="C14" s="11"/>
      <c r="D14" s="24">
        <f>SUM(D8:D12)</f>
        <v>-1759205</v>
      </c>
      <c r="E14" s="12">
        <f>SUM(E8:E12)</f>
        <v>0.99999999999999989</v>
      </c>
    </row>
    <row r="15" spans="2:16" ht="14.4" thickTop="1" x14ac:dyDescent="0.25">
      <c r="C15" s="3"/>
      <c r="D15" s="25"/>
      <c r="E15" s="4"/>
    </row>
    <row r="21" spans="3:4" x14ac:dyDescent="0.25">
      <c r="C21" s="1" t="s">
        <v>16</v>
      </c>
      <c r="D21" s="26">
        <f>+D14-'PT1'!D319</f>
        <v>0</v>
      </c>
    </row>
  </sheetData>
  <mergeCells count="1">
    <mergeCell ref="B4:D4"/>
  </mergeCells>
  <hyperlinks>
    <hyperlink ref="B8" location="'1.COB JUDICIAL'!A1" display="'1.COB JUDICIAL'!A1" xr:uid="{88B0155C-1D3F-4929-920D-890C21326540}"/>
    <hyperlink ref="B9" location="'2.MOROSO'!A1" display="'2.MOROSO'!A1" xr:uid="{E9384E8C-B5C1-4291-9EEF-A3AD8E9FF9BD}"/>
    <hyperlink ref="B10" location="'3. DEUDA CORR'!A1" display="'3. DEUDA CORR'!A1" xr:uid="{EBD3F4BF-197F-4641-A901-3B2DCC075DF3}"/>
    <hyperlink ref="B11" location="'4. SIN ADEUDO'!A1" display="'4. SIN ADEUDO'!A1" xr:uid="{BA106EC2-2CA3-4834-954E-675E860D7842}"/>
    <hyperlink ref="B12" location="'5. ANTICIPOS'!A1" display="'5. ANTICIPOS'!A1" xr:uid="{FDE4EA03-A5C1-4683-94B4-6DF172AFCD93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6</vt:i4>
      </vt:variant>
    </vt:vector>
  </HeadingPairs>
  <TitlesOfParts>
    <vt:vector size="18" baseType="lpstr">
      <vt:lpstr>1. CIERRE COBRANZA</vt:lpstr>
      <vt:lpstr>1. ANALISIS COB</vt:lpstr>
      <vt:lpstr>2. INTEGRACIÓN</vt:lpstr>
      <vt:lpstr>PT1</vt:lpstr>
      <vt:lpstr>PT2 (FILTRAR)</vt:lpstr>
      <vt:lpstr>PT3</vt:lpstr>
      <vt:lpstr>PT4</vt:lpstr>
      <vt:lpstr>PT5</vt:lpstr>
      <vt:lpstr>PT6</vt:lpstr>
      <vt:lpstr>PT7</vt:lpstr>
      <vt:lpstr>1. CIERRE COBRANZA (2)</vt:lpstr>
      <vt:lpstr>CIERRE</vt:lpstr>
      <vt:lpstr>'1. ANALISIS COB'!Área_de_impresión</vt:lpstr>
      <vt:lpstr>'1. CIERRE COBRANZA'!Área_de_impresión</vt:lpstr>
      <vt:lpstr>'1. CIERRE COBRANZA (2)'!Área_de_impresión</vt:lpstr>
      <vt:lpstr>'2. INTEGRACIÓN'!Área_de_impresión</vt:lpstr>
      <vt:lpstr>'PT2 (FILTRAR)'!Área_de_impresión</vt:lpstr>
      <vt:lpstr>'PT3'!Área_de_impresión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CONTA6</dc:creator>
  <cp:lastModifiedBy>shemesh Oficinas</cp:lastModifiedBy>
  <cp:lastPrinted>2023-09-05T17:41:38Z</cp:lastPrinted>
  <dcterms:created xsi:type="dcterms:W3CDTF">2023-08-14T22:04:32Z</dcterms:created>
  <dcterms:modified xsi:type="dcterms:W3CDTF">2026-05-16T16:32:18Z</dcterms:modified>
</cp:coreProperties>
</file>